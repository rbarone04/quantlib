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105" windowWidth="19230" windowHeight="3870" tabRatio="678" activeTab="2"/>
  </bookViews>
  <sheets>
    <sheet name="General Settings" sheetId="6" r:id="rId1"/>
    <sheet name="RateHelpers" sheetId="4" r:id="rId2"/>
    <sheet name="Selected" sheetId="5" r:id="rId3"/>
    <sheet name="Deposits" sheetId="14" r:id="rId4"/>
    <sheet name="FRAs" sheetId="15" r:id="rId5"/>
    <sheet name="Futures" sheetId="9" r:id="rId6"/>
    <sheet name="Swaps" sheetId="11" r:id="rId7"/>
    <sheet name="Monitor" sheetId="13" r:id="rId8"/>
  </sheets>
  <externalReferences>
    <externalReference r:id="rId9"/>
  </externalReferences>
  <definedNames>
    <definedName name="_xlnm._FilterDatabase" localSheetId="7" hidden="1">Monitor!$B$17:$F$3560</definedName>
    <definedName name="Accuracy">'General Settings'!$D$23</definedName>
    <definedName name="BondBasisDayCounter">'General Settings'!$M$13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onventions" localSheetId="6">Swaps!$P$5:$R$9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Settings'!$M$15</definedName>
    <definedName name="Discounting2">'General Settings'!$M$16</definedName>
    <definedName name="FamilyName">'General Settings'!$M$11</definedName>
    <definedName name="FileOverwrite">'General Settings'!$M$6</definedName>
    <definedName name="FixingDays">Monitor!#REF!</definedName>
    <definedName name="FRADates">Monitor!$O$19:$O$24</definedName>
    <definedName name="FRANull">Monitor!$Q$19:$Q$24</definedName>
    <definedName name="FRAQuotes">Monitor!$P$19:$P$24</definedName>
    <definedName name="FRASeries">IF(CheckFRA=FALSE,FRANull,FRAQuotes)</definedName>
    <definedName name="FrontFuturesRollingDays">Selected!$B$4</definedName>
    <definedName name="HolidayCheck">'General Settings'!$M$23</definedName>
    <definedName name="IborIndex">Monitor!$AA$17</definedName>
    <definedName name="IborType">'General Settings'!$D$7</definedName>
    <definedName name="IMMFutDates">Monitor!$O$27:$O$60</definedName>
    <definedName name="IMMFutNull">Monitor!$Q$27:$Q$60</definedName>
    <definedName name="IMMFutQuotes">Monitor!$P$27:$P$60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JoinCalendar">'General Settings'!$M$25</definedName>
    <definedName name="LiborCalendar">'General Settings'!$M$22</definedName>
    <definedName name="LocalCalendar">'General Settings'!$M$21</definedName>
    <definedName name="MinDistance">RateHelpers!$H$2:$H$98</definedName>
    <definedName name="MoneyMarketDayCounter">'General Settings'!$M$14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Monitor!$AB$17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RateHelpers!$B$2:$B$98</definedName>
    <definedName name="RateHelpersIncluded">RateHelpers!$F$2:$F$98</definedName>
    <definedName name="RateHelpersPriority">RateHelpers!$G$2:$G$98</definedName>
    <definedName name="RateHelpersSelected">Selected!$A$7</definedName>
    <definedName name="RecalcTrigger">Monitor!$J$20</definedName>
    <definedName name="SamplingFrequency">Monitor!$X$15</definedName>
    <definedName name="SerialFutDates">Monitor!#REF!</definedName>
    <definedName name="SerialFutNull">Monitor!#REF!</definedName>
    <definedName name="SerialFutQuotes">Monitor!#REF!</definedName>
    <definedName name="SerialFutSeries">IF(CheckSerialFut=FALSE,SerialFutNull,SerialFutQuotes)</definedName>
    <definedName name="SerializationPath">'General Settings'!$M$5</definedName>
    <definedName name="Serialize">'General Settings'!$M$4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V63" i="13" l="1" a="1"/>
  <c r="V63" i="13"/>
  <c r="U99" i="13"/>
  <c r="U98" i="13"/>
  <c r="U97" i="13"/>
  <c r="U96" i="13"/>
  <c r="U95" i="13"/>
  <c r="U94" i="13"/>
  <c r="U93" i="13"/>
  <c r="U92" i="13"/>
  <c r="U91" i="13"/>
  <c r="U90" i="13"/>
  <c r="U89" i="13"/>
  <c r="U88" i="13"/>
  <c r="U87" i="13"/>
  <c r="U86" i="13"/>
  <c r="U85" i="13"/>
  <c r="U84" i="13"/>
  <c r="U83" i="13"/>
  <c r="U82" i="13"/>
  <c r="U81" i="13"/>
  <c r="U80" i="13"/>
  <c r="U79" i="13"/>
  <c r="U78" i="13"/>
  <c r="U77" i="13"/>
  <c r="U76" i="13"/>
  <c r="U75" i="13"/>
  <c r="U74" i="13"/>
  <c r="U73" i="13"/>
  <c r="U72" i="13"/>
  <c r="U71" i="13"/>
  <c r="U70" i="13"/>
  <c r="U69" i="13"/>
  <c r="U68" i="13"/>
  <c r="U67" i="13"/>
  <c r="U66" i="13"/>
  <c r="U65" i="13"/>
  <c r="U64" i="13"/>
  <c r="U63" i="13"/>
  <c r="V19" i="13" a="1"/>
  <c r="V19" i="13"/>
  <c r="V27" i="13" a="1"/>
  <c r="V27" i="13"/>
  <c r="U24" i="13"/>
  <c r="U23" i="13"/>
  <c r="U22" i="13"/>
  <c r="U21" i="13"/>
  <c r="U20" i="13"/>
  <c r="U19" i="13"/>
  <c r="U60" i="13"/>
  <c r="U52" i="13"/>
  <c r="U44" i="13"/>
  <c r="U36" i="13"/>
  <c r="U28" i="13"/>
  <c r="U59" i="13"/>
  <c r="U51" i="13"/>
  <c r="U43" i="13"/>
  <c r="U35" i="13"/>
  <c r="U58" i="13"/>
  <c r="U50" i="13"/>
  <c r="U42" i="13"/>
  <c r="U34" i="13"/>
  <c r="U57" i="13"/>
  <c r="U49" i="13"/>
  <c r="U41" i="13"/>
  <c r="U33" i="13"/>
  <c r="U56" i="13"/>
  <c r="U48" i="13"/>
  <c r="U40" i="13"/>
  <c r="U32" i="13"/>
  <c r="U55" i="13"/>
  <c r="U47" i="13"/>
  <c r="U39" i="13"/>
  <c r="U31" i="13"/>
  <c r="U54" i="13"/>
  <c r="U46" i="13"/>
  <c r="U38" i="13"/>
  <c r="U30" i="13"/>
  <c r="U53" i="13"/>
  <c r="U45" i="13"/>
  <c r="U37" i="13"/>
  <c r="U29" i="13"/>
  <c r="U27" i="13"/>
  <c r="D9" i="14" l="1"/>
  <c r="D8" i="14"/>
  <c r="D7" i="14"/>
  <c r="D6" i="14"/>
  <c r="D5" i="14"/>
  <c r="D3" i="14"/>
  <c r="E9" i="15" l="1"/>
  <c r="F9" i="15"/>
  <c r="E10" i="15"/>
  <c r="F10" i="15"/>
  <c r="E11" i="15"/>
  <c r="F11" i="15"/>
  <c r="D9" i="15"/>
  <c r="D10" i="15"/>
  <c r="D11" i="15"/>
  <c r="B8" i="15"/>
  <c r="B9" i="15"/>
  <c r="B10" i="15"/>
  <c r="B11" i="15"/>
  <c r="G9" i="15"/>
  <c r="G11" i="15"/>
  <c r="G10" i="15"/>
  <c r="H10" i="15"/>
  <c r="B18" i="4" l="1"/>
  <c r="B19" i="4"/>
  <c r="B17" i="4"/>
  <c r="M16" i="6"/>
  <c r="M15" i="6"/>
  <c r="H9" i="15"/>
  <c r="D18" i="4"/>
  <c r="I18" i="4"/>
  <c r="D19" i="4"/>
  <c r="D17" i="4"/>
  <c r="I17" i="4"/>
  <c r="J17" i="4"/>
  <c r="J19" i="4"/>
  <c r="C19" i="4"/>
  <c r="J18" i="4"/>
  <c r="H11" i="15"/>
  <c r="C17" i="4"/>
  <c r="I19" i="4"/>
  <c r="C18" i="4"/>
  <c r="D8" i="15" l="1"/>
  <c r="F8" i="15" s="1"/>
  <c r="D7" i="15"/>
  <c r="F7" i="15" s="1"/>
  <c r="D6" i="15"/>
  <c r="F6" i="15" s="1"/>
  <c r="D5" i="15"/>
  <c r="F5" i="15" s="1"/>
  <c r="D4" i="15"/>
  <c r="F4" i="15" s="1"/>
  <c r="D3" i="15"/>
  <c r="F3" i="15" s="1"/>
  <c r="E8" i="15"/>
  <c r="E7" i="15"/>
  <c r="E6" i="15"/>
  <c r="E5" i="15"/>
  <c r="E4" i="15"/>
  <c r="E3" i="15"/>
  <c r="B7" i="15"/>
  <c r="B6" i="15"/>
  <c r="B5" i="15"/>
  <c r="B4" i="15"/>
  <c r="B3" i="15"/>
  <c r="H2" i="15"/>
  <c r="G5" i="15"/>
  <c r="G4" i="15"/>
  <c r="G8" i="15"/>
  <c r="G7" i="15"/>
  <c r="G3" i="15"/>
  <c r="G6" i="15"/>
  <c r="B16" i="4" l="1"/>
  <c r="B12" i="4"/>
  <c r="B13" i="4"/>
  <c r="B15" i="4"/>
  <c r="B14" i="4"/>
  <c r="B11" i="4"/>
  <c r="I13" i="4"/>
  <c r="D16" i="4"/>
  <c r="J11" i="4"/>
  <c r="J12" i="4"/>
  <c r="J16" i="4"/>
  <c r="C15" i="4"/>
  <c r="C12" i="4"/>
  <c r="J13" i="4"/>
  <c r="I15" i="4"/>
  <c r="H4" i="15"/>
  <c r="J14" i="4"/>
  <c r="H8" i="15"/>
  <c r="H7" i="15"/>
  <c r="C16" i="4"/>
  <c r="I16" i="4"/>
  <c r="C11" i="4"/>
  <c r="J15" i="4"/>
  <c r="D11" i="4"/>
  <c r="H3" i="15"/>
  <c r="C14" i="4"/>
  <c r="H5" i="15"/>
  <c r="I14" i="4"/>
  <c r="I11" i="4"/>
  <c r="D13" i="4"/>
  <c r="D15" i="4"/>
  <c r="I12" i="4"/>
  <c r="D14" i="4"/>
  <c r="H6" i="15"/>
  <c r="C13" i="4"/>
  <c r="D12" i="4"/>
  <c r="G44" i="9" l="1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12" i="9"/>
  <c r="G11" i="9"/>
  <c r="G10" i="9"/>
  <c r="G9" i="9"/>
  <c r="G8" i="9"/>
  <c r="G7" i="9"/>
  <c r="G6" i="9"/>
  <c r="G5" i="9"/>
  <c r="G4" i="9"/>
  <c r="G3" i="9"/>
  <c r="D11" i="14"/>
  <c r="D10" i="14"/>
  <c r="D4" i="14"/>
  <c r="F2" i="14"/>
  <c r="C7" i="14"/>
  <c r="C3" i="14"/>
  <c r="C5" i="14"/>
  <c r="C11" i="14"/>
  <c r="C4" i="14"/>
  <c r="C6" i="14"/>
  <c r="C8" i="14"/>
  <c r="M19" i="13" a="1"/>
  <c r="C9" i="14"/>
  <c r="C10" i="14"/>
  <c r="M24" i="13"/>
  <c r="M22" i="13"/>
  <c r="M21" i="13"/>
  <c r="M20" i="13"/>
  <c r="M23" i="13"/>
  <c r="M19" i="13"/>
  <c r="E10" i="14"/>
  <c r="E11" i="14"/>
  <c r="E6" i="14"/>
  <c r="E9" i="14"/>
  <c r="E7" i="14"/>
  <c r="E5" i="14"/>
  <c r="L3" i="11"/>
  <c r="F5" i="14"/>
  <c r="E4" i="14"/>
  <c r="E8" i="14"/>
  <c r="E3" i="14"/>
  <c r="F9" i="14"/>
  <c r="F10" i="14"/>
  <c r="B8" i="4" l="1"/>
  <c r="B9" i="4"/>
  <c r="B4" i="4"/>
  <c r="B6" i="4"/>
  <c r="B10" i="4"/>
  <c r="B5" i="4"/>
  <c r="B3" i="4"/>
  <c r="B2" i="4"/>
  <c r="B7" i="4"/>
  <c r="M25" i="6"/>
  <c r="J9" i="4"/>
  <c r="I9" i="4"/>
  <c r="C9" i="4"/>
  <c r="D9" i="4"/>
  <c r="F7" i="14"/>
  <c r="F6" i="14"/>
  <c r="F3" i="14"/>
  <c r="C2" i="4"/>
  <c r="F8" i="14"/>
  <c r="F11" i="14"/>
  <c r="X538" i="13" l="1"/>
  <c r="X539" i="13" s="1"/>
  <c r="X540" i="13" s="1"/>
  <c r="X541" i="13" s="1"/>
  <c r="X542" i="13" s="1"/>
  <c r="X543" i="13" s="1"/>
  <c r="X544" i="13" s="1"/>
  <c r="X545" i="13" s="1"/>
  <c r="X546" i="13" s="1"/>
  <c r="X547" i="13" s="1"/>
  <c r="X548" i="13" s="1"/>
  <c r="X549" i="13" s="1"/>
  <c r="X550" i="13" s="1"/>
  <c r="X551" i="13" s="1"/>
  <c r="X552" i="13" s="1"/>
  <c r="X553" i="13" s="1"/>
  <c r="X554" i="13" s="1"/>
  <c r="X555" i="13" s="1"/>
  <c r="X556" i="13" s="1"/>
  <c r="X557" i="13" s="1"/>
  <c r="X558" i="13" s="1"/>
  <c r="X559" i="13" s="1"/>
  <c r="X560" i="13" s="1"/>
  <c r="X561" i="13" s="1"/>
  <c r="X562" i="13" s="1"/>
  <c r="X563" i="13" s="1"/>
  <c r="X564" i="13" s="1"/>
  <c r="X565" i="13" s="1"/>
  <c r="X566" i="13" s="1"/>
  <c r="X567" i="13" s="1"/>
  <c r="X568" i="13" s="1"/>
  <c r="X569" i="13" s="1"/>
  <c r="X570" i="13" s="1"/>
  <c r="X571" i="13" s="1"/>
  <c r="X572" i="13" s="1"/>
  <c r="X573" i="13" s="1"/>
  <c r="X574" i="13" s="1"/>
  <c r="X575" i="13" s="1"/>
  <c r="X576" i="13" s="1"/>
  <c r="X577" i="13" s="1"/>
  <c r="X578" i="13" s="1"/>
  <c r="X579" i="13" s="1"/>
  <c r="X580" i="13" s="1"/>
  <c r="X581" i="13" s="1"/>
  <c r="X582" i="13" s="1"/>
  <c r="X583" i="13" s="1"/>
  <c r="X584" i="13" s="1"/>
  <c r="X585" i="13" s="1"/>
  <c r="X586" i="13" s="1"/>
  <c r="X587" i="13" s="1"/>
  <c r="X588" i="13" s="1"/>
  <c r="X589" i="13" s="1"/>
  <c r="X590" i="13" s="1"/>
  <c r="X591" i="13" s="1"/>
  <c r="X592" i="13" s="1"/>
  <c r="X593" i="13" s="1"/>
  <c r="X594" i="13" s="1"/>
  <c r="X595" i="13" s="1"/>
  <c r="X596" i="13" s="1"/>
  <c r="X597" i="13" s="1"/>
  <c r="X598" i="13" s="1"/>
  <c r="X599" i="13" s="1"/>
  <c r="X600" i="13" s="1"/>
  <c r="X601" i="13" s="1"/>
  <c r="X602" i="13" s="1"/>
  <c r="X603" i="13" s="1"/>
  <c r="X604" i="13" s="1"/>
  <c r="X605" i="13" s="1"/>
  <c r="X606" i="13" s="1"/>
  <c r="X607" i="13" s="1"/>
  <c r="X608" i="13" s="1"/>
  <c r="X609" i="13" s="1"/>
  <c r="X610" i="13" s="1"/>
  <c r="X611" i="13" s="1"/>
  <c r="X612" i="13" s="1"/>
  <c r="X613" i="13" s="1"/>
  <c r="X614" i="13" s="1"/>
  <c r="X615" i="13" s="1"/>
  <c r="X616" i="13" s="1"/>
  <c r="X617" i="13" s="1"/>
  <c r="X618" i="13" s="1"/>
  <c r="X619" i="13" s="1"/>
  <c r="X620" i="13" s="1"/>
  <c r="X621" i="13" s="1"/>
  <c r="X622" i="13" s="1"/>
  <c r="X623" i="13" s="1"/>
  <c r="X624" i="13" s="1"/>
  <c r="X625" i="13" s="1"/>
  <c r="X626" i="13" s="1"/>
  <c r="X627" i="13" s="1"/>
  <c r="X628" i="13" s="1"/>
  <c r="X629" i="13" s="1"/>
  <c r="X630" i="13" s="1"/>
  <c r="X631" i="13" s="1"/>
  <c r="X632" i="13" s="1"/>
  <c r="X633" i="13" s="1"/>
  <c r="X634" i="13" s="1"/>
  <c r="X635" i="13" s="1"/>
  <c r="X636" i="13" s="1"/>
  <c r="X637" i="13" s="1"/>
  <c r="X638" i="13" s="1"/>
  <c r="X639" i="13" s="1"/>
  <c r="X640" i="13" s="1"/>
  <c r="X641" i="13" s="1"/>
  <c r="X642" i="13" s="1"/>
  <c r="X643" i="13" s="1"/>
  <c r="X644" i="13" s="1"/>
  <c r="X645" i="13" s="1"/>
  <c r="X646" i="13" s="1"/>
  <c r="X647" i="13" s="1"/>
  <c r="X648" i="13" s="1"/>
  <c r="X649" i="13" s="1"/>
  <c r="X650" i="13" s="1"/>
  <c r="X651" i="13" s="1"/>
  <c r="X652" i="13" s="1"/>
  <c r="X653" i="13" s="1"/>
  <c r="X654" i="13" s="1"/>
  <c r="X655" i="13" s="1"/>
  <c r="X656" i="13" s="1"/>
  <c r="X657" i="13" s="1"/>
  <c r="X658" i="13" s="1"/>
  <c r="X659" i="13" s="1"/>
  <c r="X660" i="13" s="1"/>
  <c r="X661" i="13" s="1"/>
  <c r="X662" i="13" s="1"/>
  <c r="X663" i="13" s="1"/>
  <c r="X664" i="13" s="1"/>
  <c r="X665" i="13" s="1"/>
  <c r="X666" i="13" s="1"/>
  <c r="X667" i="13" s="1"/>
  <c r="X668" i="13" s="1"/>
  <c r="X669" i="13" s="1"/>
  <c r="X670" i="13" s="1"/>
  <c r="X671" i="13" s="1"/>
  <c r="X672" i="13" s="1"/>
  <c r="X673" i="13" s="1"/>
  <c r="X674" i="13" s="1"/>
  <c r="X675" i="13" s="1"/>
  <c r="X676" i="13" s="1"/>
  <c r="X677" i="13" s="1"/>
  <c r="X678" i="13" s="1"/>
  <c r="X679" i="13" s="1"/>
  <c r="X680" i="13" s="1"/>
  <c r="X681" i="13" s="1"/>
  <c r="X682" i="13" s="1"/>
  <c r="X683" i="13" s="1"/>
  <c r="X684" i="13" s="1"/>
  <c r="X685" i="13" s="1"/>
  <c r="X686" i="13" s="1"/>
  <c r="X687" i="13" s="1"/>
  <c r="X688" i="13" s="1"/>
  <c r="X689" i="13" s="1"/>
  <c r="X690" i="13" s="1"/>
  <c r="X691" i="13" s="1"/>
  <c r="X692" i="13" s="1"/>
  <c r="X693" i="13" s="1"/>
  <c r="X694" i="13" s="1"/>
  <c r="X695" i="13" s="1"/>
  <c r="X696" i="13" s="1"/>
  <c r="X697" i="13" s="1"/>
  <c r="X698" i="13" s="1"/>
  <c r="X699" i="13" s="1"/>
  <c r="X700" i="13" s="1"/>
  <c r="X701" i="13" s="1"/>
  <c r="X702" i="13" s="1"/>
  <c r="X703" i="13" s="1"/>
  <c r="X704" i="13" s="1"/>
  <c r="X705" i="13" s="1"/>
  <c r="X706" i="13" s="1"/>
  <c r="X707" i="13" s="1"/>
  <c r="X708" i="13" s="1"/>
  <c r="X709" i="13" s="1"/>
  <c r="X710" i="13" s="1"/>
  <c r="X711" i="13" s="1"/>
  <c r="X712" i="13" s="1"/>
  <c r="X713" i="13" s="1"/>
  <c r="X714" i="13" s="1"/>
  <c r="X715" i="13" s="1"/>
  <c r="X716" i="13" s="1"/>
  <c r="X717" i="13" s="1"/>
  <c r="X718" i="13" s="1"/>
  <c r="X719" i="13" s="1"/>
  <c r="X720" i="13" s="1"/>
  <c r="X721" i="13" s="1"/>
  <c r="X722" i="13" s="1"/>
  <c r="X723" i="13" s="1"/>
  <c r="X724" i="13" s="1"/>
  <c r="X725" i="13" s="1"/>
  <c r="X726" i="13" s="1"/>
  <c r="X727" i="13" s="1"/>
  <c r="X728" i="13" s="1"/>
  <c r="X729" i="13" s="1"/>
  <c r="X730" i="13" s="1"/>
  <c r="X731" i="13" s="1"/>
  <c r="X732" i="13" s="1"/>
  <c r="X733" i="13" s="1"/>
  <c r="X734" i="13" s="1"/>
  <c r="X735" i="13" s="1"/>
  <c r="X736" i="13" s="1"/>
  <c r="X737" i="13" s="1"/>
  <c r="X738" i="13" s="1"/>
  <c r="X739" i="13" s="1"/>
  <c r="X740" i="13" s="1"/>
  <c r="X741" i="13" s="1"/>
  <c r="X742" i="13" s="1"/>
  <c r="X743" i="13" s="1"/>
  <c r="X744" i="13" s="1"/>
  <c r="X745" i="13" s="1"/>
  <c r="X746" i="13" s="1"/>
  <c r="X747" i="13" s="1"/>
  <c r="X748" i="13" s="1"/>
  <c r="X749" i="13" s="1"/>
  <c r="X750" i="13" s="1"/>
  <c r="X751" i="13" s="1"/>
  <c r="X752" i="13" s="1"/>
  <c r="X753" i="13" s="1"/>
  <c r="X754" i="13" s="1"/>
  <c r="X755" i="13" s="1"/>
  <c r="X756" i="13" s="1"/>
  <c r="X757" i="13" s="1"/>
  <c r="X758" i="13" s="1"/>
  <c r="X759" i="13" s="1"/>
  <c r="X760" i="13" s="1"/>
  <c r="X761" i="13" s="1"/>
  <c r="X762" i="13" s="1"/>
  <c r="X763" i="13" s="1"/>
  <c r="X764" i="13" s="1"/>
  <c r="X765" i="13" s="1"/>
  <c r="X766" i="13" s="1"/>
  <c r="X767" i="13" s="1"/>
  <c r="X768" i="13" s="1"/>
  <c r="X769" i="13" s="1"/>
  <c r="X770" i="13" s="1"/>
  <c r="X771" i="13" s="1"/>
  <c r="X772" i="13" s="1"/>
  <c r="X773" i="13" s="1"/>
  <c r="X774" i="13" s="1"/>
  <c r="X775" i="13" s="1"/>
  <c r="X776" i="13" s="1"/>
  <c r="X777" i="13" s="1"/>
  <c r="X778" i="13" s="1"/>
  <c r="X779" i="13" s="1"/>
  <c r="X780" i="13" s="1"/>
  <c r="X781" i="13" s="1"/>
  <c r="X782" i="13" s="1"/>
  <c r="X783" i="13" s="1"/>
  <c r="X784" i="13" s="1"/>
  <c r="X785" i="13" s="1"/>
  <c r="X786" i="13" s="1"/>
  <c r="X787" i="13" s="1"/>
  <c r="X788" i="13" s="1"/>
  <c r="X789" i="13" s="1"/>
  <c r="X790" i="13" s="1"/>
  <c r="X791" i="13" s="1"/>
  <c r="X792" i="13" s="1"/>
  <c r="X793" i="13" s="1"/>
  <c r="X794" i="13" s="1"/>
  <c r="X795" i="13" s="1"/>
  <c r="X796" i="13" s="1"/>
  <c r="X797" i="13" s="1"/>
  <c r="X798" i="13" s="1"/>
  <c r="X799" i="13" s="1"/>
  <c r="X800" i="13" s="1"/>
  <c r="X801" i="13" s="1"/>
  <c r="X802" i="13" s="1"/>
  <c r="X803" i="13" s="1"/>
  <c r="X804" i="13" s="1"/>
  <c r="X805" i="13" s="1"/>
  <c r="X806" i="13" s="1"/>
  <c r="X807" i="13" s="1"/>
  <c r="X808" i="13" s="1"/>
  <c r="X809" i="13" s="1"/>
  <c r="X810" i="13" s="1"/>
  <c r="X811" i="13" s="1"/>
  <c r="X812" i="13" s="1"/>
  <c r="X813" i="13" s="1"/>
  <c r="X814" i="13" s="1"/>
  <c r="X815" i="13" s="1"/>
  <c r="X816" i="13" s="1"/>
  <c r="X817" i="13" s="1"/>
  <c r="X818" i="13" s="1"/>
  <c r="X819" i="13" s="1"/>
  <c r="X820" i="13" s="1"/>
  <c r="X821" i="13" s="1"/>
  <c r="X822" i="13" s="1"/>
  <c r="X823" i="13" s="1"/>
  <c r="X824" i="13" s="1"/>
  <c r="X825" i="13" s="1"/>
  <c r="X826" i="13" s="1"/>
  <c r="X827" i="13" s="1"/>
  <c r="X828" i="13" s="1"/>
  <c r="X829" i="13" s="1"/>
  <c r="X830" i="13" s="1"/>
  <c r="X831" i="13" s="1"/>
  <c r="X832" i="13" s="1"/>
  <c r="X833" i="13" s="1"/>
  <c r="X834" i="13" s="1"/>
  <c r="X835" i="13" s="1"/>
  <c r="X836" i="13" s="1"/>
  <c r="X837" i="13" s="1"/>
  <c r="X838" i="13" s="1"/>
  <c r="X839" i="13" s="1"/>
  <c r="X840" i="13" s="1"/>
  <c r="X841" i="13" s="1"/>
  <c r="X842" i="13" s="1"/>
  <c r="X843" i="13" s="1"/>
  <c r="X844" i="13" s="1"/>
  <c r="X845" i="13" s="1"/>
  <c r="X846" i="13" s="1"/>
  <c r="X847" i="13" s="1"/>
  <c r="X848" i="13" s="1"/>
  <c r="X849" i="13" s="1"/>
  <c r="X850" i="13" s="1"/>
  <c r="X851" i="13" s="1"/>
  <c r="X852" i="13" s="1"/>
  <c r="X853" i="13" s="1"/>
  <c r="X854" i="13" s="1"/>
  <c r="X855" i="13" s="1"/>
  <c r="X856" i="13" s="1"/>
  <c r="X857" i="13" s="1"/>
  <c r="X858" i="13" s="1"/>
  <c r="X859" i="13" s="1"/>
  <c r="X860" i="13" s="1"/>
  <c r="X861" i="13" s="1"/>
  <c r="X862" i="13" s="1"/>
  <c r="X863" i="13" s="1"/>
  <c r="X864" i="13" s="1"/>
  <c r="X865" i="13" s="1"/>
  <c r="X866" i="13" s="1"/>
  <c r="X867" i="13" s="1"/>
  <c r="X868" i="13" s="1"/>
  <c r="X869" i="13" s="1"/>
  <c r="X870" i="13" s="1"/>
  <c r="X871" i="13" s="1"/>
  <c r="X872" i="13" s="1"/>
  <c r="X873" i="13" s="1"/>
  <c r="X874" i="13" s="1"/>
  <c r="X875" i="13" s="1"/>
  <c r="X876" i="13" s="1"/>
  <c r="X877" i="13" s="1"/>
  <c r="X878" i="13" s="1"/>
  <c r="X879" i="13" s="1"/>
  <c r="X880" i="13" s="1"/>
  <c r="X881" i="13" s="1"/>
  <c r="X882" i="13" s="1"/>
  <c r="X883" i="13" s="1"/>
  <c r="X884" i="13" s="1"/>
  <c r="X885" i="13" s="1"/>
  <c r="X886" i="13" s="1"/>
  <c r="X887" i="13" s="1"/>
  <c r="X888" i="13" s="1"/>
  <c r="X889" i="13" s="1"/>
  <c r="X890" i="13" s="1"/>
  <c r="X891" i="13" s="1"/>
  <c r="X892" i="13" s="1"/>
  <c r="X893" i="13" s="1"/>
  <c r="X894" i="13" s="1"/>
  <c r="X895" i="13" s="1"/>
  <c r="X896" i="13" s="1"/>
  <c r="X897" i="13" s="1"/>
  <c r="X898" i="13" s="1"/>
  <c r="X899" i="13" s="1"/>
  <c r="X900" i="13" s="1"/>
  <c r="X901" i="13" s="1"/>
  <c r="X902" i="13" s="1"/>
  <c r="X903" i="13" s="1"/>
  <c r="X904" i="13" s="1"/>
  <c r="X905" i="13" s="1"/>
  <c r="X906" i="13" s="1"/>
  <c r="X907" i="13" s="1"/>
  <c r="X908" i="13" s="1"/>
  <c r="X909" i="13" s="1"/>
  <c r="X910" i="13" s="1"/>
  <c r="X911" i="13" s="1"/>
  <c r="X912" i="13" s="1"/>
  <c r="X913" i="13" s="1"/>
  <c r="X914" i="13" s="1"/>
  <c r="X915" i="13" s="1"/>
  <c r="X916" i="13" s="1"/>
  <c r="X917" i="13" s="1"/>
  <c r="X918" i="13" s="1"/>
  <c r="X919" i="13" s="1"/>
  <c r="X920" i="13" s="1"/>
  <c r="X921" i="13" s="1"/>
  <c r="X922" i="13" s="1"/>
  <c r="X923" i="13" s="1"/>
  <c r="X924" i="13" s="1"/>
  <c r="X925" i="13" s="1"/>
  <c r="X926" i="13" s="1"/>
  <c r="X927" i="13" s="1"/>
  <c r="X928" i="13" s="1"/>
  <c r="X929" i="13" s="1"/>
  <c r="X930" i="13" s="1"/>
  <c r="X931" i="13" s="1"/>
  <c r="X932" i="13" s="1"/>
  <c r="X933" i="13" s="1"/>
  <c r="X934" i="13" s="1"/>
  <c r="X935" i="13" s="1"/>
  <c r="X936" i="13" s="1"/>
  <c r="X937" i="13" s="1"/>
  <c r="X938" i="13" s="1"/>
  <c r="X939" i="13" s="1"/>
  <c r="X940" i="13" s="1"/>
  <c r="X941" i="13" s="1"/>
  <c r="X942" i="13" s="1"/>
  <c r="X943" i="13" s="1"/>
  <c r="X944" i="13" s="1"/>
  <c r="X945" i="13" s="1"/>
  <c r="X946" i="13" s="1"/>
  <c r="X947" i="13" s="1"/>
  <c r="X948" i="13" s="1"/>
  <c r="X949" i="13" s="1"/>
  <c r="X950" i="13" s="1"/>
  <c r="X951" i="13" s="1"/>
  <c r="X952" i="13" s="1"/>
  <c r="X953" i="13" s="1"/>
  <c r="X954" i="13" s="1"/>
  <c r="X955" i="13" s="1"/>
  <c r="X956" i="13" s="1"/>
  <c r="X957" i="13" s="1"/>
  <c r="X958" i="13" s="1"/>
  <c r="X959" i="13" s="1"/>
  <c r="X960" i="13" s="1"/>
  <c r="X961" i="13" s="1"/>
  <c r="X962" i="13" s="1"/>
  <c r="X963" i="13" s="1"/>
  <c r="X964" i="13" s="1"/>
  <c r="X965" i="13" s="1"/>
  <c r="X966" i="13" s="1"/>
  <c r="X967" i="13" s="1"/>
  <c r="X968" i="13" s="1"/>
  <c r="X969" i="13" s="1"/>
  <c r="X970" i="13" s="1"/>
  <c r="X971" i="13" s="1"/>
  <c r="X972" i="13" s="1"/>
  <c r="X973" i="13" s="1"/>
  <c r="X974" i="13" s="1"/>
  <c r="X975" i="13" s="1"/>
  <c r="X976" i="13" s="1"/>
  <c r="X977" i="13" s="1"/>
  <c r="X978" i="13" s="1"/>
  <c r="X979" i="13" s="1"/>
  <c r="X980" i="13" s="1"/>
  <c r="X981" i="13" s="1"/>
  <c r="X982" i="13" s="1"/>
  <c r="X983" i="13" s="1"/>
  <c r="X984" i="13" s="1"/>
  <c r="X985" i="13" s="1"/>
  <c r="X986" i="13" s="1"/>
  <c r="X987" i="13" s="1"/>
  <c r="X988" i="13" s="1"/>
  <c r="X989" i="13" s="1"/>
  <c r="X990" i="13" s="1"/>
  <c r="X991" i="13" s="1"/>
  <c r="X992" i="13" s="1"/>
  <c r="X993" i="13" s="1"/>
  <c r="X994" i="13" s="1"/>
  <c r="X995" i="13" s="1"/>
  <c r="X996" i="13" s="1"/>
  <c r="X997" i="13" s="1"/>
  <c r="X998" i="13" s="1"/>
  <c r="X999" i="13" s="1"/>
  <c r="X1000" i="13" s="1"/>
  <c r="X1001" i="13" s="1"/>
  <c r="X1002" i="13" s="1"/>
  <c r="X1003" i="13" s="1"/>
  <c r="X1004" i="13" s="1"/>
  <c r="X1005" i="13" s="1"/>
  <c r="X1006" i="13" s="1"/>
  <c r="X1007" i="13" s="1"/>
  <c r="X1008" i="13" s="1"/>
  <c r="X1009" i="13" s="1"/>
  <c r="X1010" i="13" s="1"/>
  <c r="X1011" i="13" s="1"/>
  <c r="X1012" i="13" s="1"/>
  <c r="X1013" i="13" s="1"/>
  <c r="X1014" i="13" s="1"/>
  <c r="X1015" i="13" s="1"/>
  <c r="X1016" i="13" s="1"/>
  <c r="X1017" i="13" s="1"/>
  <c r="X1018" i="13" s="1"/>
  <c r="X1019" i="13" s="1"/>
  <c r="X1020" i="13" s="1"/>
  <c r="X1021" i="13" s="1"/>
  <c r="X1022" i="13" s="1"/>
  <c r="X1023" i="13" s="1"/>
  <c r="X1024" i="13" s="1"/>
  <c r="X1025" i="13" s="1"/>
  <c r="X1026" i="13" s="1"/>
  <c r="X1027" i="13" s="1"/>
  <c r="X1028" i="13" s="1"/>
  <c r="X1029" i="13" s="1"/>
  <c r="X1030" i="13" s="1"/>
  <c r="X1031" i="13" s="1"/>
  <c r="X1032" i="13" s="1"/>
  <c r="X1033" i="13" s="1"/>
  <c r="X1034" i="13" s="1"/>
  <c r="X1035" i="13" s="1"/>
  <c r="X1036" i="13" s="1"/>
  <c r="X1037" i="13" s="1"/>
  <c r="X1038" i="13" s="1"/>
  <c r="X1039" i="13" s="1"/>
  <c r="X1040" i="13" s="1"/>
  <c r="X1041" i="13" s="1"/>
  <c r="X1042" i="13" s="1"/>
  <c r="X1043" i="13" s="1"/>
  <c r="X1044" i="13" s="1"/>
  <c r="X1045" i="13" s="1"/>
  <c r="X1046" i="13" s="1"/>
  <c r="X1047" i="13" s="1"/>
  <c r="X1048" i="13" s="1"/>
  <c r="X1049" i="13" s="1"/>
  <c r="X1050" i="13" s="1"/>
  <c r="X1051" i="13" s="1"/>
  <c r="X1052" i="13" s="1"/>
  <c r="X1053" i="13" s="1"/>
  <c r="X1054" i="13" s="1"/>
  <c r="X1055" i="13" s="1"/>
  <c r="X1056" i="13" s="1"/>
  <c r="X1057" i="13" s="1"/>
  <c r="X1058" i="13" s="1"/>
  <c r="X1059" i="13" s="1"/>
  <c r="X1060" i="13" s="1"/>
  <c r="X1061" i="13" s="1"/>
  <c r="X1062" i="13" s="1"/>
  <c r="X1063" i="13" s="1"/>
  <c r="X1064" i="13" s="1"/>
  <c r="X1065" i="13" s="1"/>
  <c r="X1066" i="13" s="1"/>
  <c r="X1067" i="13" s="1"/>
  <c r="X1068" i="13" s="1"/>
  <c r="X1069" i="13" s="1"/>
  <c r="X1070" i="13" s="1"/>
  <c r="X1071" i="13" s="1"/>
  <c r="X1072" i="13" s="1"/>
  <c r="X1073" i="13" s="1"/>
  <c r="X1074" i="13" s="1"/>
  <c r="X1075" i="13" s="1"/>
  <c r="X1076" i="13" s="1"/>
  <c r="X1077" i="13" s="1"/>
  <c r="X1078" i="13" s="1"/>
  <c r="X1079" i="13" s="1"/>
  <c r="X1080" i="13" s="1"/>
  <c r="X1081" i="13" s="1"/>
  <c r="X1082" i="13" s="1"/>
  <c r="X1083" i="13" s="1"/>
  <c r="X1084" i="13" s="1"/>
  <c r="X1085" i="13" s="1"/>
  <c r="X1086" i="13" s="1"/>
  <c r="X1087" i="13" s="1"/>
  <c r="X1088" i="13" s="1"/>
  <c r="X1089" i="13" s="1"/>
  <c r="X1090" i="13" s="1"/>
  <c r="X1091" i="13" s="1"/>
  <c r="X1092" i="13" s="1"/>
  <c r="X1093" i="13" s="1"/>
  <c r="X1094" i="13" s="1"/>
  <c r="X1095" i="13" s="1"/>
  <c r="X1096" i="13" s="1"/>
  <c r="X1097" i="13" s="1"/>
  <c r="X1098" i="13" s="1"/>
  <c r="X1099" i="13" s="1"/>
  <c r="X1100" i="13" s="1"/>
  <c r="X1101" i="13" s="1"/>
  <c r="X1102" i="13" s="1"/>
  <c r="X1103" i="13" s="1"/>
  <c r="X1104" i="13" s="1"/>
  <c r="X1105" i="13" s="1"/>
  <c r="X1106" i="13" s="1"/>
  <c r="X1107" i="13" s="1"/>
  <c r="X1108" i="13" s="1"/>
  <c r="X1109" i="13" s="1"/>
  <c r="X1110" i="13" s="1"/>
  <c r="X1111" i="13" s="1"/>
  <c r="X1112" i="13" s="1"/>
  <c r="X1113" i="13" s="1"/>
  <c r="X1114" i="13" s="1"/>
  <c r="X1115" i="13" s="1"/>
  <c r="X1116" i="13" s="1"/>
  <c r="X1117" i="13" s="1"/>
  <c r="X1118" i="13" s="1"/>
  <c r="X1119" i="13" s="1"/>
  <c r="X1120" i="13" s="1"/>
  <c r="X1121" i="13" s="1"/>
  <c r="X1122" i="13" s="1"/>
  <c r="X1123" i="13" s="1"/>
  <c r="X1124" i="13" s="1"/>
  <c r="X1125" i="13" s="1"/>
  <c r="X1126" i="13" s="1"/>
  <c r="X1127" i="13" s="1"/>
  <c r="X1128" i="13" s="1"/>
  <c r="X1129" i="13" s="1"/>
  <c r="X1130" i="13" s="1"/>
  <c r="X1131" i="13" s="1"/>
  <c r="X1132" i="13" s="1"/>
  <c r="X1133" i="13" s="1"/>
  <c r="X1134" i="13" s="1"/>
  <c r="X1135" i="13" s="1"/>
  <c r="X1136" i="13" s="1"/>
  <c r="X1137" i="13" s="1"/>
  <c r="X1138" i="13" s="1"/>
  <c r="X1139" i="13" s="1"/>
  <c r="X1140" i="13" s="1"/>
  <c r="X1141" i="13" s="1"/>
  <c r="X1142" i="13" s="1"/>
  <c r="X1143" i="13" s="1"/>
  <c r="X1144" i="13" s="1"/>
  <c r="X1145" i="13" s="1"/>
  <c r="X1146" i="13" s="1"/>
  <c r="X1147" i="13" s="1"/>
  <c r="X1148" i="13" s="1"/>
  <c r="X1149" i="13" s="1"/>
  <c r="X1150" i="13" s="1"/>
  <c r="X1151" i="13" s="1"/>
  <c r="X1152" i="13" s="1"/>
  <c r="X1153" i="13" s="1"/>
  <c r="X1154" i="13" s="1"/>
  <c r="X1155" i="13" s="1"/>
  <c r="X1156" i="13" s="1"/>
  <c r="X1157" i="13" s="1"/>
  <c r="X1158" i="13" s="1"/>
  <c r="X1159" i="13" s="1"/>
  <c r="X1160" i="13" s="1"/>
  <c r="X1161" i="13" s="1"/>
  <c r="X1162" i="13" s="1"/>
  <c r="X1163" i="13" s="1"/>
  <c r="X1164" i="13" s="1"/>
  <c r="X1165" i="13" s="1"/>
  <c r="X1166" i="13" s="1"/>
  <c r="X1167" i="13" s="1"/>
  <c r="X1168" i="13" s="1"/>
  <c r="X1169" i="13" s="1"/>
  <c r="X1170" i="13" s="1"/>
  <c r="X1171" i="13" s="1"/>
  <c r="X1172" i="13" s="1"/>
  <c r="X1173" i="13" s="1"/>
  <c r="X1174" i="13" s="1"/>
  <c r="X1175" i="13" s="1"/>
  <c r="X1176" i="13" s="1"/>
  <c r="X1177" i="13" s="1"/>
  <c r="X1178" i="13" s="1"/>
  <c r="X1179" i="13" s="1"/>
  <c r="X1180" i="13" s="1"/>
  <c r="X1181" i="13" s="1"/>
  <c r="X1182" i="13" s="1"/>
  <c r="X1183" i="13" s="1"/>
  <c r="X1184" i="13" s="1"/>
  <c r="X1185" i="13" s="1"/>
  <c r="X1186" i="13" s="1"/>
  <c r="X1187" i="13" s="1"/>
  <c r="X1188" i="13" s="1"/>
  <c r="X1189" i="13" s="1"/>
  <c r="X1190" i="13" s="1"/>
  <c r="X1191" i="13" s="1"/>
  <c r="X1192" i="13" s="1"/>
  <c r="X1193" i="13" s="1"/>
  <c r="X1194" i="13" s="1"/>
  <c r="X1195" i="13" s="1"/>
  <c r="X1196" i="13" s="1"/>
  <c r="X1197" i="13" s="1"/>
  <c r="X1198" i="13" s="1"/>
  <c r="X1199" i="13" s="1"/>
  <c r="X1200" i="13" s="1"/>
  <c r="X1201" i="13" s="1"/>
  <c r="X1202" i="13" s="1"/>
  <c r="X1203" i="13" s="1"/>
  <c r="X1204" i="13" s="1"/>
  <c r="X1205" i="13" s="1"/>
  <c r="X1206" i="13" s="1"/>
  <c r="X1207" i="13" s="1"/>
  <c r="X1208" i="13" s="1"/>
  <c r="X1209" i="13" s="1"/>
  <c r="X1210" i="13" s="1"/>
  <c r="X1211" i="13" s="1"/>
  <c r="X1212" i="13" s="1"/>
  <c r="X1213" i="13" s="1"/>
  <c r="X1214" i="13" s="1"/>
  <c r="X1215" i="13" s="1"/>
  <c r="X1216" i="13" s="1"/>
  <c r="X1217" i="13" s="1"/>
  <c r="X1218" i="13" s="1"/>
  <c r="X1219" i="13" s="1"/>
  <c r="X1220" i="13" s="1"/>
  <c r="X1221" i="13" s="1"/>
  <c r="X1222" i="13" s="1"/>
  <c r="X1223" i="13" s="1"/>
  <c r="X1224" i="13" s="1"/>
  <c r="X1225" i="13" s="1"/>
  <c r="X1226" i="13" s="1"/>
  <c r="X1227" i="13" s="1"/>
  <c r="X1228" i="13" s="1"/>
  <c r="X1229" i="13" s="1"/>
  <c r="X1230" i="13" s="1"/>
  <c r="X1231" i="13" s="1"/>
  <c r="X1232" i="13" s="1"/>
  <c r="X1233" i="13" s="1"/>
  <c r="X1234" i="13" s="1"/>
  <c r="X1235" i="13" s="1"/>
  <c r="X1236" i="13" s="1"/>
  <c r="X1237" i="13" s="1"/>
  <c r="X1238" i="13" s="1"/>
  <c r="X1239" i="13" s="1"/>
  <c r="X1240" i="13" s="1"/>
  <c r="X1241" i="13" s="1"/>
  <c r="X1242" i="13" s="1"/>
  <c r="X1243" i="13" s="1"/>
  <c r="X1244" i="13" s="1"/>
  <c r="X1245" i="13" s="1"/>
  <c r="X1246" i="13" s="1"/>
  <c r="X1247" i="13" s="1"/>
  <c r="X1248" i="13" s="1"/>
  <c r="X1249" i="13" s="1"/>
  <c r="X1250" i="13" s="1"/>
  <c r="X1251" i="13" s="1"/>
  <c r="X1252" i="13" s="1"/>
  <c r="X1253" i="13" s="1"/>
  <c r="X1254" i="13" s="1"/>
  <c r="X1255" i="13" s="1"/>
  <c r="X1256" i="13" s="1"/>
  <c r="X1257" i="13" s="1"/>
  <c r="X1258" i="13" s="1"/>
  <c r="X1259" i="13" s="1"/>
  <c r="X1260" i="13" s="1"/>
  <c r="X1261" i="13" s="1"/>
  <c r="X1262" i="13" s="1"/>
  <c r="X1263" i="13" s="1"/>
  <c r="X1264" i="13" s="1"/>
  <c r="X1265" i="13" s="1"/>
  <c r="X1266" i="13" s="1"/>
  <c r="X1267" i="13" s="1"/>
  <c r="X1268" i="13" s="1"/>
  <c r="X1269" i="13" s="1"/>
  <c r="X1270" i="13" s="1"/>
  <c r="X1271" i="13" s="1"/>
  <c r="X1272" i="13" s="1"/>
  <c r="X1273" i="13" s="1"/>
  <c r="X1274" i="13" s="1"/>
  <c r="X1275" i="13" s="1"/>
  <c r="X1276" i="13" s="1"/>
  <c r="X1277" i="13" s="1"/>
  <c r="X1278" i="13" s="1"/>
  <c r="X1279" i="13" s="1"/>
  <c r="X1280" i="13" s="1"/>
  <c r="X1281" i="13" s="1"/>
  <c r="X1282" i="13" s="1"/>
  <c r="X1283" i="13" s="1"/>
  <c r="X1284" i="13" s="1"/>
  <c r="X1285" i="13" s="1"/>
  <c r="X1286" i="13" s="1"/>
  <c r="X1287" i="13" s="1"/>
  <c r="X1288" i="13" s="1"/>
  <c r="X1289" i="13" s="1"/>
  <c r="X1290" i="13" s="1"/>
  <c r="X1291" i="13" s="1"/>
  <c r="X1292" i="13" s="1"/>
  <c r="X1293" i="13" s="1"/>
  <c r="X1294" i="13" s="1"/>
  <c r="X1295" i="13" s="1"/>
  <c r="X1296" i="13" s="1"/>
  <c r="X1297" i="13" s="1"/>
  <c r="X1298" i="13" s="1"/>
  <c r="X1299" i="13" s="1"/>
  <c r="X1300" i="13" s="1"/>
  <c r="X1301" i="13" s="1"/>
  <c r="X1302" i="13" s="1"/>
  <c r="X1303" i="13" s="1"/>
  <c r="X1304" i="13" s="1"/>
  <c r="X1305" i="13" s="1"/>
  <c r="X1306" i="13" s="1"/>
  <c r="X1307" i="13" s="1"/>
  <c r="X1308" i="13" s="1"/>
  <c r="X1309" i="13" s="1"/>
  <c r="X1310" i="13" s="1"/>
  <c r="X1311" i="13" s="1"/>
  <c r="X1312" i="13" s="1"/>
  <c r="X1313" i="13" s="1"/>
  <c r="X1314" i="13" s="1"/>
  <c r="X1315" i="13" s="1"/>
  <c r="X1316" i="13" s="1"/>
  <c r="X1317" i="13" s="1"/>
  <c r="X1318" i="13" s="1"/>
  <c r="X1319" i="13" s="1"/>
  <c r="X1320" i="13" s="1"/>
  <c r="X1321" i="13" s="1"/>
  <c r="X1322" i="13" s="1"/>
  <c r="X1323" i="13" s="1"/>
  <c r="X1324" i="13" s="1"/>
  <c r="X1325" i="13" s="1"/>
  <c r="X1326" i="13" s="1"/>
  <c r="X1327" i="13" s="1"/>
  <c r="X1328" i="13" s="1"/>
  <c r="X1329" i="13" s="1"/>
  <c r="X1330" i="13" s="1"/>
  <c r="X1331" i="13" s="1"/>
  <c r="X1332" i="13" s="1"/>
  <c r="X1333" i="13" s="1"/>
  <c r="X1334" i="13" s="1"/>
  <c r="X1335" i="13" s="1"/>
  <c r="X1336" i="13" s="1"/>
  <c r="X1337" i="13" s="1"/>
  <c r="X1338" i="13" s="1"/>
  <c r="X1339" i="13" s="1"/>
  <c r="X1340" i="13" s="1"/>
  <c r="X1341" i="13" s="1"/>
  <c r="X1342" i="13" s="1"/>
  <c r="X1343" i="13" s="1"/>
  <c r="X1344" i="13" s="1"/>
  <c r="X1345" i="13" s="1"/>
  <c r="X1346" i="13" s="1"/>
  <c r="X1347" i="13" s="1"/>
  <c r="X1348" i="13" s="1"/>
  <c r="X1349" i="13" s="1"/>
  <c r="X1350" i="13" s="1"/>
  <c r="X1351" i="13" s="1"/>
  <c r="X1352" i="13" s="1"/>
  <c r="X1353" i="13" s="1"/>
  <c r="X1354" i="13" s="1"/>
  <c r="X1355" i="13" s="1"/>
  <c r="X1356" i="13" s="1"/>
  <c r="X1357" i="13" s="1"/>
  <c r="X1358" i="13" s="1"/>
  <c r="X1359" i="13" s="1"/>
  <c r="X1360" i="13" s="1"/>
  <c r="X1361" i="13" s="1"/>
  <c r="X1362" i="13" s="1"/>
  <c r="X1363" i="13" s="1"/>
  <c r="X1364" i="13" s="1"/>
  <c r="X1365" i="13" s="1"/>
  <c r="X1366" i="13" s="1"/>
  <c r="X1367" i="13" s="1"/>
  <c r="X1368" i="13" s="1"/>
  <c r="X1369" i="13" s="1"/>
  <c r="X1370" i="13" s="1"/>
  <c r="X1371" i="13" s="1"/>
  <c r="X1372" i="13" s="1"/>
  <c r="X1373" i="13" s="1"/>
  <c r="X1374" i="13" s="1"/>
  <c r="X1375" i="13" s="1"/>
  <c r="X1376" i="13" s="1"/>
  <c r="X1377" i="13" s="1"/>
  <c r="X1378" i="13" s="1"/>
  <c r="X1379" i="13" s="1"/>
  <c r="X1380" i="13" s="1"/>
  <c r="X1381" i="13" s="1"/>
  <c r="X1382" i="13" s="1"/>
  <c r="X1383" i="13" s="1"/>
  <c r="X1384" i="13" s="1"/>
  <c r="X1385" i="13" s="1"/>
  <c r="X1386" i="13" s="1"/>
  <c r="X1387" i="13" s="1"/>
  <c r="X1388" i="13" s="1"/>
  <c r="X1389" i="13" s="1"/>
  <c r="X1390" i="13" s="1"/>
  <c r="X1391" i="13" s="1"/>
  <c r="X1392" i="13" s="1"/>
  <c r="X1393" i="13" s="1"/>
  <c r="X1394" i="13" s="1"/>
  <c r="X1395" i="13" s="1"/>
  <c r="X1396" i="13" s="1"/>
  <c r="X1397" i="13" s="1"/>
  <c r="X1398" i="13" s="1"/>
  <c r="X1399" i="13" s="1"/>
  <c r="X1400" i="13" s="1"/>
  <c r="X1401" i="13" s="1"/>
  <c r="X1402" i="13" s="1"/>
  <c r="X1403" i="13" s="1"/>
  <c r="X1404" i="13" s="1"/>
  <c r="X1405" i="13" s="1"/>
  <c r="X1406" i="13" s="1"/>
  <c r="X1407" i="13" s="1"/>
  <c r="X1408" i="13" s="1"/>
  <c r="X1409" i="13" s="1"/>
  <c r="X1410" i="13" s="1"/>
  <c r="X1411" i="13" s="1"/>
  <c r="X1412" i="13" s="1"/>
  <c r="X1413" i="13" s="1"/>
  <c r="X1414" i="13" s="1"/>
  <c r="X1415" i="13" s="1"/>
  <c r="X1416" i="13" s="1"/>
  <c r="X1417" i="13" s="1"/>
  <c r="X1418" i="13" s="1"/>
  <c r="X1419" i="13" s="1"/>
  <c r="X1420" i="13" s="1"/>
  <c r="X1421" i="13" s="1"/>
  <c r="X1422" i="13" s="1"/>
  <c r="X1423" i="13" s="1"/>
  <c r="X1424" i="13" s="1"/>
  <c r="X1425" i="13" s="1"/>
  <c r="X1426" i="13" s="1"/>
  <c r="X1427" i="13" s="1"/>
  <c r="X1428" i="13" s="1"/>
  <c r="X1429" i="13" s="1"/>
  <c r="X1430" i="13" s="1"/>
  <c r="X1431" i="13" s="1"/>
  <c r="X1432" i="13" s="1"/>
  <c r="X1433" i="13" s="1"/>
  <c r="X1434" i="13" s="1"/>
  <c r="X1435" i="13" s="1"/>
  <c r="X1436" i="13" s="1"/>
  <c r="X1437" i="13" s="1"/>
  <c r="X1438" i="13" s="1"/>
  <c r="X1439" i="13" s="1"/>
  <c r="X1440" i="13" s="1"/>
  <c r="X1441" i="13" s="1"/>
  <c r="X1442" i="13" s="1"/>
  <c r="X1443" i="13" s="1"/>
  <c r="X1444" i="13" s="1"/>
  <c r="X1445" i="13" s="1"/>
  <c r="X1446" i="13" s="1"/>
  <c r="X1447" i="13" s="1"/>
  <c r="X1448" i="13" s="1"/>
  <c r="X1449" i="13" s="1"/>
  <c r="X1450" i="13" s="1"/>
  <c r="X1451" i="13" s="1"/>
  <c r="X1452" i="13" s="1"/>
  <c r="X1453" i="13" s="1"/>
  <c r="X1454" i="13" s="1"/>
  <c r="X1455" i="13" s="1"/>
  <c r="X1456" i="13" s="1"/>
  <c r="X1457" i="13" s="1"/>
  <c r="X1458" i="13" s="1"/>
  <c r="X1459" i="13" s="1"/>
  <c r="X1460" i="13" s="1"/>
  <c r="X1461" i="13" s="1"/>
  <c r="X1462" i="13" s="1"/>
  <c r="X1463" i="13" s="1"/>
  <c r="X1464" i="13" s="1"/>
  <c r="X1465" i="13" s="1"/>
  <c r="X1466" i="13" s="1"/>
  <c r="X1467" i="13" s="1"/>
  <c r="X1468" i="13" s="1"/>
  <c r="X1469" i="13" s="1"/>
  <c r="X1470" i="13" s="1"/>
  <c r="X1471" i="13" s="1"/>
  <c r="X1472" i="13" s="1"/>
  <c r="X1473" i="13" s="1"/>
  <c r="X1474" i="13" s="1"/>
  <c r="X1475" i="13" s="1"/>
  <c r="X1476" i="13" s="1"/>
  <c r="X1477" i="13" s="1"/>
  <c r="X1478" i="13" s="1"/>
  <c r="X1479" i="13" s="1"/>
  <c r="X1480" i="13" s="1"/>
  <c r="X1481" i="13" s="1"/>
  <c r="X1482" i="13" s="1"/>
  <c r="X1483" i="13" s="1"/>
  <c r="X1484" i="13" s="1"/>
  <c r="X1485" i="13" s="1"/>
  <c r="X1486" i="13" s="1"/>
  <c r="X1487" i="13" s="1"/>
  <c r="X1488" i="13" s="1"/>
  <c r="X1489" i="13" s="1"/>
  <c r="X1490" i="13" s="1"/>
  <c r="X1491" i="13" s="1"/>
  <c r="X1492" i="13" s="1"/>
  <c r="X1493" i="13" s="1"/>
  <c r="X1494" i="13" s="1"/>
  <c r="X1495" i="13" s="1"/>
  <c r="X1496" i="13" s="1"/>
  <c r="X1497" i="13" s="1"/>
  <c r="X1498" i="13" s="1"/>
  <c r="X1499" i="13" s="1"/>
  <c r="X1500" i="13" s="1"/>
  <c r="X1501" i="13" s="1"/>
  <c r="X1502" i="13" s="1"/>
  <c r="X1503" i="13" s="1"/>
  <c r="X1504" i="13" s="1"/>
  <c r="X1505" i="13" s="1"/>
  <c r="X1506" i="13" s="1"/>
  <c r="X1507" i="13" s="1"/>
  <c r="X1508" i="13" s="1"/>
  <c r="X1509" i="13" s="1"/>
  <c r="X1510" i="13" s="1"/>
  <c r="X1511" i="13" s="1"/>
  <c r="X1512" i="13" s="1"/>
  <c r="X1513" i="13" s="1"/>
  <c r="X1514" i="13" s="1"/>
  <c r="X1515" i="13" s="1"/>
  <c r="X1516" i="13" s="1"/>
  <c r="X1517" i="13" s="1"/>
  <c r="X1518" i="13" s="1"/>
  <c r="X1519" i="13" s="1"/>
  <c r="X1520" i="13" s="1"/>
  <c r="X1521" i="13" s="1"/>
  <c r="X1522" i="13" s="1"/>
  <c r="X1523" i="13" s="1"/>
  <c r="X1524" i="13" s="1"/>
  <c r="X1525" i="13" s="1"/>
  <c r="X1526" i="13" s="1"/>
  <c r="X1527" i="13" s="1"/>
  <c r="X1528" i="13" s="1"/>
  <c r="X1529" i="13" s="1"/>
  <c r="X1530" i="13" s="1"/>
  <c r="X1531" i="13" s="1"/>
  <c r="X1532" i="13" s="1"/>
  <c r="X1533" i="13" s="1"/>
  <c r="X1534" i="13" s="1"/>
  <c r="X1535" i="13" s="1"/>
  <c r="X1536" i="13" s="1"/>
  <c r="X1537" i="13" s="1"/>
  <c r="X1538" i="13" s="1"/>
  <c r="X1539" i="13" s="1"/>
  <c r="X1540" i="13" s="1"/>
  <c r="X1541" i="13" s="1"/>
  <c r="X1542" i="13" s="1"/>
  <c r="X1543" i="13" s="1"/>
  <c r="X1544" i="13" s="1"/>
  <c r="X1545" i="13" s="1"/>
  <c r="X1546" i="13" s="1"/>
  <c r="X1547" i="13" s="1"/>
  <c r="X1548" i="13" s="1"/>
  <c r="X1549" i="13" s="1"/>
  <c r="X1550" i="13" s="1"/>
  <c r="X1551" i="13" s="1"/>
  <c r="X1552" i="13" s="1"/>
  <c r="X1553" i="13" s="1"/>
  <c r="X1554" i="13" s="1"/>
  <c r="X1555" i="13" s="1"/>
  <c r="X1556" i="13" s="1"/>
  <c r="X1557" i="13" s="1"/>
  <c r="X1558" i="13" s="1"/>
  <c r="X1559" i="13" s="1"/>
  <c r="X1560" i="13" s="1"/>
  <c r="X1561" i="13" s="1"/>
  <c r="X1562" i="13" s="1"/>
  <c r="X1563" i="13" s="1"/>
  <c r="X1564" i="13" s="1"/>
  <c r="X1565" i="13" s="1"/>
  <c r="X1566" i="13" s="1"/>
  <c r="X1567" i="13" s="1"/>
  <c r="X1568" i="13" s="1"/>
  <c r="X1569" i="13" s="1"/>
  <c r="X1570" i="13" s="1"/>
  <c r="X1571" i="13" s="1"/>
  <c r="X1572" i="13" s="1"/>
  <c r="X1573" i="13" s="1"/>
  <c r="X1574" i="13" s="1"/>
  <c r="X1575" i="13" s="1"/>
  <c r="X1576" i="13" s="1"/>
  <c r="X1577" i="13" s="1"/>
  <c r="X1578" i="13" s="1"/>
  <c r="X1579" i="13" s="1"/>
  <c r="X1580" i="13" s="1"/>
  <c r="X1581" i="13" s="1"/>
  <c r="X1582" i="13" s="1"/>
  <c r="X1583" i="13" s="1"/>
  <c r="X1584" i="13" s="1"/>
  <c r="X1585" i="13" s="1"/>
  <c r="X1586" i="13" s="1"/>
  <c r="X1587" i="13" s="1"/>
  <c r="X1588" i="13" s="1"/>
  <c r="X1589" i="13" s="1"/>
  <c r="X1590" i="13" s="1"/>
  <c r="X1591" i="13" s="1"/>
  <c r="X1592" i="13" s="1"/>
  <c r="X1593" i="13" s="1"/>
  <c r="X1594" i="13" s="1"/>
  <c r="X1595" i="13" s="1"/>
  <c r="X1596" i="13" s="1"/>
  <c r="X1597" i="13" s="1"/>
  <c r="X1598" i="13" s="1"/>
  <c r="X1599" i="13" s="1"/>
  <c r="X1600" i="13" s="1"/>
  <c r="X1601" i="13" s="1"/>
  <c r="X1602" i="13" s="1"/>
  <c r="X1603" i="13" s="1"/>
  <c r="X1604" i="13" s="1"/>
  <c r="X1605" i="13" s="1"/>
  <c r="X1606" i="13" s="1"/>
  <c r="X1607" i="13" s="1"/>
  <c r="X1608" i="13" s="1"/>
  <c r="X1609" i="13" s="1"/>
  <c r="X1610" i="13" s="1"/>
  <c r="X1611" i="13" s="1"/>
  <c r="X1612" i="13" s="1"/>
  <c r="X1613" i="13" s="1"/>
  <c r="X1614" i="13" s="1"/>
  <c r="X1615" i="13" s="1"/>
  <c r="X1616" i="13" s="1"/>
  <c r="X1617" i="13" s="1"/>
  <c r="X1618" i="13" s="1"/>
  <c r="X1619" i="13" s="1"/>
  <c r="X1620" i="13" s="1"/>
  <c r="X1621" i="13" s="1"/>
  <c r="X1622" i="13" s="1"/>
  <c r="X1623" i="13" s="1"/>
  <c r="X1624" i="13" s="1"/>
  <c r="X1625" i="13" s="1"/>
  <c r="X1626" i="13" s="1"/>
  <c r="X1627" i="13" s="1"/>
  <c r="X1628" i="13" s="1"/>
  <c r="X1629" i="13" s="1"/>
  <c r="X1630" i="13" s="1"/>
  <c r="X1631" i="13" s="1"/>
  <c r="X1632" i="13" s="1"/>
  <c r="X1633" i="13" s="1"/>
  <c r="X1634" i="13" s="1"/>
  <c r="X1635" i="13" s="1"/>
  <c r="X1636" i="13" s="1"/>
  <c r="X1637" i="13" s="1"/>
  <c r="X1638" i="13" s="1"/>
  <c r="X1639" i="13" s="1"/>
  <c r="X1640" i="13" s="1"/>
  <c r="X1641" i="13" s="1"/>
  <c r="X1642" i="13" s="1"/>
  <c r="X1643" i="13" s="1"/>
  <c r="X1644" i="13" s="1"/>
  <c r="X1645" i="13" s="1"/>
  <c r="X1646" i="13" s="1"/>
  <c r="X1647" i="13" s="1"/>
  <c r="X1648" i="13" s="1"/>
  <c r="X1649" i="13" s="1"/>
  <c r="X1650" i="13" s="1"/>
  <c r="X1651" i="13" s="1"/>
  <c r="X1652" i="13" s="1"/>
  <c r="X1653" i="13" s="1"/>
  <c r="X1654" i="13" s="1"/>
  <c r="X1655" i="13" s="1"/>
  <c r="X1656" i="13" s="1"/>
  <c r="X1657" i="13" s="1"/>
  <c r="X1658" i="13" s="1"/>
  <c r="X1659" i="13" s="1"/>
  <c r="X1660" i="13" s="1"/>
  <c r="X1661" i="13" s="1"/>
  <c r="X1662" i="13" s="1"/>
  <c r="X1663" i="13" s="1"/>
  <c r="X1664" i="13" s="1"/>
  <c r="X1665" i="13" s="1"/>
  <c r="X1666" i="13" s="1"/>
  <c r="X1667" i="13" s="1"/>
  <c r="X1668" i="13" s="1"/>
  <c r="X1669" i="13" s="1"/>
  <c r="X1670" i="13" s="1"/>
  <c r="X1671" i="13" s="1"/>
  <c r="X1672" i="13" s="1"/>
  <c r="X1673" i="13" s="1"/>
  <c r="X1674" i="13" s="1"/>
  <c r="X1675" i="13" s="1"/>
  <c r="X1676" i="13" s="1"/>
  <c r="X1677" i="13" s="1"/>
  <c r="X1678" i="13" s="1"/>
  <c r="X1679" i="13" s="1"/>
  <c r="X1680" i="13" s="1"/>
  <c r="X1681" i="13" s="1"/>
  <c r="X1682" i="13" s="1"/>
  <c r="X1683" i="13" s="1"/>
  <c r="X1684" i="13" s="1"/>
  <c r="X1685" i="13" s="1"/>
  <c r="X1686" i="13" s="1"/>
  <c r="X1687" i="13" s="1"/>
  <c r="X1688" i="13" s="1"/>
  <c r="X1689" i="13" s="1"/>
  <c r="X1690" i="13" s="1"/>
  <c r="X1691" i="13" s="1"/>
  <c r="X1692" i="13" s="1"/>
  <c r="X1693" i="13" s="1"/>
  <c r="X1694" i="13" s="1"/>
  <c r="X1695" i="13" s="1"/>
  <c r="X1696" i="13" s="1"/>
  <c r="X1697" i="13" s="1"/>
  <c r="X1698" i="13" s="1"/>
  <c r="X1699" i="13" s="1"/>
  <c r="X1700" i="13" s="1"/>
  <c r="X1701" i="13" s="1"/>
  <c r="X1702" i="13" s="1"/>
  <c r="X1703" i="13" s="1"/>
  <c r="X1704" i="13" s="1"/>
  <c r="X1705" i="13" s="1"/>
  <c r="X1706" i="13" s="1"/>
  <c r="X1707" i="13" s="1"/>
  <c r="X1708" i="13" s="1"/>
  <c r="X1709" i="13" s="1"/>
  <c r="X1710" i="13" s="1"/>
  <c r="X1711" i="13" s="1"/>
  <c r="X1712" i="13" s="1"/>
  <c r="X1713" i="13" s="1"/>
  <c r="X1714" i="13" s="1"/>
  <c r="X1715" i="13" s="1"/>
  <c r="X1716" i="13" s="1"/>
  <c r="X1717" i="13" s="1"/>
  <c r="X1718" i="13" s="1"/>
  <c r="X1719" i="13" s="1"/>
  <c r="X1720" i="13" s="1"/>
  <c r="X1721" i="13" s="1"/>
  <c r="X1722" i="13" s="1"/>
  <c r="X1723" i="13" s="1"/>
  <c r="X1724" i="13" s="1"/>
  <c r="X1725" i="13" s="1"/>
  <c r="X1726" i="13" s="1"/>
  <c r="X1727" i="13" s="1"/>
  <c r="X1728" i="13" s="1"/>
  <c r="X1729" i="13" s="1"/>
  <c r="X1730" i="13" s="1"/>
  <c r="X1731" i="13" s="1"/>
  <c r="X1732" i="13" s="1"/>
  <c r="X1733" i="13" s="1"/>
  <c r="X1734" i="13" s="1"/>
  <c r="X1735" i="13" s="1"/>
  <c r="X1736" i="13" s="1"/>
  <c r="X1737" i="13" s="1"/>
  <c r="X1738" i="13" s="1"/>
  <c r="X1739" i="13" s="1"/>
  <c r="X1740" i="13" s="1"/>
  <c r="X1741" i="13" s="1"/>
  <c r="X1742" i="13" s="1"/>
  <c r="X1743" i="13" s="1"/>
  <c r="X1744" i="13" s="1"/>
  <c r="X1745" i="13" s="1"/>
  <c r="X1746" i="13" s="1"/>
  <c r="X1747" i="13" s="1"/>
  <c r="X1748" i="13" s="1"/>
  <c r="X1749" i="13" s="1"/>
  <c r="X1750" i="13" s="1"/>
  <c r="X1751" i="13" s="1"/>
  <c r="X1752" i="13" s="1"/>
  <c r="X1753" i="13" s="1"/>
  <c r="X1754" i="13" s="1"/>
  <c r="X1755" i="13" s="1"/>
  <c r="X1756" i="13" s="1"/>
  <c r="X1757" i="13" s="1"/>
  <c r="X1758" i="13" s="1"/>
  <c r="X1759" i="13" s="1"/>
  <c r="X1760" i="13" s="1"/>
  <c r="X1761" i="13" s="1"/>
  <c r="X1762" i="13" s="1"/>
  <c r="X1763" i="13" s="1"/>
  <c r="X1764" i="13" s="1"/>
  <c r="X1765" i="13" s="1"/>
  <c r="X1766" i="13" s="1"/>
  <c r="X1767" i="13" s="1"/>
  <c r="X1768" i="13" s="1"/>
  <c r="X1769" i="13" s="1"/>
  <c r="X1770" i="13" s="1"/>
  <c r="X1771" i="13" s="1"/>
  <c r="X1772" i="13" s="1"/>
  <c r="X1773" i="13" s="1"/>
  <c r="X1774" i="13" s="1"/>
  <c r="X1775" i="13" s="1"/>
  <c r="X1776" i="13" s="1"/>
  <c r="X1777" i="13" s="1"/>
  <c r="X1778" i="13" s="1"/>
  <c r="X1779" i="13" s="1"/>
  <c r="X1780" i="13" s="1"/>
  <c r="X1781" i="13" s="1"/>
  <c r="X1782" i="13" s="1"/>
  <c r="X1783" i="13" s="1"/>
  <c r="X1784" i="13" s="1"/>
  <c r="X1785" i="13" s="1"/>
  <c r="X1786" i="13" s="1"/>
  <c r="X1787" i="13" s="1"/>
  <c r="X1788" i="13" s="1"/>
  <c r="X1789" i="13" s="1"/>
  <c r="X1790" i="13" s="1"/>
  <c r="X1791" i="13" s="1"/>
  <c r="X1792" i="13" s="1"/>
  <c r="X1793" i="13" s="1"/>
  <c r="X1794" i="13" s="1"/>
  <c r="X1795" i="13" s="1"/>
  <c r="X1796" i="13" s="1"/>
  <c r="X1797" i="13" s="1"/>
  <c r="X1798" i="13" s="1"/>
  <c r="X1799" i="13" s="1"/>
  <c r="X1800" i="13" s="1"/>
  <c r="X1801" i="13" s="1"/>
  <c r="X1802" i="13" s="1"/>
  <c r="X1803" i="13" s="1"/>
  <c r="X1804" i="13" s="1"/>
  <c r="X1805" i="13" s="1"/>
  <c r="X1806" i="13" s="1"/>
  <c r="X1807" i="13" s="1"/>
  <c r="X1808" i="13" s="1"/>
  <c r="X1809" i="13" s="1"/>
  <c r="X1810" i="13" s="1"/>
  <c r="X1811" i="13" s="1"/>
  <c r="X1812" i="13" s="1"/>
  <c r="X1813" i="13" s="1"/>
  <c r="X1814" i="13" s="1"/>
  <c r="X1815" i="13" s="1"/>
  <c r="X1816" i="13" s="1"/>
  <c r="X1817" i="13" s="1"/>
  <c r="X1818" i="13" s="1"/>
  <c r="X1819" i="13" s="1"/>
  <c r="X1820" i="13" s="1"/>
  <c r="X1821" i="13" s="1"/>
  <c r="X1822" i="13" s="1"/>
  <c r="X1823" i="13" s="1"/>
  <c r="X1824" i="13" s="1"/>
  <c r="X1825" i="13" s="1"/>
  <c r="X1826" i="13" s="1"/>
  <c r="X1827" i="13" s="1"/>
  <c r="X1828" i="13" s="1"/>
  <c r="X1829" i="13" s="1"/>
  <c r="X1830" i="13" s="1"/>
  <c r="X1831" i="13" s="1"/>
  <c r="X1832" i="13" s="1"/>
  <c r="X1833" i="13" s="1"/>
  <c r="X1834" i="13" s="1"/>
  <c r="X1835" i="13" s="1"/>
  <c r="X1836" i="13" s="1"/>
  <c r="X1837" i="13" s="1"/>
  <c r="X1838" i="13" s="1"/>
  <c r="X1839" i="13" s="1"/>
  <c r="X1840" i="13" s="1"/>
  <c r="X1841" i="13" s="1"/>
  <c r="X1842" i="13" s="1"/>
  <c r="X1843" i="13" s="1"/>
  <c r="X1844" i="13" s="1"/>
  <c r="X1845" i="13" s="1"/>
  <c r="X1846" i="13" s="1"/>
  <c r="X1847" i="13" s="1"/>
  <c r="X1848" i="13" s="1"/>
  <c r="X1849" i="13" s="1"/>
  <c r="X1850" i="13" s="1"/>
  <c r="X1851" i="13" s="1"/>
  <c r="X1852" i="13" s="1"/>
  <c r="X1853" i="13" s="1"/>
  <c r="X1854" i="13" s="1"/>
  <c r="X1855" i="13" s="1"/>
  <c r="X1856" i="13" s="1"/>
  <c r="X1857" i="13" s="1"/>
  <c r="X1858" i="13" s="1"/>
  <c r="X1859" i="13" s="1"/>
  <c r="X1860" i="13" s="1"/>
  <c r="X1861" i="13" s="1"/>
  <c r="X1862" i="13" s="1"/>
  <c r="X1863" i="13" s="1"/>
  <c r="X1864" i="13" s="1"/>
  <c r="X1865" i="13" s="1"/>
  <c r="X1866" i="13" s="1"/>
  <c r="X1867" i="13" s="1"/>
  <c r="X1868" i="13" s="1"/>
  <c r="X1869" i="13" s="1"/>
  <c r="X1870" i="13" s="1"/>
  <c r="X1871" i="13" s="1"/>
  <c r="X1872" i="13" s="1"/>
  <c r="X1873" i="13" s="1"/>
  <c r="X1874" i="13" s="1"/>
  <c r="X1875" i="13" s="1"/>
  <c r="X1876" i="13" s="1"/>
  <c r="X1877" i="13" s="1"/>
  <c r="X1878" i="13" s="1"/>
  <c r="X1879" i="13" s="1"/>
  <c r="X1880" i="13" s="1"/>
  <c r="X1881" i="13" s="1"/>
  <c r="X1882" i="13" s="1"/>
  <c r="X1883" i="13" s="1"/>
  <c r="X1884" i="13" s="1"/>
  <c r="X1885" i="13" s="1"/>
  <c r="X1886" i="13" s="1"/>
  <c r="X1887" i="13" s="1"/>
  <c r="X1888" i="13" s="1"/>
  <c r="X1889" i="13" s="1"/>
  <c r="X1890" i="13" s="1"/>
  <c r="X1891" i="13" s="1"/>
  <c r="X1892" i="13" s="1"/>
  <c r="X1893" i="13" s="1"/>
  <c r="X1894" i="13" s="1"/>
  <c r="X1895" i="13" s="1"/>
  <c r="X1896" i="13" s="1"/>
  <c r="X1897" i="13" s="1"/>
  <c r="X1898" i="13" s="1"/>
  <c r="X1899" i="13" s="1"/>
  <c r="X1900" i="13" s="1"/>
  <c r="X1901" i="13" s="1"/>
  <c r="X1902" i="13" s="1"/>
  <c r="X1903" i="13" s="1"/>
  <c r="X1904" i="13" s="1"/>
  <c r="X1905" i="13" s="1"/>
  <c r="X1906" i="13" s="1"/>
  <c r="X1907" i="13" s="1"/>
  <c r="X1908" i="13" s="1"/>
  <c r="X1909" i="13" s="1"/>
  <c r="X1910" i="13" s="1"/>
  <c r="X1911" i="13" s="1"/>
  <c r="X1912" i="13" s="1"/>
  <c r="X1913" i="13" s="1"/>
  <c r="X1914" i="13" s="1"/>
  <c r="X1915" i="13" s="1"/>
  <c r="X1916" i="13" s="1"/>
  <c r="X1917" i="13" s="1"/>
  <c r="X1918" i="13" s="1"/>
  <c r="X1919" i="13" s="1"/>
  <c r="X1920" i="13" s="1"/>
  <c r="X1921" i="13" s="1"/>
  <c r="X1922" i="13" s="1"/>
  <c r="X1923" i="13" s="1"/>
  <c r="X1924" i="13" s="1"/>
  <c r="X1925" i="13" s="1"/>
  <c r="X1926" i="13" s="1"/>
  <c r="X1927" i="13" s="1"/>
  <c r="X1928" i="13" s="1"/>
  <c r="X1929" i="13" s="1"/>
  <c r="X1930" i="13" s="1"/>
  <c r="X1931" i="13" s="1"/>
  <c r="X1932" i="13" s="1"/>
  <c r="X1933" i="13" s="1"/>
  <c r="X1934" i="13" s="1"/>
  <c r="X1935" i="13" s="1"/>
  <c r="X1936" i="13" s="1"/>
  <c r="X1937" i="13" s="1"/>
  <c r="X1938" i="13" s="1"/>
  <c r="X1939" i="13" s="1"/>
  <c r="X1940" i="13" s="1"/>
  <c r="X1941" i="13" s="1"/>
  <c r="X1942" i="13" s="1"/>
  <c r="X1943" i="13" s="1"/>
  <c r="X1944" i="13" s="1"/>
  <c r="X1945" i="13" s="1"/>
  <c r="X1946" i="13" s="1"/>
  <c r="X1947" i="13" s="1"/>
  <c r="X1948" i="13" s="1"/>
  <c r="X1949" i="13" s="1"/>
  <c r="X1950" i="13" s="1"/>
  <c r="X1951" i="13" s="1"/>
  <c r="X1952" i="13" s="1"/>
  <c r="X1953" i="13" s="1"/>
  <c r="X1954" i="13" s="1"/>
  <c r="X1955" i="13" s="1"/>
  <c r="X1956" i="13" s="1"/>
  <c r="X1957" i="13" s="1"/>
  <c r="X1958" i="13" s="1"/>
  <c r="X1959" i="13" s="1"/>
  <c r="X1960" i="13" s="1"/>
  <c r="X1961" i="13" s="1"/>
  <c r="X1962" i="13" s="1"/>
  <c r="X1963" i="13" s="1"/>
  <c r="X1964" i="13" s="1"/>
  <c r="X1965" i="13" s="1"/>
  <c r="X1966" i="13" s="1"/>
  <c r="X1967" i="13" s="1"/>
  <c r="X1968" i="13" s="1"/>
  <c r="X1969" i="13" s="1"/>
  <c r="X1970" i="13" s="1"/>
  <c r="X1971" i="13" s="1"/>
  <c r="X1972" i="13" s="1"/>
  <c r="X1973" i="13" s="1"/>
  <c r="X1974" i="13" s="1"/>
  <c r="X1975" i="13" s="1"/>
  <c r="X1976" i="13" s="1"/>
  <c r="X1977" i="13" s="1"/>
  <c r="X1978" i="13" s="1"/>
  <c r="X1979" i="13" s="1"/>
  <c r="X1980" i="13" s="1"/>
  <c r="X1981" i="13" s="1"/>
  <c r="X1982" i="13" s="1"/>
  <c r="X1983" i="13" s="1"/>
  <c r="X1984" i="13" s="1"/>
  <c r="X1985" i="13" s="1"/>
  <c r="X1986" i="13" s="1"/>
  <c r="X1987" i="13" s="1"/>
  <c r="X1988" i="13" s="1"/>
  <c r="X1989" i="13" s="1"/>
  <c r="X1990" i="13" s="1"/>
  <c r="X1991" i="13" s="1"/>
  <c r="X1992" i="13" s="1"/>
  <c r="X1993" i="13" s="1"/>
  <c r="X1994" i="13" s="1"/>
  <c r="X1995" i="13" s="1"/>
  <c r="X1996" i="13" s="1"/>
  <c r="X1997" i="13" s="1"/>
  <c r="X1998" i="13" s="1"/>
  <c r="X1999" i="13" s="1"/>
  <c r="X2000" i="13" s="1"/>
  <c r="X2001" i="13" s="1"/>
  <c r="X2002" i="13" s="1"/>
  <c r="X2003" i="13" s="1"/>
  <c r="X2004" i="13" s="1"/>
  <c r="X2005" i="13" s="1"/>
  <c r="X2006" i="13" s="1"/>
  <c r="X2007" i="13" s="1"/>
  <c r="X2008" i="13" s="1"/>
  <c r="X2009" i="13" s="1"/>
  <c r="X2010" i="13" s="1"/>
  <c r="X2011" i="13" s="1"/>
  <c r="X2012" i="13" s="1"/>
  <c r="X2013" i="13" s="1"/>
  <c r="X2014" i="13" s="1"/>
  <c r="X2015" i="13" s="1"/>
  <c r="X2016" i="13" s="1"/>
  <c r="X2017" i="13" s="1"/>
  <c r="X2018" i="13" s="1"/>
  <c r="X2019" i="13" s="1"/>
  <c r="X2020" i="13" s="1"/>
  <c r="X2021" i="13" s="1"/>
  <c r="X2022" i="13" s="1"/>
  <c r="X2023" i="13" s="1"/>
  <c r="X2024" i="13" s="1"/>
  <c r="X2025" i="13" s="1"/>
  <c r="X2026" i="13" s="1"/>
  <c r="X2027" i="13" s="1"/>
  <c r="X2028" i="13" s="1"/>
  <c r="X2029" i="13" s="1"/>
  <c r="X2030" i="13" s="1"/>
  <c r="X2031" i="13" s="1"/>
  <c r="X2032" i="13" s="1"/>
  <c r="X2033" i="13" s="1"/>
  <c r="X2034" i="13" s="1"/>
  <c r="X2035" i="13" s="1"/>
  <c r="X2036" i="13" s="1"/>
  <c r="X2037" i="13" s="1"/>
  <c r="X2038" i="13" s="1"/>
  <c r="X2039" i="13" s="1"/>
  <c r="X2040" i="13" s="1"/>
  <c r="X2041" i="13" s="1"/>
  <c r="X2042" i="13" s="1"/>
  <c r="X2043" i="13" s="1"/>
  <c r="X2044" i="13" s="1"/>
  <c r="X2045" i="13" s="1"/>
  <c r="X2046" i="13" s="1"/>
  <c r="X2047" i="13" s="1"/>
  <c r="X2048" i="13" s="1"/>
  <c r="X2049" i="13" s="1"/>
  <c r="X2050" i="13" s="1"/>
  <c r="X2051" i="13" s="1"/>
  <c r="X2052" i="13" s="1"/>
  <c r="X2053" i="13" s="1"/>
  <c r="X2054" i="13" s="1"/>
  <c r="X2055" i="13" s="1"/>
  <c r="X2056" i="13" s="1"/>
  <c r="X2057" i="13" s="1"/>
  <c r="X2058" i="13" s="1"/>
  <c r="X2059" i="13" s="1"/>
  <c r="X2060" i="13" s="1"/>
  <c r="X2061" i="13" s="1"/>
  <c r="X2062" i="13" s="1"/>
  <c r="X2063" i="13" s="1"/>
  <c r="X2064" i="13" s="1"/>
  <c r="X2065" i="13" s="1"/>
  <c r="X2066" i="13" s="1"/>
  <c r="X2067" i="13" s="1"/>
  <c r="X2068" i="13" s="1"/>
  <c r="X2069" i="13" s="1"/>
  <c r="X2070" i="13" s="1"/>
  <c r="X2071" i="13" s="1"/>
  <c r="X2072" i="13" s="1"/>
  <c r="X2073" i="13" s="1"/>
  <c r="X2074" i="13" s="1"/>
  <c r="X2075" i="13" s="1"/>
  <c r="X2076" i="13" s="1"/>
  <c r="X2077" i="13" s="1"/>
  <c r="X2078" i="13" s="1"/>
  <c r="X2079" i="13" s="1"/>
  <c r="X2080" i="13" s="1"/>
  <c r="X2081" i="13" s="1"/>
  <c r="X2082" i="13" s="1"/>
  <c r="X2083" i="13" s="1"/>
  <c r="X2084" i="13" s="1"/>
  <c r="X2085" i="13" s="1"/>
  <c r="X2086" i="13" s="1"/>
  <c r="X2087" i="13" s="1"/>
  <c r="X2088" i="13" s="1"/>
  <c r="X2089" i="13" s="1"/>
  <c r="X2090" i="13" s="1"/>
  <c r="X2091" i="13" s="1"/>
  <c r="X2092" i="13" s="1"/>
  <c r="X2093" i="13" s="1"/>
  <c r="X2094" i="13" s="1"/>
  <c r="X2095" i="13" s="1"/>
  <c r="X2096" i="13" s="1"/>
  <c r="X2097" i="13" s="1"/>
  <c r="X2098" i="13" s="1"/>
  <c r="X2099" i="13" s="1"/>
  <c r="X2100" i="13" s="1"/>
  <c r="X2101" i="13" s="1"/>
  <c r="X2102" i="13" s="1"/>
  <c r="X2103" i="13" s="1"/>
  <c r="X2104" i="13" s="1"/>
  <c r="X2105" i="13" s="1"/>
  <c r="X2106" i="13" s="1"/>
  <c r="X2107" i="13" s="1"/>
  <c r="X2108" i="13" s="1"/>
  <c r="X2109" i="13" s="1"/>
  <c r="X2110" i="13" s="1"/>
  <c r="X2111" i="13" s="1"/>
  <c r="X2112" i="13" s="1"/>
  <c r="X2113" i="13" s="1"/>
  <c r="X2114" i="13" s="1"/>
  <c r="X2115" i="13" s="1"/>
  <c r="X2116" i="13" s="1"/>
  <c r="X2117" i="13" s="1"/>
  <c r="X2118" i="13" s="1"/>
  <c r="X2119" i="13" s="1"/>
  <c r="X2120" i="13" s="1"/>
  <c r="X2121" i="13" s="1"/>
  <c r="X2122" i="13" s="1"/>
  <c r="X2123" i="13" s="1"/>
  <c r="X2124" i="13" s="1"/>
  <c r="X2125" i="13" s="1"/>
  <c r="X2126" i="13" s="1"/>
  <c r="X2127" i="13" s="1"/>
  <c r="X2128" i="13" s="1"/>
  <c r="X2129" i="13" s="1"/>
  <c r="X2130" i="13" s="1"/>
  <c r="X2131" i="13" s="1"/>
  <c r="X2132" i="13" s="1"/>
  <c r="X2133" i="13" s="1"/>
  <c r="X2134" i="13" s="1"/>
  <c r="X2135" i="13" s="1"/>
  <c r="X2136" i="13" s="1"/>
  <c r="X2137" i="13" s="1"/>
  <c r="X2138" i="13" s="1"/>
  <c r="X2139" i="13" s="1"/>
  <c r="X2140" i="13" s="1"/>
  <c r="X2141" i="13" s="1"/>
  <c r="X2142" i="13" s="1"/>
  <c r="X2143" i="13" s="1"/>
  <c r="X2144" i="13" s="1"/>
  <c r="X2145" i="13" s="1"/>
  <c r="X2146" i="13" s="1"/>
  <c r="X2147" i="13" s="1"/>
  <c r="X2148" i="13" s="1"/>
  <c r="X2149" i="13" s="1"/>
  <c r="X2150" i="13" s="1"/>
  <c r="X2151" i="13" s="1"/>
  <c r="X2152" i="13" s="1"/>
  <c r="X2153" i="13" s="1"/>
  <c r="X2154" i="13" s="1"/>
  <c r="X2155" i="13" s="1"/>
  <c r="X2156" i="13" s="1"/>
  <c r="X2157" i="13" s="1"/>
  <c r="X2158" i="13" s="1"/>
  <c r="X2159" i="13" s="1"/>
  <c r="X2160" i="13" s="1"/>
  <c r="X2161" i="13" s="1"/>
  <c r="X2162" i="13" s="1"/>
  <c r="X2163" i="13" s="1"/>
  <c r="X2164" i="13" s="1"/>
  <c r="X2165" i="13" s="1"/>
  <c r="X2166" i="13" s="1"/>
  <c r="X2167" i="13" s="1"/>
  <c r="X2168" i="13" s="1"/>
  <c r="X2169" i="13" s="1"/>
  <c r="X2170" i="13" s="1"/>
  <c r="X2171" i="13" s="1"/>
  <c r="X2172" i="13" s="1"/>
  <c r="X2173" i="13" s="1"/>
  <c r="X2174" i="13" s="1"/>
  <c r="X2175" i="13" s="1"/>
  <c r="X2176" i="13" s="1"/>
  <c r="X2177" i="13" s="1"/>
  <c r="X2178" i="13" s="1"/>
  <c r="X2179" i="13" s="1"/>
  <c r="X2180" i="13" s="1"/>
  <c r="X2181" i="13" s="1"/>
  <c r="X2182" i="13" s="1"/>
  <c r="X2183" i="13" s="1"/>
  <c r="X2184" i="13" s="1"/>
  <c r="X2185" i="13" s="1"/>
  <c r="X2186" i="13" s="1"/>
  <c r="X2187" i="13" s="1"/>
  <c r="X2188" i="13" s="1"/>
  <c r="X2189" i="13" s="1"/>
  <c r="X2190" i="13" s="1"/>
  <c r="X2191" i="13" s="1"/>
  <c r="X2192" i="13" s="1"/>
  <c r="X2193" i="13" s="1"/>
  <c r="X2194" i="13" s="1"/>
  <c r="X2195" i="13" s="1"/>
  <c r="X2196" i="13" s="1"/>
  <c r="X2197" i="13" s="1"/>
  <c r="X2198" i="13" s="1"/>
  <c r="X2199" i="13" s="1"/>
  <c r="X2200" i="13" s="1"/>
  <c r="X2201" i="13" s="1"/>
  <c r="X2202" i="13" s="1"/>
  <c r="X2203" i="13" s="1"/>
  <c r="X2204" i="13" s="1"/>
  <c r="X2205" i="13" s="1"/>
  <c r="X2206" i="13" s="1"/>
  <c r="X2207" i="13" s="1"/>
  <c r="X2208" i="13" s="1"/>
  <c r="X2209" i="13" s="1"/>
  <c r="X2210" i="13" s="1"/>
  <c r="X2211" i="13" s="1"/>
  <c r="X2212" i="13" s="1"/>
  <c r="X2213" i="13" s="1"/>
  <c r="X2214" i="13" s="1"/>
  <c r="X2215" i="13" s="1"/>
  <c r="X2216" i="13" s="1"/>
  <c r="X2217" i="13" s="1"/>
  <c r="X2218" i="13" s="1"/>
  <c r="X2219" i="13" s="1"/>
  <c r="X2220" i="13" s="1"/>
  <c r="X2221" i="13" s="1"/>
  <c r="X2222" i="13" s="1"/>
  <c r="X2223" i="13" s="1"/>
  <c r="X2224" i="13" s="1"/>
  <c r="X2225" i="13" s="1"/>
  <c r="X2226" i="13" s="1"/>
  <c r="X2227" i="13" s="1"/>
  <c r="X2228" i="13" s="1"/>
  <c r="X2229" i="13" s="1"/>
  <c r="X2230" i="13" s="1"/>
  <c r="X2231" i="13" s="1"/>
  <c r="X2232" i="13" s="1"/>
  <c r="X2233" i="13" s="1"/>
  <c r="X2234" i="13" s="1"/>
  <c r="X2235" i="13" s="1"/>
  <c r="X2236" i="13" s="1"/>
  <c r="X2237" i="13" s="1"/>
  <c r="X2238" i="13" s="1"/>
  <c r="X2239" i="13" s="1"/>
  <c r="X2240" i="13" s="1"/>
  <c r="X2241" i="13" s="1"/>
  <c r="X2242" i="13" s="1"/>
  <c r="X2243" i="13" s="1"/>
  <c r="X2244" i="13" s="1"/>
  <c r="X2245" i="13" s="1"/>
  <c r="X2246" i="13" s="1"/>
  <c r="X2247" i="13" s="1"/>
  <c r="X2248" i="13" s="1"/>
  <c r="X2249" i="13" s="1"/>
  <c r="X2250" i="13" s="1"/>
  <c r="X2251" i="13" s="1"/>
  <c r="X2252" i="13" s="1"/>
  <c r="X2253" i="13" s="1"/>
  <c r="X2254" i="13" s="1"/>
  <c r="X2255" i="13" s="1"/>
  <c r="X2256" i="13" s="1"/>
  <c r="X2257" i="13" s="1"/>
  <c r="X2258" i="13" s="1"/>
  <c r="X2259" i="13" s="1"/>
  <c r="X2260" i="13" s="1"/>
  <c r="X2261" i="13" s="1"/>
  <c r="X2262" i="13" s="1"/>
  <c r="X2263" i="13" s="1"/>
  <c r="X2264" i="13" s="1"/>
  <c r="X2265" i="13" s="1"/>
  <c r="X2266" i="13" s="1"/>
  <c r="X2267" i="13" s="1"/>
  <c r="X2268" i="13" s="1"/>
  <c r="X2269" i="13" s="1"/>
  <c r="X2270" i="13" s="1"/>
  <c r="X2271" i="13" s="1"/>
  <c r="X2272" i="13" s="1"/>
  <c r="X2273" i="13" s="1"/>
  <c r="X2274" i="13" s="1"/>
  <c r="X2275" i="13" s="1"/>
  <c r="X2276" i="13" s="1"/>
  <c r="X2277" i="13" s="1"/>
  <c r="X2278" i="13" s="1"/>
  <c r="X2279" i="13" s="1"/>
  <c r="X2280" i="13" s="1"/>
  <c r="X2281" i="13" s="1"/>
  <c r="X2282" i="13" s="1"/>
  <c r="X2283" i="13" s="1"/>
  <c r="X2284" i="13" s="1"/>
  <c r="X2285" i="13" s="1"/>
  <c r="X2286" i="13" s="1"/>
  <c r="X2287" i="13" s="1"/>
  <c r="X2288" i="13" s="1"/>
  <c r="X2289" i="13" s="1"/>
  <c r="X2290" i="13" s="1"/>
  <c r="X2291" i="13" s="1"/>
  <c r="X2292" i="13" s="1"/>
  <c r="X2293" i="13" s="1"/>
  <c r="X2294" i="13" s="1"/>
  <c r="X2295" i="13" s="1"/>
  <c r="X2296" i="13" s="1"/>
  <c r="X2297" i="13" s="1"/>
  <c r="X2298" i="13" s="1"/>
  <c r="X2299" i="13" s="1"/>
  <c r="X2300" i="13" s="1"/>
  <c r="X2301" i="13" s="1"/>
  <c r="X2302" i="13" s="1"/>
  <c r="X2303" i="13" s="1"/>
  <c r="X2304" i="13" s="1"/>
  <c r="X2305" i="13" s="1"/>
  <c r="X2306" i="13" s="1"/>
  <c r="X2307" i="13" s="1"/>
  <c r="X2308" i="13" s="1"/>
  <c r="X2309" i="13" s="1"/>
  <c r="X2310" i="13" s="1"/>
  <c r="X2311" i="13" s="1"/>
  <c r="X2312" i="13" s="1"/>
  <c r="X2313" i="13" s="1"/>
  <c r="X2314" i="13" s="1"/>
  <c r="X2315" i="13" s="1"/>
  <c r="X2316" i="13" s="1"/>
  <c r="X2317" i="13" s="1"/>
  <c r="X2318" i="13" s="1"/>
  <c r="X2319" i="13" s="1"/>
  <c r="X2320" i="13" s="1"/>
  <c r="X2321" i="13" s="1"/>
  <c r="X2322" i="13" s="1"/>
  <c r="X2323" i="13" s="1"/>
  <c r="X2324" i="13" s="1"/>
  <c r="X2325" i="13" s="1"/>
  <c r="X2326" i="13" s="1"/>
  <c r="X2327" i="13" s="1"/>
  <c r="X2328" i="13" s="1"/>
  <c r="X2329" i="13" s="1"/>
  <c r="X2330" i="13" s="1"/>
  <c r="X2331" i="13" s="1"/>
  <c r="X2332" i="13" s="1"/>
  <c r="X2333" i="13" s="1"/>
  <c r="X2334" i="13" s="1"/>
  <c r="X2335" i="13" s="1"/>
  <c r="X2336" i="13" s="1"/>
  <c r="X2337" i="13" s="1"/>
  <c r="X2338" i="13" s="1"/>
  <c r="X2339" i="13" s="1"/>
  <c r="X2340" i="13" s="1"/>
  <c r="X2341" i="13" s="1"/>
  <c r="X2342" i="13" s="1"/>
  <c r="X2343" i="13" s="1"/>
  <c r="X2344" i="13" s="1"/>
  <c r="X2345" i="13" s="1"/>
  <c r="X2346" i="13" s="1"/>
  <c r="X2347" i="13" s="1"/>
  <c r="X2348" i="13" s="1"/>
  <c r="X2349" i="13" s="1"/>
  <c r="X2350" i="13" s="1"/>
  <c r="X2351" i="13" s="1"/>
  <c r="X2352" i="13" s="1"/>
  <c r="X2353" i="13" s="1"/>
  <c r="X2354" i="13" s="1"/>
  <c r="X2355" i="13" s="1"/>
  <c r="X2356" i="13" s="1"/>
  <c r="X2357" i="13" s="1"/>
  <c r="X2358" i="13" s="1"/>
  <c r="X2359" i="13" s="1"/>
  <c r="X2360" i="13" s="1"/>
  <c r="X2361" i="13" s="1"/>
  <c r="X2362" i="13" s="1"/>
  <c r="X2363" i="13" s="1"/>
  <c r="X2364" i="13" s="1"/>
  <c r="X2365" i="13" s="1"/>
  <c r="X2366" i="13" s="1"/>
  <c r="X2367" i="13" s="1"/>
  <c r="X2368" i="13" s="1"/>
  <c r="X2369" i="13" s="1"/>
  <c r="X2370" i="13" s="1"/>
  <c r="X2371" i="13" s="1"/>
  <c r="X2372" i="13" s="1"/>
  <c r="X2373" i="13" s="1"/>
  <c r="X2374" i="13" s="1"/>
  <c r="X2375" i="13" s="1"/>
  <c r="X2376" i="13" s="1"/>
  <c r="X2377" i="13" s="1"/>
  <c r="X2378" i="13" s="1"/>
  <c r="X2379" i="13" s="1"/>
  <c r="X2380" i="13" s="1"/>
  <c r="X2381" i="13" s="1"/>
  <c r="X2382" i="13" s="1"/>
  <c r="X2383" i="13" s="1"/>
  <c r="X2384" i="13" s="1"/>
  <c r="X2385" i="13" s="1"/>
  <c r="X2386" i="13" s="1"/>
  <c r="X2387" i="13" s="1"/>
  <c r="X2388" i="13" s="1"/>
  <c r="X2389" i="13" s="1"/>
  <c r="X2390" i="13" s="1"/>
  <c r="X2391" i="13" s="1"/>
  <c r="X2392" i="13" s="1"/>
  <c r="X2393" i="13" s="1"/>
  <c r="X2394" i="13" s="1"/>
  <c r="X2395" i="13" s="1"/>
  <c r="X2396" i="13" s="1"/>
  <c r="X2397" i="13" s="1"/>
  <c r="X2398" i="13" s="1"/>
  <c r="X2399" i="13" s="1"/>
  <c r="X2400" i="13" s="1"/>
  <c r="X2401" i="13" s="1"/>
  <c r="X2402" i="13" s="1"/>
  <c r="X2403" i="13" s="1"/>
  <c r="X2404" i="13" s="1"/>
  <c r="X2405" i="13" s="1"/>
  <c r="X2406" i="13" s="1"/>
  <c r="X2407" i="13" s="1"/>
  <c r="X2408" i="13" s="1"/>
  <c r="X2409" i="13" s="1"/>
  <c r="X2410" i="13" s="1"/>
  <c r="X2411" i="13" s="1"/>
  <c r="X2412" i="13" s="1"/>
  <c r="X2413" i="13" s="1"/>
  <c r="X2414" i="13" s="1"/>
  <c r="X2415" i="13" s="1"/>
  <c r="X2416" i="13" s="1"/>
  <c r="X2417" i="13" s="1"/>
  <c r="X2418" i="13" s="1"/>
  <c r="X2419" i="13" s="1"/>
  <c r="X2420" i="13" s="1"/>
  <c r="X2421" i="13" s="1"/>
  <c r="X2422" i="13" s="1"/>
  <c r="X2423" i="13" s="1"/>
  <c r="X2424" i="13" s="1"/>
  <c r="X2425" i="13" s="1"/>
  <c r="X2426" i="13" s="1"/>
  <c r="X2427" i="13" s="1"/>
  <c r="X2428" i="13" s="1"/>
  <c r="X2429" i="13" s="1"/>
  <c r="X2430" i="13" s="1"/>
  <c r="X2431" i="13" s="1"/>
  <c r="X2432" i="13" s="1"/>
  <c r="X2433" i="13" s="1"/>
  <c r="X2434" i="13" s="1"/>
  <c r="X2435" i="13" s="1"/>
  <c r="X2436" i="13" s="1"/>
  <c r="X2437" i="13" s="1"/>
  <c r="X2438" i="13" s="1"/>
  <c r="X2439" i="13" s="1"/>
  <c r="X2440" i="13" s="1"/>
  <c r="X2441" i="13" s="1"/>
  <c r="X2442" i="13" s="1"/>
  <c r="X2443" i="13" s="1"/>
  <c r="X2444" i="13" s="1"/>
  <c r="X2445" i="13" s="1"/>
  <c r="X2446" i="13" s="1"/>
  <c r="X2447" i="13" s="1"/>
  <c r="X2448" i="13" s="1"/>
  <c r="X2449" i="13" s="1"/>
  <c r="X2450" i="13" s="1"/>
  <c r="X2451" i="13" s="1"/>
  <c r="X2452" i="13" s="1"/>
  <c r="X2453" i="13" s="1"/>
  <c r="X2454" i="13" s="1"/>
  <c r="X2455" i="13" s="1"/>
  <c r="X2456" i="13" s="1"/>
  <c r="X2457" i="13" s="1"/>
  <c r="X2458" i="13" s="1"/>
  <c r="X2459" i="13" s="1"/>
  <c r="X2460" i="13" s="1"/>
  <c r="X2461" i="13" s="1"/>
  <c r="X2462" i="13" s="1"/>
  <c r="X2463" i="13" s="1"/>
  <c r="X2464" i="13" s="1"/>
  <c r="X2465" i="13" s="1"/>
  <c r="X2466" i="13" s="1"/>
  <c r="X2467" i="13" s="1"/>
  <c r="X2468" i="13" s="1"/>
  <c r="X2469" i="13" s="1"/>
  <c r="X2470" i="13" s="1"/>
  <c r="X2471" i="13" s="1"/>
  <c r="X2472" i="13" s="1"/>
  <c r="X2473" i="13" s="1"/>
  <c r="X2474" i="13" s="1"/>
  <c r="X2475" i="13" s="1"/>
  <c r="X2476" i="13" s="1"/>
  <c r="X2477" i="13" s="1"/>
  <c r="X2478" i="13" s="1"/>
  <c r="X2479" i="13" s="1"/>
  <c r="X2480" i="13" s="1"/>
  <c r="X2481" i="13" s="1"/>
  <c r="X2482" i="13" s="1"/>
  <c r="X2483" i="13" s="1"/>
  <c r="X2484" i="13" s="1"/>
  <c r="X2485" i="13" s="1"/>
  <c r="X2486" i="13" s="1"/>
  <c r="X2487" i="13" s="1"/>
  <c r="X2488" i="13" s="1"/>
  <c r="X2489" i="13" s="1"/>
  <c r="X2490" i="13" s="1"/>
  <c r="X2491" i="13" s="1"/>
  <c r="X2492" i="13" s="1"/>
  <c r="X2493" i="13" s="1"/>
  <c r="X2494" i="13" s="1"/>
  <c r="X2495" i="13" s="1"/>
  <c r="X2496" i="13" s="1"/>
  <c r="X2497" i="13" s="1"/>
  <c r="X2498" i="13" s="1"/>
  <c r="X2499" i="13" s="1"/>
  <c r="X2500" i="13" s="1"/>
  <c r="X2501" i="13" s="1"/>
  <c r="X2502" i="13" s="1"/>
  <c r="X2503" i="13" s="1"/>
  <c r="X2504" i="13" s="1"/>
  <c r="X2505" i="13" s="1"/>
  <c r="X2506" i="13" s="1"/>
  <c r="X2507" i="13" s="1"/>
  <c r="X2508" i="13" s="1"/>
  <c r="X2509" i="13" s="1"/>
  <c r="X2510" i="13" s="1"/>
  <c r="X2511" i="13" s="1"/>
  <c r="X2512" i="13" s="1"/>
  <c r="X2513" i="13" s="1"/>
  <c r="X2514" i="13" s="1"/>
  <c r="X2515" i="13" s="1"/>
  <c r="X2516" i="13" s="1"/>
  <c r="X2517" i="13" s="1"/>
  <c r="X2518" i="13" s="1"/>
  <c r="X2519" i="13" s="1"/>
  <c r="X2520" i="13" s="1"/>
  <c r="X2521" i="13" s="1"/>
  <c r="X2522" i="13" s="1"/>
  <c r="X2523" i="13" s="1"/>
  <c r="X2524" i="13" s="1"/>
  <c r="X2525" i="13" s="1"/>
  <c r="X2526" i="13" s="1"/>
  <c r="X2527" i="13" s="1"/>
  <c r="X2528" i="13" s="1"/>
  <c r="X2529" i="13" s="1"/>
  <c r="X2530" i="13" s="1"/>
  <c r="X2531" i="13" s="1"/>
  <c r="X2532" i="13" s="1"/>
  <c r="X2533" i="13" s="1"/>
  <c r="X2534" i="13" s="1"/>
  <c r="X2535" i="13" s="1"/>
  <c r="X2536" i="13" s="1"/>
  <c r="X2537" i="13" s="1"/>
  <c r="X2538" i="13" s="1"/>
  <c r="X2539" i="13" s="1"/>
  <c r="X2540" i="13" s="1"/>
  <c r="X2541" i="13" s="1"/>
  <c r="X2542" i="13" s="1"/>
  <c r="X2543" i="13" s="1"/>
  <c r="X2544" i="13" s="1"/>
  <c r="X2545" i="13" s="1"/>
  <c r="X2546" i="13" s="1"/>
  <c r="X2547" i="13" s="1"/>
  <c r="X2548" i="13" s="1"/>
  <c r="X2549" i="13" s="1"/>
  <c r="X2550" i="13" s="1"/>
  <c r="X2551" i="13" s="1"/>
  <c r="X2552" i="13" s="1"/>
  <c r="X2553" i="13" s="1"/>
  <c r="X2554" i="13" s="1"/>
  <c r="X2555" i="13" s="1"/>
  <c r="X2556" i="13" s="1"/>
  <c r="X2557" i="13" s="1"/>
  <c r="X2558" i="13" s="1"/>
  <c r="X2559" i="13" s="1"/>
  <c r="X2560" i="13" s="1"/>
  <c r="X2561" i="13" s="1"/>
  <c r="X2562" i="13" s="1"/>
  <c r="X2563" i="13" s="1"/>
  <c r="X2564" i="13" s="1"/>
  <c r="X2565" i="13" s="1"/>
  <c r="X2566" i="13" s="1"/>
  <c r="X2567" i="13" s="1"/>
  <c r="X2568" i="13" s="1"/>
  <c r="X2569" i="13" s="1"/>
  <c r="X2570" i="13" s="1"/>
  <c r="X2571" i="13" s="1"/>
  <c r="X2572" i="13" s="1"/>
  <c r="X2573" i="13" s="1"/>
  <c r="X2574" i="13" s="1"/>
  <c r="X2575" i="13" s="1"/>
  <c r="X2576" i="13" s="1"/>
  <c r="X2577" i="13" s="1"/>
  <c r="X2578" i="13" s="1"/>
  <c r="X2579" i="13" s="1"/>
  <c r="X2580" i="13" s="1"/>
  <c r="X2581" i="13" s="1"/>
  <c r="X2582" i="13" s="1"/>
  <c r="X2583" i="13" s="1"/>
  <c r="X2584" i="13" s="1"/>
  <c r="X2585" i="13" s="1"/>
  <c r="X2586" i="13" s="1"/>
  <c r="X2587" i="13" s="1"/>
  <c r="X2588" i="13" s="1"/>
  <c r="X2589" i="13" s="1"/>
  <c r="X2590" i="13" s="1"/>
  <c r="X2591" i="13" s="1"/>
  <c r="X2592" i="13" s="1"/>
  <c r="X2593" i="13" s="1"/>
  <c r="X2594" i="13" s="1"/>
  <c r="X2595" i="13" s="1"/>
  <c r="X2596" i="13" s="1"/>
  <c r="X2597" i="13" s="1"/>
  <c r="X2598" i="13" s="1"/>
  <c r="X2599" i="13" s="1"/>
  <c r="X2600" i="13" s="1"/>
  <c r="X2601" i="13" s="1"/>
  <c r="X2602" i="13" s="1"/>
  <c r="X2603" i="13" s="1"/>
  <c r="X2604" i="13" s="1"/>
  <c r="X2605" i="13" s="1"/>
  <c r="X2606" i="13" s="1"/>
  <c r="X2607" i="13" s="1"/>
  <c r="X2608" i="13" s="1"/>
  <c r="X2609" i="13" s="1"/>
  <c r="X2610" i="13" s="1"/>
  <c r="X2611" i="13" s="1"/>
  <c r="X2612" i="13" s="1"/>
  <c r="X2613" i="13" s="1"/>
  <c r="X2614" i="13" s="1"/>
  <c r="X2615" i="13" s="1"/>
  <c r="X2616" i="13" s="1"/>
  <c r="X2617" i="13" s="1"/>
  <c r="X2618" i="13" s="1"/>
  <c r="X2619" i="13" s="1"/>
  <c r="X2620" i="13" s="1"/>
  <c r="X2621" i="13" s="1"/>
  <c r="X2622" i="13" s="1"/>
  <c r="X2623" i="13" s="1"/>
  <c r="X2624" i="13" s="1"/>
  <c r="X2625" i="13" s="1"/>
  <c r="X2626" i="13" s="1"/>
  <c r="X2627" i="13" s="1"/>
  <c r="X2628" i="13" s="1"/>
  <c r="X2629" i="13" s="1"/>
  <c r="X2630" i="13" s="1"/>
  <c r="X2631" i="13" s="1"/>
  <c r="X2632" i="13" s="1"/>
  <c r="X2633" i="13" s="1"/>
  <c r="X2634" i="13" s="1"/>
  <c r="X2635" i="13" s="1"/>
  <c r="X2636" i="13" s="1"/>
  <c r="X2637" i="13" s="1"/>
  <c r="X2638" i="13" s="1"/>
  <c r="X2639" i="13" s="1"/>
  <c r="X2640" i="13" s="1"/>
  <c r="X2641" i="13" s="1"/>
  <c r="X2642" i="13" s="1"/>
  <c r="X2643" i="13" s="1"/>
  <c r="X2644" i="13" s="1"/>
  <c r="X2645" i="13" s="1"/>
  <c r="X2646" i="13" s="1"/>
  <c r="X2647" i="13" s="1"/>
  <c r="X2648" i="13" s="1"/>
  <c r="X2649" i="13" s="1"/>
  <c r="X2650" i="13" s="1"/>
  <c r="X2651" i="13" s="1"/>
  <c r="X2652" i="13" s="1"/>
  <c r="X2653" i="13" s="1"/>
  <c r="X2654" i="13" s="1"/>
  <c r="X2655" i="13" s="1"/>
  <c r="X2656" i="13" s="1"/>
  <c r="X2657" i="13" s="1"/>
  <c r="X2658" i="13" s="1"/>
  <c r="X2659" i="13" s="1"/>
  <c r="X2660" i="13" s="1"/>
  <c r="X2661" i="13" s="1"/>
  <c r="X2662" i="13" s="1"/>
  <c r="X2663" i="13" s="1"/>
  <c r="X2664" i="13" s="1"/>
  <c r="X2665" i="13" s="1"/>
  <c r="X2666" i="13" s="1"/>
  <c r="X2667" i="13" s="1"/>
  <c r="X2668" i="13" s="1"/>
  <c r="X2669" i="13" s="1"/>
  <c r="X2670" i="13" s="1"/>
  <c r="X2671" i="13" s="1"/>
  <c r="X2672" i="13" s="1"/>
  <c r="X2673" i="13" s="1"/>
  <c r="X2674" i="13" s="1"/>
  <c r="X2675" i="13" s="1"/>
  <c r="X2676" i="13" s="1"/>
  <c r="X2677" i="13" s="1"/>
  <c r="X2678" i="13" s="1"/>
  <c r="X2679" i="13" s="1"/>
  <c r="X2680" i="13" s="1"/>
  <c r="X2681" i="13" s="1"/>
  <c r="X2682" i="13" s="1"/>
  <c r="X2683" i="13" s="1"/>
  <c r="X2684" i="13" s="1"/>
  <c r="X2685" i="13" s="1"/>
  <c r="X2686" i="13" s="1"/>
  <c r="X2687" i="13" s="1"/>
  <c r="X2688" i="13" s="1"/>
  <c r="X2689" i="13" s="1"/>
  <c r="X2690" i="13" s="1"/>
  <c r="X2691" i="13" s="1"/>
  <c r="X2692" i="13" s="1"/>
  <c r="X2693" i="13" s="1"/>
  <c r="X2694" i="13" s="1"/>
  <c r="X2695" i="13" s="1"/>
  <c r="X2696" i="13" s="1"/>
  <c r="X2697" i="13" s="1"/>
  <c r="X2698" i="13" s="1"/>
  <c r="X2699" i="13" s="1"/>
  <c r="X2700" i="13" s="1"/>
  <c r="X2701" i="13" s="1"/>
  <c r="X2702" i="13" s="1"/>
  <c r="X2703" i="13" s="1"/>
  <c r="X2704" i="13" s="1"/>
  <c r="X2705" i="13" s="1"/>
  <c r="X2706" i="13" s="1"/>
  <c r="X2707" i="13" s="1"/>
  <c r="X2708" i="13" s="1"/>
  <c r="X2709" i="13" s="1"/>
  <c r="X2710" i="13" s="1"/>
  <c r="X2711" i="13" s="1"/>
  <c r="X2712" i="13" s="1"/>
  <c r="X2713" i="13" s="1"/>
  <c r="X2714" i="13" s="1"/>
  <c r="X2715" i="13" s="1"/>
  <c r="X2716" i="13" s="1"/>
  <c r="X2717" i="13" s="1"/>
  <c r="X2718" i="13" s="1"/>
  <c r="X2719" i="13" s="1"/>
  <c r="X2720" i="13" s="1"/>
  <c r="X2721" i="13" s="1"/>
  <c r="X2722" i="13" s="1"/>
  <c r="X2723" i="13" s="1"/>
  <c r="X2724" i="13" s="1"/>
  <c r="X2725" i="13" s="1"/>
  <c r="X2726" i="13" s="1"/>
  <c r="X2727" i="13" s="1"/>
  <c r="X2728" i="13" s="1"/>
  <c r="X2729" i="13" s="1"/>
  <c r="X2730" i="13" s="1"/>
  <c r="X2731" i="13" s="1"/>
  <c r="X2732" i="13" s="1"/>
  <c r="X2733" i="13" s="1"/>
  <c r="X2734" i="13" s="1"/>
  <c r="X2735" i="13" s="1"/>
  <c r="X2736" i="13" s="1"/>
  <c r="X2737" i="13" s="1"/>
  <c r="X2738" i="13" s="1"/>
  <c r="X2739" i="13" s="1"/>
  <c r="X2740" i="13" s="1"/>
  <c r="X2741" i="13" s="1"/>
  <c r="X2742" i="13" s="1"/>
  <c r="X2743" i="13" s="1"/>
  <c r="X2744" i="13" s="1"/>
  <c r="X2745" i="13" s="1"/>
  <c r="X2746" i="13" s="1"/>
  <c r="X2747" i="13" s="1"/>
  <c r="X2748" i="13" s="1"/>
  <c r="X2749" i="13" s="1"/>
  <c r="X2750" i="13" s="1"/>
  <c r="X2751" i="13" s="1"/>
  <c r="X2752" i="13" s="1"/>
  <c r="X2753" i="13" s="1"/>
  <c r="X2754" i="13" s="1"/>
  <c r="X2755" i="13" s="1"/>
  <c r="X2756" i="13" s="1"/>
  <c r="X2757" i="13" s="1"/>
  <c r="X2758" i="13" s="1"/>
  <c r="X2759" i="13" s="1"/>
  <c r="X2760" i="13" s="1"/>
  <c r="X2761" i="13" s="1"/>
  <c r="X2762" i="13" s="1"/>
  <c r="X2763" i="13" s="1"/>
  <c r="X2764" i="13" s="1"/>
  <c r="X2765" i="13" s="1"/>
  <c r="X2766" i="13" s="1"/>
  <c r="X2767" i="13" s="1"/>
  <c r="X2768" i="13" s="1"/>
  <c r="X2769" i="13" s="1"/>
  <c r="X2770" i="13" s="1"/>
  <c r="X2771" i="13" s="1"/>
  <c r="X2772" i="13" s="1"/>
  <c r="X2773" i="13" s="1"/>
  <c r="X2774" i="13" s="1"/>
  <c r="X2775" i="13" s="1"/>
  <c r="X2776" i="13" s="1"/>
  <c r="X2777" i="13" s="1"/>
  <c r="X2778" i="13" s="1"/>
  <c r="X2779" i="13" s="1"/>
  <c r="X2780" i="13" s="1"/>
  <c r="X2781" i="13" s="1"/>
  <c r="X2782" i="13" s="1"/>
  <c r="X2783" i="13" s="1"/>
  <c r="X2784" i="13" s="1"/>
  <c r="X2785" i="13" s="1"/>
  <c r="X2786" i="13" s="1"/>
  <c r="X2787" i="13" s="1"/>
  <c r="X2788" i="13" s="1"/>
  <c r="X2789" i="13" s="1"/>
  <c r="X2790" i="13" s="1"/>
  <c r="X2791" i="13" s="1"/>
  <c r="X2792" i="13" s="1"/>
  <c r="X2793" i="13" s="1"/>
  <c r="X2794" i="13" s="1"/>
  <c r="X2795" i="13" s="1"/>
  <c r="X2796" i="13" s="1"/>
  <c r="X2797" i="13" s="1"/>
  <c r="X2798" i="13" s="1"/>
  <c r="X2799" i="13" s="1"/>
  <c r="X2800" i="13" s="1"/>
  <c r="X2801" i="13" s="1"/>
  <c r="X2802" i="13" s="1"/>
  <c r="X2803" i="13" s="1"/>
  <c r="X2804" i="13" s="1"/>
  <c r="X2805" i="13" s="1"/>
  <c r="X2806" i="13" s="1"/>
  <c r="X2807" i="13" s="1"/>
  <c r="X2808" i="13" s="1"/>
  <c r="X2809" i="13" s="1"/>
  <c r="X2810" i="13" s="1"/>
  <c r="X2811" i="13" s="1"/>
  <c r="X2812" i="13" s="1"/>
  <c r="X2813" i="13" s="1"/>
  <c r="X2814" i="13" s="1"/>
  <c r="X2815" i="13" s="1"/>
  <c r="X2816" i="13" s="1"/>
  <c r="X2817" i="13" s="1"/>
  <c r="X2818" i="13" s="1"/>
  <c r="X2819" i="13" s="1"/>
  <c r="X2820" i="13" s="1"/>
  <c r="X2821" i="13" s="1"/>
  <c r="X2822" i="13" s="1"/>
  <c r="X2823" i="13" s="1"/>
  <c r="X2824" i="13" s="1"/>
  <c r="X2825" i="13" s="1"/>
  <c r="X2826" i="13" s="1"/>
  <c r="X2827" i="13" s="1"/>
  <c r="X2828" i="13" s="1"/>
  <c r="X2829" i="13" s="1"/>
  <c r="X2830" i="13" s="1"/>
  <c r="X2831" i="13" s="1"/>
  <c r="X2832" i="13" s="1"/>
  <c r="X2833" i="13" s="1"/>
  <c r="X2834" i="13" s="1"/>
  <c r="X2835" i="13" s="1"/>
  <c r="X2836" i="13" s="1"/>
  <c r="X2837" i="13" s="1"/>
  <c r="X2838" i="13" s="1"/>
  <c r="X2839" i="13" s="1"/>
  <c r="X2840" i="13" s="1"/>
  <c r="X2841" i="13" s="1"/>
  <c r="X2842" i="13" s="1"/>
  <c r="X2843" i="13" s="1"/>
  <c r="X2844" i="13" s="1"/>
  <c r="X2845" i="13" s="1"/>
  <c r="X2846" i="13" s="1"/>
  <c r="X2847" i="13" s="1"/>
  <c r="X2848" i="13" s="1"/>
  <c r="X2849" i="13" s="1"/>
  <c r="X2850" i="13" s="1"/>
  <c r="X2851" i="13" s="1"/>
  <c r="X2852" i="13" s="1"/>
  <c r="X2853" i="13" s="1"/>
  <c r="X2854" i="13" s="1"/>
  <c r="X2855" i="13" s="1"/>
  <c r="X2856" i="13" s="1"/>
  <c r="X2857" i="13" s="1"/>
  <c r="X2858" i="13" s="1"/>
  <c r="X2859" i="13" s="1"/>
  <c r="X2860" i="13" s="1"/>
  <c r="X2861" i="13" s="1"/>
  <c r="X2862" i="13" s="1"/>
  <c r="X2863" i="13" s="1"/>
  <c r="X2864" i="13" s="1"/>
  <c r="X2865" i="13" s="1"/>
  <c r="X2866" i="13" s="1"/>
  <c r="X2867" i="13" s="1"/>
  <c r="X2868" i="13" s="1"/>
  <c r="X2869" i="13" s="1"/>
  <c r="X2870" i="13" s="1"/>
  <c r="X2871" i="13" s="1"/>
  <c r="X2872" i="13" s="1"/>
  <c r="X2873" i="13" s="1"/>
  <c r="X2874" i="13" s="1"/>
  <c r="X2875" i="13" s="1"/>
  <c r="X2876" i="13" s="1"/>
  <c r="X2877" i="13" s="1"/>
  <c r="X2878" i="13" s="1"/>
  <c r="X2879" i="13" s="1"/>
  <c r="X2880" i="13" s="1"/>
  <c r="X2881" i="13" s="1"/>
  <c r="X2882" i="13" s="1"/>
  <c r="X2883" i="13" s="1"/>
  <c r="X2884" i="13" s="1"/>
  <c r="X2885" i="13" s="1"/>
  <c r="X2886" i="13" s="1"/>
  <c r="X2887" i="13" s="1"/>
  <c r="X2888" i="13" s="1"/>
  <c r="X2889" i="13" s="1"/>
  <c r="X2890" i="13" s="1"/>
  <c r="X2891" i="13" s="1"/>
  <c r="X2892" i="13" s="1"/>
  <c r="X2893" i="13" s="1"/>
  <c r="X2894" i="13" s="1"/>
  <c r="X2895" i="13" s="1"/>
  <c r="X2896" i="13" s="1"/>
  <c r="X2897" i="13" s="1"/>
  <c r="X2898" i="13" s="1"/>
  <c r="X2899" i="13" s="1"/>
  <c r="X2900" i="13" s="1"/>
  <c r="X2901" i="13" s="1"/>
  <c r="X2902" i="13" s="1"/>
  <c r="X2903" i="13" s="1"/>
  <c r="X2904" i="13" s="1"/>
  <c r="X2905" i="13" s="1"/>
  <c r="X2906" i="13" s="1"/>
  <c r="X2907" i="13" s="1"/>
  <c r="X2908" i="13" s="1"/>
  <c r="X2909" i="13" s="1"/>
  <c r="X2910" i="13" s="1"/>
  <c r="X2911" i="13" s="1"/>
  <c r="X2912" i="13" s="1"/>
  <c r="X2913" i="13" s="1"/>
  <c r="X2914" i="13" s="1"/>
  <c r="X2915" i="13" s="1"/>
  <c r="X2916" i="13" s="1"/>
  <c r="X2917" i="13" s="1"/>
  <c r="X2918" i="13" s="1"/>
  <c r="X2919" i="13" s="1"/>
  <c r="X2920" i="13" s="1"/>
  <c r="X2921" i="13" s="1"/>
  <c r="X2922" i="13" s="1"/>
  <c r="X2923" i="13" s="1"/>
  <c r="X2924" i="13" s="1"/>
  <c r="X2925" i="13" s="1"/>
  <c r="X2926" i="13" s="1"/>
  <c r="X2927" i="13" s="1"/>
  <c r="X2928" i="13" s="1"/>
  <c r="X2929" i="13" s="1"/>
  <c r="X2930" i="13" s="1"/>
  <c r="X2931" i="13" s="1"/>
  <c r="X2932" i="13" s="1"/>
  <c r="X2933" i="13" s="1"/>
  <c r="X2934" i="13" s="1"/>
  <c r="X2935" i="13" s="1"/>
  <c r="X2936" i="13" s="1"/>
  <c r="X2937" i="13" s="1"/>
  <c r="X2938" i="13" s="1"/>
  <c r="X2939" i="13" s="1"/>
  <c r="X2940" i="13" s="1"/>
  <c r="X2941" i="13" s="1"/>
  <c r="X2942" i="13" s="1"/>
  <c r="X2943" i="13" s="1"/>
  <c r="X2944" i="13" s="1"/>
  <c r="X2945" i="13" s="1"/>
  <c r="X2946" i="13" s="1"/>
  <c r="X2947" i="13" s="1"/>
  <c r="X2948" i="13" s="1"/>
  <c r="X2949" i="13" s="1"/>
  <c r="X2950" i="13" s="1"/>
  <c r="X2951" i="13" s="1"/>
  <c r="X2952" i="13" s="1"/>
  <c r="X2953" i="13" s="1"/>
  <c r="X2954" i="13" s="1"/>
  <c r="X2955" i="13" s="1"/>
  <c r="X2956" i="13" s="1"/>
  <c r="X2957" i="13" s="1"/>
  <c r="X2958" i="13" s="1"/>
  <c r="X2959" i="13" s="1"/>
  <c r="X2960" i="13" s="1"/>
  <c r="X2961" i="13" s="1"/>
  <c r="X2962" i="13" s="1"/>
  <c r="X2963" i="13" s="1"/>
  <c r="X2964" i="13" s="1"/>
  <c r="X2965" i="13" s="1"/>
  <c r="X2966" i="13" s="1"/>
  <c r="X2967" i="13" s="1"/>
  <c r="X2968" i="13" s="1"/>
  <c r="X2969" i="13" s="1"/>
  <c r="X2970" i="13" s="1"/>
  <c r="X2971" i="13" s="1"/>
  <c r="X2972" i="13" s="1"/>
  <c r="X2973" i="13" s="1"/>
  <c r="X2974" i="13" s="1"/>
  <c r="X2975" i="13" s="1"/>
  <c r="X2976" i="13" s="1"/>
  <c r="X2977" i="13" s="1"/>
  <c r="X2978" i="13" s="1"/>
  <c r="X2979" i="13" s="1"/>
  <c r="X2980" i="13" s="1"/>
  <c r="X2981" i="13" s="1"/>
  <c r="X2982" i="13" s="1"/>
  <c r="X2983" i="13" s="1"/>
  <c r="X2984" i="13" s="1"/>
  <c r="X2985" i="13" s="1"/>
  <c r="X2986" i="13" s="1"/>
  <c r="X2987" i="13" s="1"/>
  <c r="X2988" i="13" s="1"/>
  <c r="X2989" i="13" s="1"/>
  <c r="X2990" i="13" s="1"/>
  <c r="X2991" i="13" s="1"/>
  <c r="X2992" i="13" s="1"/>
  <c r="X2993" i="13" s="1"/>
  <c r="X2994" i="13" s="1"/>
  <c r="X2995" i="13" s="1"/>
  <c r="X2996" i="13" s="1"/>
  <c r="X2997" i="13" s="1"/>
  <c r="X2998" i="13" s="1"/>
  <c r="X2999" i="13" s="1"/>
  <c r="X3000" i="13" s="1"/>
  <c r="X3001" i="13" s="1"/>
  <c r="X3002" i="13" s="1"/>
  <c r="X3003" i="13" s="1"/>
  <c r="X3004" i="13" s="1"/>
  <c r="X3005" i="13" s="1"/>
  <c r="X3006" i="13" s="1"/>
  <c r="X3007" i="13" s="1"/>
  <c r="X3008" i="13" s="1"/>
  <c r="X3009" i="13" s="1"/>
  <c r="X3010" i="13" s="1"/>
  <c r="X3011" i="13" s="1"/>
  <c r="X3012" i="13" s="1"/>
  <c r="X3013" i="13" s="1"/>
  <c r="X3014" i="13" s="1"/>
  <c r="X3015" i="13" s="1"/>
  <c r="X3016" i="13" s="1"/>
  <c r="X3017" i="13" s="1"/>
  <c r="X3018" i="13" s="1"/>
  <c r="X3019" i="13" s="1"/>
  <c r="X3020" i="13" s="1"/>
  <c r="X3021" i="13" s="1"/>
  <c r="X3022" i="13" s="1"/>
  <c r="X3023" i="13" s="1"/>
  <c r="X3024" i="13" s="1"/>
  <c r="X3025" i="13" s="1"/>
  <c r="X3026" i="13" s="1"/>
  <c r="X3027" i="13" s="1"/>
  <c r="X3028" i="13" s="1"/>
  <c r="X3029" i="13" s="1"/>
  <c r="X3030" i="13" s="1"/>
  <c r="X3031" i="13" s="1"/>
  <c r="X3032" i="13" s="1"/>
  <c r="X3033" i="13" s="1"/>
  <c r="X3034" i="13" s="1"/>
  <c r="X3035" i="13" s="1"/>
  <c r="X3036" i="13" s="1"/>
  <c r="X3037" i="13" s="1"/>
  <c r="X3038" i="13" s="1"/>
  <c r="X3039" i="13" s="1"/>
  <c r="X3040" i="13" s="1"/>
  <c r="X3041" i="13" s="1"/>
  <c r="X3042" i="13" s="1"/>
  <c r="X3043" i="13" s="1"/>
  <c r="X3044" i="13" s="1"/>
  <c r="X3045" i="13" s="1"/>
  <c r="X3046" i="13" s="1"/>
  <c r="X3047" i="13" s="1"/>
  <c r="X3048" i="13" s="1"/>
  <c r="X3049" i="13" s="1"/>
  <c r="X3050" i="13" s="1"/>
  <c r="X3051" i="13" s="1"/>
  <c r="X3052" i="13" s="1"/>
  <c r="X3053" i="13" s="1"/>
  <c r="X3054" i="13" s="1"/>
  <c r="X3055" i="13" s="1"/>
  <c r="X3056" i="13" s="1"/>
  <c r="X3057" i="13" s="1"/>
  <c r="X3058" i="13" s="1"/>
  <c r="X3059" i="13" s="1"/>
  <c r="X3060" i="13" s="1"/>
  <c r="X3061" i="13" s="1"/>
  <c r="X3062" i="13" s="1"/>
  <c r="X3063" i="13" s="1"/>
  <c r="X3064" i="13" s="1"/>
  <c r="X3065" i="13" s="1"/>
  <c r="X3066" i="13" s="1"/>
  <c r="X3067" i="13" s="1"/>
  <c r="X3068" i="13" s="1"/>
  <c r="X3069" i="13" s="1"/>
  <c r="X3070" i="13" s="1"/>
  <c r="X3071" i="13" s="1"/>
  <c r="X3072" i="13" s="1"/>
  <c r="X3073" i="13" s="1"/>
  <c r="X3074" i="13" s="1"/>
  <c r="X3075" i="13" s="1"/>
  <c r="X3076" i="13" s="1"/>
  <c r="X3077" i="13" s="1"/>
  <c r="X3078" i="13" s="1"/>
  <c r="X3079" i="13" s="1"/>
  <c r="X3080" i="13" s="1"/>
  <c r="X3081" i="13" s="1"/>
  <c r="X3082" i="13" s="1"/>
  <c r="X3083" i="13" s="1"/>
  <c r="X3084" i="13" s="1"/>
  <c r="X3085" i="13" s="1"/>
  <c r="X3086" i="13" s="1"/>
  <c r="X3087" i="13" s="1"/>
  <c r="X3088" i="13" s="1"/>
  <c r="X3089" i="13" s="1"/>
  <c r="X3090" i="13" s="1"/>
  <c r="X3091" i="13" s="1"/>
  <c r="X3092" i="13" s="1"/>
  <c r="X3093" i="13" s="1"/>
  <c r="X3094" i="13" s="1"/>
  <c r="X3095" i="13" s="1"/>
  <c r="X3096" i="13" s="1"/>
  <c r="X3097" i="13" s="1"/>
  <c r="X3098" i="13" s="1"/>
  <c r="X3099" i="13" s="1"/>
  <c r="X3100" i="13" s="1"/>
  <c r="X3101" i="13" s="1"/>
  <c r="X3102" i="13" s="1"/>
  <c r="X3103" i="13" s="1"/>
  <c r="X3104" i="13" s="1"/>
  <c r="X3105" i="13" s="1"/>
  <c r="X3106" i="13" s="1"/>
  <c r="X3107" i="13" s="1"/>
  <c r="X3108" i="13" s="1"/>
  <c r="X3109" i="13" s="1"/>
  <c r="X3110" i="13" s="1"/>
  <c r="X3111" i="13" s="1"/>
  <c r="X3112" i="13" s="1"/>
  <c r="X3113" i="13" s="1"/>
  <c r="X3114" i="13" s="1"/>
  <c r="X3115" i="13" s="1"/>
  <c r="X3116" i="13" s="1"/>
  <c r="X3117" i="13" s="1"/>
  <c r="X3118" i="13" s="1"/>
  <c r="X3119" i="13" s="1"/>
  <c r="X3120" i="13" s="1"/>
  <c r="X3121" i="13" s="1"/>
  <c r="X3122" i="13" s="1"/>
  <c r="X3123" i="13" s="1"/>
  <c r="X3124" i="13" s="1"/>
  <c r="X3125" i="13" s="1"/>
  <c r="X3126" i="13" s="1"/>
  <c r="X3127" i="13" s="1"/>
  <c r="X3128" i="13" s="1"/>
  <c r="X3129" i="13" s="1"/>
  <c r="X3130" i="13" s="1"/>
  <c r="X3131" i="13" s="1"/>
  <c r="X3132" i="13" s="1"/>
  <c r="X3133" i="13" s="1"/>
  <c r="X3134" i="13" s="1"/>
  <c r="X3135" i="13" s="1"/>
  <c r="X3136" i="13" s="1"/>
  <c r="X3137" i="13" s="1"/>
  <c r="X3138" i="13" s="1"/>
  <c r="X3139" i="13" s="1"/>
  <c r="X3140" i="13" s="1"/>
  <c r="X3141" i="13" s="1"/>
  <c r="X3142" i="13" s="1"/>
  <c r="X3143" i="13" s="1"/>
  <c r="X3144" i="13" s="1"/>
  <c r="X3145" i="13" s="1"/>
  <c r="X3146" i="13" s="1"/>
  <c r="X3147" i="13" s="1"/>
  <c r="X3148" i="13" s="1"/>
  <c r="X3149" i="13" s="1"/>
  <c r="X3150" i="13" s="1"/>
  <c r="X3151" i="13" s="1"/>
  <c r="X3152" i="13" s="1"/>
  <c r="X3153" i="13" s="1"/>
  <c r="X3154" i="13" s="1"/>
  <c r="X3155" i="13" s="1"/>
  <c r="X3156" i="13" s="1"/>
  <c r="X3157" i="13" s="1"/>
  <c r="X3158" i="13" s="1"/>
  <c r="X3159" i="13" s="1"/>
  <c r="X3160" i="13" s="1"/>
  <c r="X3161" i="13" s="1"/>
  <c r="X3162" i="13" s="1"/>
  <c r="X3163" i="13" s="1"/>
  <c r="X3164" i="13" s="1"/>
  <c r="X3165" i="13" s="1"/>
  <c r="X3166" i="13" s="1"/>
  <c r="X3167" i="13" s="1"/>
  <c r="X3168" i="13" s="1"/>
  <c r="X3169" i="13" s="1"/>
  <c r="X3170" i="13" s="1"/>
  <c r="X3171" i="13" s="1"/>
  <c r="X3172" i="13" s="1"/>
  <c r="X3173" i="13" s="1"/>
  <c r="X3174" i="13" s="1"/>
  <c r="X3175" i="13" s="1"/>
  <c r="X3176" i="13" s="1"/>
  <c r="X3177" i="13" s="1"/>
  <c r="X3178" i="13" s="1"/>
  <c r="X3179" i="13" s="1"/>
  <c r="X3180" i="13" s="1"/>
  <c r="X3181" i="13" s="1"/>
  <c r="X3182" i="13" s="1"/>
  <c r="X3183" i="13" s="1"/>
  <c r="X3184" i="13" s="1"/>
  <c r="X3185" i="13" s="1"/>
  <c r="X3186" i="13" s="1"/>
  <c r="X3187" i="13" s="1"/>
  <c r="X3188" i="13" s="1"/>
  <c r="X3189" i="13" s="1"/>
  <c r="X3190" i="13" s="1"/>
  <c r="X3191" i="13" s="1"/>
  <c r="X3192" i="13" s="1"/>
  <c r="X3193" i="13" s="1"/>
  <c r="X3194" i="13" s="1"/>
  <c r="X3195" i="13" s="1"/>
  <c r="X3196" i="13" s="1"/>
  <c r="X3197" i="13" s="1"/>
  <c r="X3198" i="13" s="1"/>
  <c r="X3199" i="13" s="1"/>
  <c r="X3200" i="13" s="1"/>
  <c r="X3201" i="13" s="1"/>
  <c r="X3202" i="13" s="1"/>
  <c r="X3203" i="13" s="1"/>
  <c r="X3204" i="13" s="1"/>
  <c r="X3205" i="13" s="1"/>
  <c r="X3206" i="13" s="1"/>
  <c r="X3207" i="13" s="1"/>
  <c r="X3208" i="13" s="1"/>
  <c r="X3209" i="13" s="1"/>
  <c r="X3210" i="13" s="1"/>
  <c r="X3211" i="13" s="1"/>
  <c r="X3212" i="13" s="1"/>
  <c r="X3213" i="13" s="1"/>
  <c r="X3214" i="13" s="1"/>
  <c r="X3215" i="13" s="1"/>
  <c r="X3216" i="13" s="1"/>
  <c r="X3217" i="13" s="1"/>
  <c r="X3218" i="13" s="1"/>
  <c r="X3219" i="13" s="1"/>
  <c r="X3220" i="13" s="1"/>
  <c r="X3221" i="13" s="1"/>
  <c r="X3222" i="13" s="1"/>
  <c r="X3223" i="13" s="1"/>
  <c r="X3224" i="13" s="1"/>
  <c r="X3225" i="13" s="1"/>
  <c r="X3226" i="13" s="1"/>
  <c r="X3227" i="13" s="1"/>
  <c r="X3228" i="13" s="1"/>
  <c r="X3229" i="13" s="1"/>
  <c r="X3230" i="13" s="1"/>
  <c r="X3231" i="13" s="1"/>
  <c r="X3232" i="13" s="1"/>
  <c r="X3233" i="13" s="1"/>
  <c r="X3234" i="13" s="1"/>
  <c r="X3235" i="13" s="1"/>
  <c r="X3236" i="13" s="1"/>
  <c r="X3237" i="13" s="1"/>
  <c r="X3238" i="13" s="1"/>
  <c r="X3239" i="13" s="1"/>
  <c r="X3240" i="13" s="1"/>
  <c r="X3241" i="13" s="1"/>
  <c r="X3242" i="13" s="1"/>
  <c r="X3243" i="13" s="1"/>
  <c r="X3244" i="13" s="1"/>
  <c r="X3245" i="13" s="1"/>
  <c r="X3246" i="13" s="1"/>
  <c r="X3247" i="13" s="1"/>
  <c r="X3248" i="13" s="1"/>
  <c r="X3249" i="13" s="1"/>
  <c r="X3250" i="13" s="1"/>
  <c r="X3251" i="13" s="1"/>
  <c r="X3252" i="13" s="1"/>
  <c r="X3253" i="13" s="1"/>
  <c r="X3254" i="13" s="1"/>
  <c r="X3255" i="13" s="1"/>
  <c r="X3256" i="13" s="1"/>
  <c r="X3257" i="13" s="1"/>
  <c r="X3258" i="13" s="1"/>
  <c r="X3259" i="13" s="1"/>
  <c r="X3260" i="13" s="1"/>
  <c r="X3261" i="13" s="1"/>
  <c r="X3262" i="13" s="1"/>
  <c r="X3263" i="13" s="1"/>
  <c r="X3264" i="13" s="1"/>
  <c r="X3265" i="13" s="1"/>
  <c r="X3266" i="13" s="1"/>
  <c r="X3267" i="13" s="1"/>
  <c r="X3268" i="13" s="1"/>
  <c r="X3269" i="13" s="1"/>
  <c r="X3270" i="13" s="1"/>
  <c r="X3271" i="13" s="1"/>
  <c r="X3272" i="13" s="1"/>
  <c r="X3273" i="13" s="1"/>
  <c r="X3274" i="13" s="1"/>
  <c r="X3275" i="13" s="1"/>
  <c r="X3276" i="13" s="1"/>
  <c r="X3277" i="13" s="1"/>
  <c r="X3278" i="13" s="1"/>
  <c r="X3279" i="13" s="1"/>
  <c r="X3280" i="13" s="1"/>
  <c r="X3281" i="13" s="1"/>
  <c r="X3282" i="13" s="1"/>
  <c r="X3283" i="13" s="1"/>
  <c r="X3284" i="13" s="1"/>
  <c r="X3285" i="13" s="1"/>
  <c r="X3286" i="13" s="1"/>
  <c r="X3287" i="13" s="1"/>
  <c r="X3288" i="13" s="1"/>
  <c r="X3289" i="13" s="1"/>
  <c r="X3290" i="13" s="1"/>
  <c r="X3291" i="13" s="1"/>
  <c r="X3292" i="13" s="1"/>
  <c r="X3293" i="13" s="1"/>
  <c r="X3294" i="13" s="1"/>
  <c r="X3295" i="13" s="1"/>
  <c r="X3296" i="13" s="1"/>
  <c r="X3297" i="13" s="1"/>
  <c r="X3298" i="13" s="1"/>
  <c r="X3299" i="13" s="1"/>
  <c r="X3300" i="13" s="1"/>
  <c r="X3301" i="13" s="1"/>
  <c r="X3302" i="13" s="1"/>
  <c r="X3303" i="13" s="1"/>
  <c r="X3304" i="13" s="1"/>
  <c r="X3305" i="13" s="1"/>
  <c r="X3306" i="13" s="1"/>
  <c r="X3307" i="13" s="1"/>
  <c r="X3308" i="13" s="1"/>
  <c r="X3309" i="13" s="1"/>
  <c r="X3310" i="13" s="1"/>
  <c r="X3311" i="13" s="1"/>
  <c r="X3312" i="13" s="1"/>
  <c r="X3313" i="13" s="1"/>
  <c r="X3314" i="13" s="1"/>
  <c r="X3315" i="13" s="1"/>
  <c r="X3316" i="13" s="1"/>
  <c r="X3317" i="13" s="1"/>
  <c r="X3318" i="13" s="1"/>
  <c r="X3319" i="13" s="1"/>
  <c r="X3320" i="13" s="1"/>
  <c r="X3321" i="13" s="1"/>
  <c r="X3322" i="13" s="1"/>
  <c r="X3323" i="13" s="1"/>
  <c r="X3324" i="13" s="1"/>
  <c r="X3325" i="13" s="1"/>
  <c r="X3326" i="13" s="1"/>
  <c r="X3327" i="13" s="1"/>
  <c r="X3328" i="13" s="1"/>
  <c r="X3329" i="13" s="1"/>
  <c r="X3330" i="13" s="1"/>
  <c r="X3331" i="13" s="1"/>
  <c r="X3332" i="13" s="1"/>
  <c r="X3333" i="13" s="1"/>
  <c r="X3334" i="13" s="1"/>
  <c r="X3335" i="13" s="1"/>
  <c r="X3336" i="13" s="1"/>
  <c r="X3337" i="13" s="1"/>
  <c r="X3338" i="13" s="1"/>
  <c r="X3339" i="13" s="1"/>
  <c r="X3340" i="13" s="1"/>
  <c r="X3341" i="13" s="1"/>
  <c r="X3342" i="13" s="1"/>
  <c r="X3343" i="13" s="1"/>
  <c r="X3344" i="13" s="1"/>
  <c r="X3345" i="13" s="1"/>
  <c r="X3346" i="13" s="1"/>
  <c r="X3347" i="13" s="1"/>
  <c r="X3348" i="13" s="1"/>
  <c r="X3349" i="13" s="1"/>
  <c r="X3350" i="13" s="1"/>
  <c r="X3351" i="13" s="1"/>
  <c r="X3352" i="13" s="1"/>
  <c r="X3353" i="13" s="1"/>
  <c r="X3354" i="13" s="1"/>
  <c r="X3355" i="13" s="1"/>
  <c r="X3356" i="13" s="1"/>
  <c r="X3357" i="13" s="1"/>
  <c r="X3358" i="13" s="1"/>
  <c r="X3359" i="13" s="1"/>
  <c r="X3360" i="13" s="1"/>
  <c r="X3361" i="13" s="1"/>
  <c r="X3362" i="13" s="1"/>
  <c r="X3363" i="13" s="1"/>
  <c r="X3364" i="13" s="1"/>
  <c r="X3365" i="13" s="1"/>
  <c r="X3366" i="13" s="1"/>
  <c r="X3367" i="13" s="1"/>
  <c r="X3368" i="13" s="1"/>
  <c r="X3369" i="13" s="1"/>
  <c r="X3370" i="13" s="1"/>
  <c r="X3371" i="13" s="1"/>
  <c r="X3372" i="13" s="1"/>
  <c r="X3373" i="13" s="1"/>
  <c r="X3374" i="13" s="1"/>
  <c r="X3375" i="13" s="1"/>
  <c r="X3376" i="13" s="1"/>
  <c r="X3377" i="13" s="1"/>
  <c r="X3378" i="13" s="1"/>
  <c r="X3379" i="13" s="1"/>
  <c r="X3380" i="13" s="1"/>
  <c r="X3381" i="13" s="1"/>
  <c r="X3382" i="13" s="1"/>
  <c r="X3383" i="13" s="1"/>
  <c r="X3384" i="13" s="1"/>
  <c r="X3385" i="13" s="1"/>
  <c r="X3386" i="13" s="1"/>
  <c r="X3387" i="13" s="1"/>
  <c r="X3388" i="13" s="1"/>
  <c r="X3389" i="13" s="1"/>
  <c r="X3390" i="13" s="1"/>
  <c r="X3391" i="13" s="1"/>
  <c r="X3392" i="13" s="1"/>
  <c r="X3393" i="13" s="1"/>
  <c r="X3394" i="13" s="1"/>
  <c r="X3395" i="13" s="1"/>
  <c r="X3396" i="13" s="1"/>
  <c r="X3397" i="13" s="1"/>
  <c r="X3398" i="13" s="1"/>
  <c r="X3399" i="13" s="1"/>
  <c r="X3400" i="13" s="1"/>
  <c r="X3401" i="13" s="1"/>
  <c r="X3402" i="13" s="1"/>
  <c r="X3403" i="13" s="1"/>
  <c r="X3404" i="13" s="1"/>
  <c r="X3405" i="13" s="1"/>
  <c r="X3406" i="13" s="1"/>
  <c r="X3407" i="13" s="1"/>
  <c r="X3408" i="13" s="1"/>
  <c r="X3409" i="13" s="1"/>
  <c r="X3410" i="13" s="1"/>
  <c r="X3411" i="13" s="1"/>
  <c r="X3412" i="13" s="1"/>
  <c r="X3413" i="13" s="1"/>
  <c r="X3414" i="13" s="1"/>
  <c r="X3415" i="13" s="1"/>
  <c r="X3416" i="13" s="1"/>
  <c r="X3417" i="13" s="1"/>
  <c r="X3418" i="13" s="1"/>
  <c r="X3419" i="13" s="1"/>
  <c r="X3420" i="13" s="1"/>
  <c r="X3421" i="13" s="1"/>
  <c r="X3422" i="13" s="1"/>
  <c r="X3423" i="13" s="1"/>
  <c r="X3424" i="13" s="1"/>
  <c r="X3425" i="13" s="1"/>
  <c r="X3426" i="13" s="1"/>
  <c r="X3427" i="13" s="1"/>
  <c r="X3428" i="13" s="1"/>
  <c r="X3429" i="13" s="1"/>
  <c r="X3430" i="13" s="1"/>
  <c r="X3431" i="13" s="1"/>
  <c r="X3432" i="13" s="1"/>
  <c r="X3433" i="13" s="1"/>
  <c r="X3434" i="13" s="1"/>
  <c r="X3435" i="13" s="1"/>
  <c r="X3436" i="13" s="1"/>
  <c r="X3437" i="13" s="1"/>
  <c r="X3438" i="13" s="1"/>
  <c r="X3439" i="13" s="1"/>
  <c r="X3440" i="13" s="1"/>
  <c r="X3441" i="13" s="1"/>
  <c r="X3442" i="13" s="1"/>
  <c r="X3443" i="13" s="1"/>
  <c r="X3444" i="13" s="1"/>
  <c r="X3445" i="13" s="1"/>
  <c r="X3446" i="13" s="1"/>
  <c r="X3447" i="13" s="1"/>
  <c r="X3448" i="13" s="1"/>
  <c r="X3449" i="13" s="1"/>
  <c r="X3450" i="13" s="1"/>
  <c r="X3451" i="13" s="1"/>
  <c r="X3452" i="13" s="1"/>
  <c r="X3453" i="13" s="1"/>
  <c r="X3454" i="13" s="1"/>
  <c r="X3455" i="13" s="1"/>
  <c r="X3456" i="13" s="1"/>
  <c r="X3457" i="13" s="1"/>
  <c r="X3458" i="13" s="1"/>
  <c r="X3459" i="13" s="1"/>
  <c r="X3460" i="13" s="1"/>
  <c r="X3461" i="13" s="1"/>
  <c r="X3462" i="13" s="1"/>
  <c r="X3463" i="13" s="1"/>
  <c r="X3464" i="13" s="1"/>
  <c r="X3465" i="13" s="1"/>
  <c r="X3466" i="13" s="1"/>
  <c r="X3467" i="13" s="1"/>
  <c r="X3468" i="13" s="1"/>
  <c r="X3469" i="13" s="1"/>
  <c r="X3470" i="13" s="1"/>
  <c r="X3471" i="13" s="1"/>
  <c r="X3472" i="13" s="1"/>
  <c r="X3473" i="13" s="1"/>
  <c r="X3474" i="13" s="1"/>
  <c r="X3475" i="13" s="1"/>
  <c r="X3476" i="13" s="1"/>
  <c r="X3477" i="13" s="1"/>
  <c r="X3478" i="13" s="1"/>
  <c r="X3479" i="13" s="1"/>
  <c r="X3480" i="13" s="1"/>
  <c r="X3481" i="13" s="1"/>
  <c r="X3482" i="13" s="1"/>
  <c r="X3483" i="13" s="1"/>
  <c r="X3484" i="13" s="1"/>
  <c r="X3485" i="13" s="1"/>
  <c r="X3486" i="13" s="1"/>
  <c r="X3487" i="13" s="1"/>
  <c r="X3488" i="13" s="1"/>
  <c r="X3489" i="13" s="1"/>
  <c r="X3490" i="13" s="1"/>
  <c r="X3491" i="13" s="1"/>
  <c r="X3492" i="13" s="1"/>
  <c r="X3493" i="13" s="1"/>
  <c r="X3494" i="13" s="1"/>
  <c r="X3495" i="13" s="1"/>
  <c r="X3496" i="13" s="1"/>
  <c r="X3497" i="13" s="1"/>
  <c r="X3498" i="13" s="1"/>
  <c r="X3499" i="13" s="1"/>
  <c r="X3500" i="13" s="1"/>
  <c r="X3501" i="13" s="1"/>
  <c r="X3502" i="13" s="1"/>
  <c r="X3503" i="13" s="1"/>
  <c r="X3504" i="13" s="1"/>
  <c r="X3505" i="13" s="1"/>
  <c r="X3506" i="13" s="1"/>
  <c r="X3507" i="13" s="1"/>
  <c r="X3508" i="13" s="1"/>
  <c r="X3509" i="13" s="1"/>
  <c r="X3510" i="13" s="1"/>
  <c r="X3511" i="13" s="1"/>
  <c r="X3512" i="13" s="1"/>
  <c r="X3513" i="13" s="1"/>
  <c r="X3514" i="13" s="1"/>
  <c r="X3515" i="13" s="1"/>
  <c r="X3516" i="13" s="1"/>
  <c r="X3517" i="13" s="1"/>
  <c r="X3518" i="13" s="1"/>
  <c r="X3519" i="13" s="1"/>
  <c r="X3520" i="13" s="1"/>
  <c r="X3521" i="13" s="1"/>
  <c r="X3522" i="13" s="1"/>
  <c r="X3523" i="13" s="1"/>
  <c r="X3524" i="13" s="1"/>
  <c r="X3525" i="13" s="1"/>
  <c r="X3526" i="13" s="1"/>
  <c r="X3527" i="13" s="1"/>
  <c r="X3528" i="13" s="1"/>
  <c r="X3529" i="13" s="1"/>
  <c r="X3530" i="13" s="1"/>
  <c r="X3531" i="13" s="1"/>
  <c r="X3532" i="13" s="1"/>
  <c r="X3533" i="13" s="1"/>
  <c r="X3534" i="13" s="1"/>
  <c r="X3535" i="13" s="1"/>
  <c r="X3536" i="13" s="1"/>
  <c r="X3537" i="13" s="1"/>
  <c r="X3538" i="13" s="1"/>
  <c r="X3539" i="13" s="1"/>
  <c r="X3540" i="13" s="1"/>
  <c r="X3541" i="13" s="1"/>
  <c r="X3542" i="13" s="1"/>
  <c r="X3543" i="13" s="1"/>
  <c r="X3544" i="13" s="1"/>
  <c r="X3545" i="13" s="1"/>
  <c r="X3546" i="13" s="1"/>
  <c r="X3547" i="13" s="1"/>
  <c r="X3548" i="13" s="1"/>
  <c r="X3549" i="13" s="1"/>
  <c r="X3550" i="13" s="1"/>
  <c r="X3551" i="13" s="1"/>
  <c r="X3552" i="13" s="1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4" i="13"/>
  <c r="Q23" i="13"/>
  <c r="Q22" i="13"/>
  <c r="Q21" i="13"/>
  <c r="X20" i="13"/>
  <c r="X21" i="13" s="1"/>
  <c r="X22" i="13" s="1"/>
  <c r="X23" i="13" s="1"/>
  <c r="X24" i="13" s="1"/>
  <c r="X25" i="13" s="1"/>
  <c r="X26" i="13" s="1"/>
  <c r="X27" i="13" s="1"/>
  <c r="X28" i="13" s="1"/>
  <c r="X29" i="13" s="1"/>
  <c r="X30" i="13" s="1"/>
  <c r="X31" i="13" s="1"/>
  <c r="X32" i="13" s="1"/>
  <c r="X33" i="13" s="1"/>
  <c r="X34" i="13" s="1"/>
  <c r="X35" i="13" s="1"/>
  <c r="X36" i="13" s="1"/>
  <c r="X37" i="13" s="1"/>
  <c r="X38" i="13" s="1"/>
  <c r="X39" i="13" s="1"/>
  <c r="X40" i="13" s="1"/>
  <c r="X41" i="13" s="1"/>
  <c r="X42" i="13" s="1"/>
  <c r="X43" i="13" s="1"/>
  <c r="X44" i="13" s="1"/>
  <c r="X45" i="13" s="1"/>
  <c r="X46" i="13" s="1"/>
  <c r="X47" i="13" s="1"/>
  <c r="X48" i="13" s="1"/>
  <c r="X49" i="13" s="1"/>
  <c r="X50" i="13" s="1"/>
  <c r="X51" i="13" s="1"/>
  <c r="X52" i="13" s="1"/>
  <c r="X53" i="13" s="1"/>
  <c r="X54" i="13" s="1"/>
  <c r="X55" i="13" s="1"/>
  <c r="X56" i="13" s="1"/>
  <c r="X57" i="13" s="1"/>
  <c r="X58" i="13" s="1"/>
  <c r="X59" i="13" s="1"/>
  <c r="X60" i="13" s="1"/>
  <c r="X61" i="13" s="1"/>
  <c r="X62" i="13" s="1"/>
  <c r="X63" i="13" s="1"/>
  <c r="X64" i="13" s="1"/>
  <c r="X65" i="13" s="1"/>
  <c r="X66" i="13" s="1"/>
  <c r="X67" i="13" s="1"/>
  <c r="X68" i="13" s="1"/>
  <c r="X69" i="13" s="1"/>
  <c r="X70" i="13" s="1"/>
  <c r="X71" i="13" s="1"/>
  <c r="X72" i="13" s="1"/>
  <c r="X73" i="13" s="1"/>
  <c r="X74" i="13" s="1"/>
  <c r="X75" i="13" s="1"/>
  <c r="X76" i="13" s="1"/>
  <c r="X77" i="13" s="1"/>
  <c r="X78" i="13" s="1"/>
  <c r="X79" i="13" s="1"/>
  <c r="X80" i="13" s="1"/>
  <c r="X81" i="13" s="1"/>
  <c r="X82" i="13" s="1"/>
  <c r="X83" i="13" s="1"/>
  <c r="X84" i="13" s="1"/>
  <c r="X85" i="13" s="1"/>
  <c r="X86" i="13" s="1"/>
  <c r="X87" i="13" s="1"/>
  <c r="X88" i="13" s="1"/>
  <c r="X89" i="13" s="1"/>
  <c r="X90" i="13" s="1"/>
  <c r="X91" i="13" s="1"/>
  <c r="X92" i="13" s="1"/>
  <c r="X93" i="13" s="1"/>
  <c r="X94" i="13" s="1"/>
  <c r="X95" i="13" s="1"/>
  <c r="X96" i="13" s="1"/>
  <c r="X97" i="13" s="1"/>
  <c r="X98" i="13" s="1"/>
  <c r="X99" i="13" s="1"/>
  <c r="X100" i="13" s="1"/>
  <c r="X101" i="13" s="1"/>
  <c r="X102" i="13" s="1"/>
  <c r="X103" i="13" s="1"/>
  <c r="X104" i="13" s="1"/>
  <c r="X105" i="13" s="1"/>
  <c r="X106" i="13" s="1"/>
  <c r="X107" i="13" s="1"/>
  <c r="X108" i="13" s="1"/>
  <c r="X109" i="13" s="1"/>
  <c r="X110" i="13" s="1"/>
  <c r="X111" i="13" s="1"/>
  <c r="X112" i="13" s="1"/>
  <c r="X113" i="13" s="1"/>
  <c r="X114" i="13" s="1"/>
  <c r="X115" i="13" s="1"/>
  <c r="X116" i="13" s="1"/>
  <c r="X117" i="13" s="1"/>
  <c r="X118" i="13" s="1"/>
  <c r="X119" i="13" s="1"/>
  <c r="X120" i="13" s="1"/>
  <c r="X121" i="13" s="1"/>
  <c r="X122" i="13" s="1"/>
  <c r="X123" i="13" s="1"/>
  <c r="X124" i="13" s="1"/>
  <c r="X125" i="13" s="1"/>
  <c r="X126" i="13" s="1"/>
  <c r="X127" i="13" s="1"/>
  <c r="X128" i="13" s="1"/>
  <c r="X129" i="13" s="1"/>
  <c r="X130" i="13" s="1"/>
  <c r="X131" i="13" s="1"/>
  <c r="X132" i="13" s="1"/>
  <c r="X133" i="13" s="1"/>
  <c r="X134" i="13" s="1"/>
  <c r="X135" i="13" s="1"/>
  <c r="X136" i="13" s="1"/>
  <c r="X137" i="13" s="1"/>
  <c r="X138" i="13" s="1"/>
  <c r="X139" i="13" s="1"/>
  <c r="X140" i="13" s="1"/>
  <c r="X141" i="13" s="1"/>
  <c r="X142" i="13" s="1"/>
  <c r="X143" i="13" s="1"/>
  <c r="X144" i="13" s="1"/>
  <c r="X145" i="13" s="1"/>
  <c r="X146" i="13" s="1"/>
  <c r="X147" i="13" s="1"/>
  <c r="X148" i="13" s="1"/>
  <c r="X149" i="13" s="1"/>
  <c r="X150" i="13" s="1"/>
  <c r="X151" i="13" s="1"/>
  <c r="X152" i="13" s="1"/>
  <c r="X153" i="13" s="1"/>
  <c r="X154" i="13" s="1"/>
  <c r="X155" i="13" s="1"/>
  <c r="X156" i="13" s="1"/>
  <c r="X157" i="13" s="1"/>
  <c r="X158" i="13" s="1"/>
  <c r="X159" i="13" s="1"/>
  <c r="X160" i="13" s="1"/>
  <c r="X161" i="13" s="1"/>
  <c r="X162" i="13" s="1"/>
  <c r="X163" i="13" s="1"/>
  <c r="X164" i="13" s="1"/>
  <c r="X165" i="13" s="1"/>
  <c r="X166" i="13" s="1"/>
  <c r="X167" i="13" s="1"/>
  <c r="X168" i="13" s="1"/>
  <c r="X169" i="13" s="1"/>
  <c r="X170" i="13" s="1"/>
  <c r="X171" i="13" s="1"/>
  <c r="X172" i="13" s="1"/>
  <c r="X173" i="13" s="1"/>
  <c r="X174" i="13" s="1"/>
  <c r="X175" i="13" s="1"/>
  <c r="X176" i="13" s="1"/>
  <c r="X177" i="13" s="1"/>
  <c r="X178" i="13" s="1"/>
  <c r="X179" i="13" s="1"/>
  <c r="X180" i="13" s="1"/>
  <c r="X181" i="13" s="1"/>
  <c r="X182" i="13" s="1"/>
  <c r="X183" i="13" s="1"/>
  <c r="X184" i="13" s="1"/>
  <c r="X185" i="13" s="1"/>
  <c r="X186" i="13" s="1"/>
  <c r="X187" i="13" s="1"/>
  <c r="X188" i="13" s="1"/>
  <c r="X189" i="13" s="1"/>
  <c r="X190" i="13" s="1"/>
  <c r="X191" i="13" s="1"/>
  <c r="X192" i="13" s="1"/>
  <c r="X193" i="13" s="1"/>
  <c r="X194" i="13" s="1"/>
  <c r="X195" i="13" s="1"/>
  <c r="X196" i="13" s="1"/>
  <c r="X197" i="13" s="1"/>
  <c r="X198" i="13" s="1"/>
  <c r="X199" i="13" s="1"/>
  <c r="X200" i="13" s="1"/>
  <c r="X201" i="13" s="1"/>
  <c r="X202" i="13" s="1"/>
  <c r="X203" i="13" s="1"/>
  <c r="X204" i="13" s="1"/>
  <c r="X205" i="13" s="1"/>
  <c r="X206" i="13" s="1"/>
  <c r="X207" i="13" s="1"/>
  <c r="X208" i="13" s="1"/>
  <c r="X209" i="13" s="1"/>
  <c r="X210" i="13" s="1"/>
  <c r="X211" i="13" s="1"/>
  <c r="X212" i="13" s="1"/>
  <c r="X213" i="13" s="1"/>
  <c r="X214" i="13" s="1"/>
  <c r="X215" i="13" s="1"/>
  <c r="X216" i="13" s="1"/>
  <c r="X217" i="13" s="1"/>
  <c r="X218" i="13" s="1"/>
  <c r="X219" i="13" s="1"/>
  <c r="X220" i="13" s="1"/>
  <c r="X221" i="13" s="1"/>
  <c r="X222" i="13" s="1"/>
  <c r="X223" i="13" s="1"/>
  <c r="X224" i="13" s="1"/>
  <c r="X225" i="13" s="1"/>
  <c r="X226" i="13" s="1"/>
  <c r="X227" i="13" s="1"/>
  <c r="X228" i="13" s="1"/>
  <c r="X229" i="13" s="1"/>
  <c r="X230" i="13" s="1"/>
  <c r="X231" i="13" s="1"/>
  <c r="X232" i="13" s="1"/>
  <c r="X233" i="13" s="1"/>
  <c r="X234" i="13" s="1"/>
  <c r="X235" i="13" s="1"/>
  <c r="X236" i="13" s="1"/>
  <c r="X237" i="13" s="1"/>
  <c r="X238" i="13" s="1"/>
  <c r="X239" i="13" s="1"/>
  <c r="X240" i="13" s="1"/>
  <c r="X241" i="13" s="1"/>
  <c r="X242" i="13" s="1"/>
  <c r="X243" i="13" s="1"/>
  <c r="X244" i="13" s="1"/>
  <c r="X245" i="13" s="1"/>
  <c r="X246" i="13" s="1"/>
  <c r="X247" i="13" s="1"/>
  <c r="X248" i="13" s="1"/>
  <c r="X249" i="13" s="1"/>
  <c r="X250" i="13" s="1"/>
  <c r="X251" i="13" s="1"/>
  <c r="X252" i="13" s="1"/>
  <c r="X253" i="13" s="1"/>
  <c r="X254" i="13" s="1"/>
  <c r="X255" i="13" s="1"/>
  <c r="X256" i="13" s="1"/>
  <c r="X257" i="13" s="1"/>
  <c r="X258" i="13" s="1"/>
  <c r="X259" i="13" s="1"/>
  <c r="X260" i="13" s="1"/>
  <c r="X261" i="13" s="1"/>
  <c r="X262" i="13" s="1"/>
  <c r="X263" i="13" s="1"/>
  <c r="X264" i="13" s="1"/>
  <c r="X265" i="13" s="1"/>
  <c r="X266" i="13" s="1"/>
  <c r="X267" i="13" s="1"/>
  <c r="X268" i="13" s="1"/>
  <c r="X269" i="13" s="1"/>
  <c r="X270" i="13" s="1"/>
  <c r="X271" i="13" s="1"/>
  <c r="X272" i="13" s="1"/>
  <c r="X273" i="13" s="1"/>
  <c r="X274" i="13" s="1"/>
  <c r="X275" i="13" s="1"/>
  <c r="X276" i="13" s="1"/>
  <c r="X277" i="13" s="1"/>
  <c r="X278" i="13" s="1"/>
  <c r="X279" i="13" s="1"/>
  <c r="X280" i="13" s="1"/>
  <c r="X281" i="13" s="1"/>
  <c r="X282" i="13" s="1"/>
  <c r="X283" i="13" s="1"/>
  <c r="X284" i="13" s="1"/>
  <c r="X285" i="13" s="1"/>
  <c r="X286" i="13" s="1"/>
  <c r="X287" i="13" s="1"/>
  <c r="X288" i="13" s="1"/>
  <c r="X289" i="13" s="1"/>
  <c r="X290" i="13" s="1"/>
  <c r="X291" i="13" s="1"/>
  <c r="X292" i="13" s="1"/>
  <c r="X293" i="13" s="1"/>
  <c r="X294" i="13" s="1"/>
  <c r="X295" i="13" s="1"/>
  <c r="X296" i="13" s="1"/>
  <c r="X297" i="13" s="1"/>
  <c r="X298" i="13" s="1"/>
  <c r="X299" i="13" s="1"/>
  <c r="X300" i="13" s="1"/>
  <c r="X301" i="13" s="1"/>
  <c r="X302" i="13" s="1"/>
  <c r="X303" i="13" s="1"/>
  <c r="X304" i="13" s="1"/>
  <c r="X305" i="13" s="1"/>
  <c r="X306" i="13" s="1"/>
  <c r="X307" i="13" s="1"/>
  <c r="X308" i="13" s="1"/>
  <c r="X309" i="13" s="1"/>
  <c r="X310" i="13" s="1"/>
  <c r="X311" i="13" s="1"/>
  <c r="X312" i="13" s="1"/>
  <c r="X313" i="13" s="1"/>
  <c r="X314" i="13" s="1"/>
  <c r="X315" i="13" s="1"/>
  <c r="X316" i="13" s="1"/>
  <c r="X317" i="13" s="1"/>
  <c r="X318" i="13" s="1"/>
  <c r="X319" i="13" s="1"/>
  <c r="X320" i="13" s="1"/>
  <c r="X321" i="13" s="1"/>
  <c r="X322" i="13" s="1"/>
  <c r="X323" i="13" s="1"/>
  <c r="X324" i="13" s="1"/>
  <c r="X325" i="13" s="1"/>
  <c r="X326" i="13" s="1"/>
  <c r="X327" i="13" s="1"/>
  <c r="X328" i="13" s="1"/>
  <c r="X329" i="13" s="1"/>
  <c r="X330" i="13" s="1"/>
  <c r="X331" i="13" s="1"/>
  <c r="X332" i="13" s="1"/>
  <c r="X333" i="13" s="1"/>
  <c r="X334" i="13" s="1"/>
  <c r="X335" i="13" s="1"/>
  <c r="X336" i="13" s="1"/>
  <c r="X337" i="13" s="1"/>
  <c r="X338" i="13" s="1"/>
  <c r="X339" i="13" s="1"/>
  <c r="X340" i="13" s="1"/>
  <c r="X341" i="13" s="1"/>
  <c r="X342" i="13" s="1"/>
  <c r="X343" i="13" s="1"/>
  <c r="X344" i="13" s="1"/>
  <c r="X345" i="13" s="1"/>
  <c r="X346" i="13" s="1"/>
  <c r="X347" i="13" s="1"/>
  <c r="X348" i="13" s="1"/>
  <c r="X349" i="13" s="1"/>
  <c r="X350" i="13" s="1"/>
  <c r="X351" i="13" s="1"/>
  <c r="X352" i="13" s="1"/>
  <c r="X353" i="13" s="1"/>
  <c r="X354" i="13" s="1"/>
  <c r="X355" i="13" s="1"/>
  <c r="X356" i="13" s="1"/>
  <c r="X357" i="13" s="1"/>
  <c r="X358" i="13" s="1"/>
  <c r="X359" i="13" s="1"/>
  <c r="X360" i="13" s="1"/>
  <c r="X361" i="13" s="1"/>
  <c r="X362" i="13" s="1"/>
  <c r="X363" i="13" s="1"/>
  <c r="X364" i="13" s="1"/>
  <c r="X365" i="13" s="1"/>
  <c r="X366" i="13" s="1"/>
  <c r="X367" i="13" s="1"/>
  <c r="X368" i="13" s="1"/>
  <c r="X369" i="13" s="1"/>
  <c r="X370" i="13" s="1"/>
  <c r="X371" i="13" s="1"/>
  <c r="X372" i="13" s="1"/>
  <c r="X373" i="13" s="1"/>
  <c r="X374" i="13" s="1"/>
  <c r="X375" i="13" s="1"/>
  <c r="X376" i="13" s="1"/>
  <c r="X377" i="13" s="1"/>
  <c r="X378" i="13" s="1"/>
  <c r="X379" i="13" s="1"/>
  <c r="X380" i="13" s="1"/>
  <c r="X381" i="13" s="1"/>
  <c r="X382" i="13" s="1"/>
  <c r="X383" i="13" s="1"/>
  <c r="X384" i="13" s="1"/>
  <c r="X385" i="13" s="1"/>
  <c r="X386" i="13" s="1"/>
  <c r="X387" i="13" s="1"/>
  <c r="X388" i="13" s="1"/>
  <c r="X389" i="13" s="1"/>
  <c r="X390" i="13" s="1"/>
  <c r="X391" i="13" s="1"/>
  <c r="X392" i="13" s="1"/>
  <c r="X393" i="13" s="1"/>
  <c r="X394" i="13" s="1"/>
  <c r="X395" i="13" s="1"/>
  <c r="X396" i="13" s="1"/>
  <c r="X397" i="13" s="1"/>
  <c r="X398" i="13" s="1"/>
  <c r="X399" i="13" s="1"/>
  <c r="X400" i="13" s="1"/>
  <c r="X401" i="13" s="1"/>
  <c r="X402" i="13" s="1"/>
  <c r="X403" i="13" s="1"/>
  <c r="X404" i="13" s="1"/>
  <c r="X405" i="13" s="1"/>
  <c r="X406" i="13" s="1"/>
  <c r="X407" i="13" s="1"/>
  <c r="X408" i="13" s="1"/>
  <c r="X409" i="13" s="1"/>
  <c r="X410" i="13" s="1"/>
  <c r="X411" i="13" s="1"/>
  <c r="X412" i="13" s="1"/>
  <c r="X413" i="13" s="1"/>
  <c r="X414" i="13" s="1"/>
  <c r="X415" i="13" s="1"/>
  <c r="X416" i="13" s="1"/>
  <c r="X417" i="13" s="1"/>
  <c r="X418" i="13" s="1"/>
  <c r="X419" i="13" s="1"/>
  <c r="X420" i="13" s="1"/>
  <c r="X421" i="13" s="1"/>
  <c r="X422" i="13" s="1"/>
  <c r="X423" i="13" s="1"/>
  <c r="X424" i="13" s="1"/>
  <c r="X425" i="13" s="1"/>
  <c r="X426" i="13" s="1"/>
  <c r="X427" i="13" s="1"/>
  <c r="X428" i="13" s="1"/>
  <c r="X429" i="13" s="1"/>
  <c r="X430" i="13" s="1"/>
  <c r="X431" i="13" s="1"/>
  <c r="X432" i="13" s="1"/>
  <c r="X433" i="13" s="1"/>
  <c r="X434" i="13" s="1"/>
  <c r="X435" i="13" s="1"/>
  <c r="X436" i="13" s="1"/>
  <c r="X437" i="13" s="1"/>
  <c r="X438" i="13" s="1"/>
  <c r="X439" i="13" s="1"/>
  <c r="X440" i="13" s="1"/>
  <c r="X441" i="13" s="1"/>
  <c r="X442" i="13" s="1"/>
  <c r="X443" i="13" s="1"/>
  <c r="X444" i="13" s="1"/>
  <c r="X445" i="13" s="1"/>
  <c r="X446" i="13" s="1"/>
  <c r="X447" i="13" s="1"/>
  <c r="X448" i="13" s="1"/>
  <c r="X449" i="13" s="1"/>
  <c r="X450" i="13" s="1"/>
  <c r="X451" i="13" s="1"/>
  <c r="X452" i="13" s="1"/>
  <c r="X453" i="13" s="1"/>
  <c r="X454" i="13" s="1"/>
  <c r="X455" i="13" s="1"/>
  <c r="X456" i="13" s="1"/>
  <c r="X457" i="13" s="1"/>
  <c r="X458" i="13" s="1"/>
  <c r="X459" i="13" s="1"/>
  <c r="X460" i="13" s="1"/>
  <c r="X461" i="13" s="1"/>
  <c r="X462" i="13" s="1"/>
  <c r="X463" i="13" s="1"/>
  <c r="X464" i="13" s="1"/>
  <c r="X465" i="13" s="1"/>
  <c r="X466" i="13" s="1"/>
  <c r="X467" i="13" s="1"/>
  <c r="X468" i="13" s="1"/>
  <c r="X469" i="13" s="1"/>
  <c r="X470" i="13" s="1"/>
  <c r="X471" i="13" s="1"/>
  <c r="X472" i="13" s="1"/>
  <c r="X473" i="13" s="1"/>
  <c r="X474" i="13" s="1"/>
  <c r="X475" i="13" s="1"/>
  <c r="X476" i="13" s="1"/>
  <c r="X477" i="13" s="1"/>
  <c r="X478" i="13" s="1"/>
  <c r="X479" i="13" s="1"/>
  <c r="X480" i="13" s="1"/>
  <c r="X481" i="13" s="1"/>
  <c r="X482" i="13" s="1"/>
  <c r="X483" i="13" s="1"/>
  <c r="X484" i="13" s="1"/>
  <c r="X485" i="13" s="1"/>
  <c r="X486" i="13" s="1"/>
  <c r="X487" i="13" s="1"/>
  <c r="X488" i="13" s="1"/>
  <c r="X489" i="13" s="1"/>
  <c r="X490" i="13" s="1"/>
  <c r="X491" i="13" s="1"/>
  <c r="X492" i="13" s="1"/>
  <c r="X493" i="13" s="1"/>
  <c r="X494" i="13" s="1"/>
  <c r="X495" i="13" s="1"/>
  <c r="X496" i="13" s="1"/>
  <c r="X497" i="13" s="1"/>
  <c r="X498" i="13" s="1"/>
  <c r="X499" i="13" s="1"/>
  <c r="X500" i="13" s="1"/>
  <c r="X501" i="13" s="1"/>
  <c r="X502" i="13" s="1"/>
  <c r="X503" i="13" s="1"/>
  <c r="X504" i="13" s="1"/>
  <c r="X505" i="13" s="1"/>
  <c r="X506" i="13" s="1"/>
  <c r="X507" i="13" s="1"/>
  <c r="X508" i="13" s="1"/>
  <c r="X509" i="13" s="1"/>
  <c r="X510" i="13" s="1"/>
  <c r="X511" i="13" s="1"/>
  <c r="X512" i="13" s="1"/>
  <c r="X513" i="13" s="1"/>
  <c r="X514" i="13" s="1"/>
  <c r="X515" i="13" s="1"/>
  <c r="X516" i="13" s="1"/>
  <c r="X517" i="13" s="1"/>
  <c r="X518" i="13" s="1"/>
  <c r="X519" i="13" s="1"/>
  <c r="X520" i="13" s="1"/>
  <c r="X521" i="13" s="1"/>
  <c r="X522" i="13" s="1"/>
  <c r="X523" i="13" s="1"/>
  <c r="X524" i="13" s="1"/>
  <c r="X525" i="13" s="1"/>
  <c r="X526" i="13" s="1"/>
  <c r="X527" i="13" s="1"/>
  <c r="X528" i="13" s="1"/>
  <c r="X529" i="13" s="1"/>
  <c r="X530" i="13" s="1"/>
  <c r="X531" i="13" s="1"/>
  <c r="X532" i="13" s="1"/>
  <c r="X533" i="13" s="1"/>
  <c r="X534" i="13" s="1"/>
  <c r="X535" i="13" s="1"/>
  <c r="X536" i="13" s="1"/>
  <c r="Q20" i="13"/>
  <c r="Q19" i="13"/>
  <c r="F16" i="13"/>
  <c r="F15" i="13"/>
  <c r="F14" i="13"/>
  <c r="F13" i="13"/>
  <c r="F12" i="13"/>
  <c r="F11" i="13"/>
  <c r="F10" i="13"/>
  <c r="D9" i="13"/>
  <c r="F9" i="13" s="1"/>
  <c r="F8" i="13"/>
  <c r="F7" i="13"/>
  <c r="F6" i="13"/>
  <c r="F5" i="13"/>
  <c r="F4" i="13"/>
  <c r="F3" i="13"/>
  <c r="B5" i="13"/>
  <c r="B3" i="13"/>
  <c r="B8" i="13"/>
  <c r="B13" i="13"/>
  <c r="B14" i="13"/>
  <c r="B6" i="13"/>
  <c r="B7" i="13"/>
  <c r="B16" i="13"/>
  <c r="B10" i="13"/>
  <c r="B15" i="13"/>
  <c r="B12" i="13"/>
  <c r="B9" i="13"/>
  <c r="B11" i="13"/>
  <c r="B4" i="13"/>
  <c r="M23" i="6"/>
  <c r="D18" i="6" l="1"/>
  <c r="L21" i="11"/>
  <c r="L27" i="11"/>
  <c r="L7" i="11"/>
  <c r="L40" i="11"/>
  <c r="C5" i="4"/>
  <c r="J10" i="4"/>
  <c r="I4" i="4"/>
  <c r="C6" i="4"/>
  <c r="L5" i="11"/>
  <c r="L37" i="11"/>
  <c r="L12" i="11"/>
  <c r="L15" i="11"/>
  <c r="L9" i="11"/>
  <c r="J5" i="4"/>
  <c r="C3" i="4"/>
  <c r="D2" i="4"/>
  <c r="I10" i="4"/>
  <c r="L18" i="11"/>
  <c r="L14" i="11"/>
  <c r="L28" i="11"/>
  <c r="L23" i="11"/>
  <c r="L17" i="11"/>
  <c r="C7" i="4"/>
  <c r="C4" i="4"/>
  <c r="J6" i="4"/>
  <c r="D5" i="4"/>
  <c r="L34" i="11"/>
  <c r="L30" i="11"/>
  <c r="L13" i="11"/>
  <c r="L31" i="11"/>
  <c r="L25" i="11"/>
  <c r="I5" i="4"/>
  <c r="I3" i="4"/>
  <c r="I7" i="4"/>
  <c r="J2" i="4"/>
  <c r="L19" i="11"/>
  <c r="L39" i="11"/>
  <c r="L29" i="11"/>
  <c r="L8" i="11"/>
  <c r="L33" i="11"/>
  <c r="J4" i="4"/>
  <c r="I6" i="4"/>
  <c r="C10" i="4"/>
  <c r="I2" i="4"/>
  <c r="L35" i="11"/>
  <c r="L10" i="11"/>
  <c r="L6" i="11"/>
  <c r="L16" i="11"/>
  <c r="L41" i="11"/>
  <c r="D7" i="4"/>
  <c r="C8" i="4"/>
  <c r="D6" i="4"/>
  <c r="L20" i="11"/>
  <c r="L26" i="11"/>
  <c r="L22" i="11"/>
  <c r="L24" i="11"/>
  <c r="J8" i="4"/>
  <c r="D10" i="4"/>
  <c r="D8" i="4"/>
  <c r="J7" i="4"/>
  <c r="L36" i="11"/>
  <c r="L11" i="11"/>
  <c r="L38" i="11"/>
  <c r="L32" i="11"/>
  <c r="I8" i="4"/>
  <c r="D4" i="4"/>
  <c r="D3" i="4"/>
  <c r="J3" i="4"/>
  <c r="D7" i="6" l="1"/>
  <c r="F5" i="11" s="1" a="1"/>
  <c r="D8" i="6"/>
  <c r="E5" i="11" s="1" a="1"/>
  <c r="D6" i="6"/>
  <c r="M2" i="11"/>
  <c r="K2" i="9"/>
  <c r="C3" i="13"/>
  <c r="C5" i="13"/>
  <c r="C4" i="13"/>
  <c r="Y19" i="13"/>
  <c r="F5" i="11" l="1"/>
  <c r="F12" i="11"/>
  <c r="F20" i="11"/>
  <c r="F28" i="11"/>
  <c r="F36" i="11"/>
  <c r="F35" i="11"/>
  <c r="F41" i="11"/>
  <c r="F16" i="11"/>
  <c r="F30" i="11"/>
  <c r="F11" i="11"/>
  <c r="F31" i="11"/>
  <c r="F34" i="11"/>
  <c r="F37" i="11"/>
  <c r="F40" i="11"/>
  <c r="F7" i="11"/>
  <c r="F10" i="11"/>
  <c r="F13" i="11"/>
  <c r="F27" i="11"/>
  <c r="F33" i="11"/>
  <c r="F8" i="11"/>
  <c r="F22" i="11"/>
  <c r="F17" i="11"/>
  <c r="F23" i="11"/>
  <c r="F26" i="11"/>
  <c r="F29" i="11"/>
  <c r="F32" i="11"/>
  <c r="F38" i="11"/>
  <c r="F19" i="11"/>
  <c r="F25" i="11"/>
  <c r="F39" i="11"/>
  <c r="F14" i="11"/>
  <c r="F6" i="11"/>
  <c r="F9" i="11"/>
  <c r="F15" i="11"/>
  <c r="F18" i="11"/>
  <c r="F21" i="11"/>
  <c r="F24" i="11"/>
  <c r="E5" i="11"/>
  <c r="E28" i="11"/>
  <c r="E36" i="11"/>
  <c r="E12" i="11"/>
  <c r="E20" i="11"/>
  <c r="E35" i="11"/>
  <c r="E41" i="11"/>
  <c r="E16" i="11"/>
  <c r="E30" i="11"/>
  <c r="E27" i="11"/>
  <c r="E8" i="11"/>
  <c r="E22" i="11"/>
  <c r="E25" i="11"/>
  <c r="E17" i="11"/>
  <c r="E23" i="11"/>
  <c r="E26" i="11"/>
  <c r="E29" i="11"/>
  <c r="E7" i="11"/>
  <c r="E38" i="11"/>
  <c r="E33" i="11"/>
  <c r="E14" i="11"/>
  <c r="E11" i="11"/>
  <c r="E6" i="11"/>
  <c r="E9" i="11"/>
  <c r="E15" i="11"/>
  <c r="E18" i="11"/>
  <c r="E13" i="11"/>
  <c r="E19" i="11"/>
  <c r="E39" i="11"/>
  <c r="E31" i="11"/>
  <c r="E34" i="11"/>
  <c r="E37" i="11"/>
  <c r="E40" i="11"/>
  <c r="E32" i="11"/>
  <c r="E21" i="11"/>
  <c r="E24" i="11"/>
  <c r="E10" i="11"/>
  <c r="C11" i="13"/>
  <c r="C6" i="13"/>
  <c r="C12" i="13"/>
  <c r="C10" i="13"/>
  <c r="D9" i="6"/>
  <c r="D16" i="6"/>
  <c r="D20" i="6"/>
  <c r="E20" i="6"/>
  <c r="D22" i="6"/>
  <c r="E22" i="6"/>
  <c r="Y20" i="13"/>
  <c r="I21" i="11" l="1"/>
  <c r="G21" i="11"/>
  <c r="K21" i="11"/>
  <c r="G13" i="11"/>
  <c r="I13" i="11"/>
  <c r="K13" i="11"/>
  <c r="G38" i="11"/>
  <c r="I38" i="11"/>
  <c r="K38" i="11"/>
  <c r="K8" i="11"/>
  <c r="I8" i="11"/>
  <c r="G8" i="11"/>
  <c r="I36" i="11"/>
  <c r="K36" i="11"/>
  <c r="G36" i="11"/>
  <c r="I32" i="11"/>
  <c r="G32" i="11"/>
  <c r="K32" i="11"/>
  <c r="G18" i="11"/>
  <c r="I18" i="11"/>
  <c r="K18" i="11"/>
  <c r="G7" i="11"/>
  <c r="I7" i="11"/>
  <c r="K7" i="11"/>
  <c r="I27" i="11"/>
  <c r="G27" i="11"/>
  <c r="K27" i="11"/>
  <c r="I28" i="11"/>
  <c r="K28" i="11"/>
  <c r="G28" i="11"/>
  <c r="I40" i="11"/>
  <c r="G40" i="11"/>
  <c r="K40" i="11"/>
  <c r="G15" i="11"/>
  <c r="K15" i="11"/>
  <c r="I15" i="11"/>
  <c r="I29" i="11"/>
  <c r="K29" i="11"/>
  <c r="G29" i="11"/>
  <c r="G30" i="11"/>
  <c r="I30" i="11"/>
  <c r="K30" i="11"/>
  <c r="G5" i="11"/>
  <c r="I5" i="11"/>
  <c r="K5" i="11"/>
  <c r="I37" i="11"/>
  <c r="G37" i="11"/>
  <c r="K37" i="11"/>
  <c r="G9" i="11"/>
  <c r="K9" i="11"/>
  <c r="I9" i="11"/>
  <c r="G26" i="11"/>
  <c r="K26" i="11"/>
  <c r="I26" i="11"/>
  <c r="G16" i="11"/>
  <c r="I16" i="11"/>
  <c r="K16" i="11"/>
  <c r="I34" i="11"/>
  <c r="G34" i="11"/>
  <c r="K34" i="11"/>
  <c r="I6" i="11"/>
  <c r="K6" i="11"/>
  <c r="G6" i="11"/>
  <c r="I23" i="11"/>
  <c r="G23" i="11"/>
  <c r="K23" i="11"/>
  <c r="I41" i="11"/>
  <c r="G41" i="11"/>
  <c r="K41" i="11"/>
  <c r="G31" i="11"/>
  <c r="I31" i="11"/>
  <c r="K31" i="11"/>
  <c r="I11" i="11"/>
  <c r="K11" i="11"/>
  <c r="G11" i="11"/>
  <c r="I17" i="11"/>
  <c r="K17" i="11"/>
  <c r="G17" i="11"/>
  <c r="I35" i="11"/>
  <c r="G35" i="11"/>
  <c r="K35" i="11"/>
  <c r="G10" i="11"/>
  <c r="I10" i="11"/>
  <c r="K10" i="11"/>
  <c r="I39" i="11"/>
  <c r="K39" i="11"/>
  <c r="G39" i="11"/>
  <c r="I14" i="11"/>
  <c r="G14" i="11"/>
  <c r="K14" i="11"/>
  <c r="I25" i="11"/>
  <c r="K25" i="11"/>
  <c r="G25" i="11"/>
  <c r="I20" i="11"/>
  <c r="G20" i="11"/>
  <c r="K20" i="11"/>
  <c r="I24" i="11"/>
  <c r="K24" i="11"/>
  <c r="G24" i="11"/>
  <c r="I19" i="11"/>
  <c r="G19" i="11"/>
  <c r="K19" i="11"/>
  <c r="I33" i="11"/>
  <c r="G33" i="11"/>
  <c r="K33" i="11"/>
  <c r="I22" i="11"/>
  <c r="G22" i="11"/>
  <c r="K22" i="11"/>
  <c r="G12" i="11"/>
  <c r="K12" i="11"/>
  <c r="I12" i="11"/>
  <c r="C13" i="13"/>
  <c r="C7" i="13"/>
  <c r="Y21" i="13"/>
  <c r="B1" i="6"/>
  <c r="D21" i="6"/>
  <c r="E3" i="9" a="1"/>
  <c r="M3" i="11"/>
  <c r="B72" i="4" l="1"/>
  <c r="B75" i="4"/>
  <c r="B65" i="4"/>
  <c r="B89" i="4"/>
  <c r="B69" i="4"/>
  <c r="B63" i="4"/>
  <c r="B84" i="4"/>
  <c r="B91" i="4"/>
  <c r="B79" i="4"/>
  <c r="B82" i="4"/>
  <c r="B88" i="4"/>
  <c r="B71" i="4"/>
  <c r="B80" i="4"/>
  <c r="B68" i="4"/>
  <c r="C14" i="13"/>
  <c r="C8" i="13"/>
  <c r="C15" i="13" s="1"/>
  <c r="B83" i="4"/>
  <c r="B86" i="4"/>
  <c r="B94" i="4"/>
  <c r="B92" i="4"/>
  <c r="B90" i="4"/>
  <c r="B70" i="4"/>
  <c r="E21" i="6"/>
  <c r="B85" i="4"/>
  <c r="B87" i="4"/>
  <c r="B98" i="4"/>
  <c r="B97" i="4"/>
  <c r="B93" i="4"/>
  <c r="B67" i="4"/>
  <c r="B74" i="4"/>
  <c r="B78" i="4"/>
  <c r="B95" i="4"/>
  <c r="B64" i="4"/>
  <c r="B77" i="4"/>
  <c r="B66" i="4"/>
  <c r="B62" i="4"/>
  <c r="B73" i="4"/>
  <c r="E17" i="9"/>
  <c r="E27" i="9"/>
  <c r="E18" i="9"/>
  <c r="E39" i="9"/>
  <c r="E37" i="9"/>
  <c r="E5" i="9"/>
  <c r="E3" i="9"/>
  <c r="E31" i="9"/>
  <c r="E29" i="9"/>
  <c r="E13" i="9"/>
  <c r="E8" i="9"/>
  <c r="E19" i="9"/>
  <c r="E30" i="9"/>
  <c r="E44" i="9"/>
  <c r="E12" i="9"/>
  <c r="E42" i="9"/>
  <c r="E7" i="9"/>
  <c r="E33" i="9"/>
  <c r="E20" i="9"/>
  <c r="E14" i="9"/>
  <c r="E16" i="9"/>
  <c r="E11" i="9"/>
  <c r="E24" i="9"/>
  <c r="E15" i="9"/>
  <c r="E22" i="9"/>
  <c r="E28" i="9"/>
  <c r="E40" i="9"/>
  <c r="E6" i="9"/>
  <c r="E25" i="9"/>
  <c r="E23" i="9"/>
  <c r="E10" i="9"/>
  <c r="E4" i="9"/>
  <c r="E21" i="9"/>
  <c r="E41" i="9"/>
  <c r="E26" i="9"/>
  <c r="E43" i="9"/>
  <c r="E9" i="9"/>
  <c r="E36" i="9"/>
  <c r="E35" i="9"/>
  <c r="E38" i="9"/>
  <c r="E32" i="9"/>
  <c r="E34" i="9"/>
  <c r="B96" i="4"/>
  <c r="B81" i="4"/>
  <c r="B76" i="4"/>
  <c r="H34" i="9" l="1"/>
  <c r="I34" i="9"/>
  <c r="H41" i="9"/>
  <c r="I41" i="9"/>
  <c r="H28" i="9"/>
  <c r="I28" i="9"/>
  <c r="I33" i="9"/>
  <c r="H33" i="9"/>
  <c r="H13" i="9"/>
  <c r="I13" i="9"/>
  <c r="H27" i="9"/>
  <c r="I27" i="9"/>
  <c r="I32" i="9"/>
  <c r="H32" i="9"/>
  <c r="H21" i="9"/>
  <c r="I21" i="9"/>
  <c r="H22" i="9"/>
  <c r="I22" i="9"/>
  <c r="I7" i="9"/>
  <c r="H7" i="9"/>
  <c r="H29" i="9"/>
  <c r="I29" i="9"/>
  <c r="I17" i="9"/>
  <c r="H17" i="9"/>
  <c r="H38" i="9"/>
  <c r="I38" i="9"/>
  <c r="H4" i="9"/>
  <c r="I4" i="9"/>
  <c r="I15" i="9"/>
  <c r="H15" i="9"/>
  <c r="H42" i="9"/>
  <c r="I42" i="9"/>
  <c r="I31" i="9"/>
  <c r="H31" i="9"/>
  <c r="H35" i="9"/>
  <c r="I35" i="9"/>
  <c r="H10" i="9"/>
  <c r="I10" i="9"/>
  <c r="I24" i="9"/>
  <c r="H24" i="9"/>
  <c r="H12" i="9"/>
  <c r="I12" i="9"/>
  <c r="H3" i="9"/>
  <c r="I3" i="9"/>
  <c r="H36" i="9"/>
  <c r="I36" i="9"/>
  <c r="I23" i="9"/>
  <c r="H23" i="9"/>
  <c r="I11" i="9"/>
  <c r="H11" i="9"/>
  <c r="H44" i="9"/>
  <c r="I44" i="9"/>
  <c r="H5" i="9"/>
  <c r="I5" i="9"/>
  <c r="H9" i="9"/>
  <c r="I9" i="9"/>
  <c r="H25" i="9"/>
  <c r="I25" i="9"/>
  <c r="I16" i="9"/>
  <c r="H16" i="9"/>
  <c r="H30" i="9"/>
  <c r="I30" i="9"/>
  <c r="H37" i="9"/>
  <c r="I37" i="9"/>
  <c r="H43" i="9"/>
  <c r="I43" i="9"/>
  <c r="H6" i="9"/>
  <c r="I6" i="9"/>
  <c r="H14" i="9"/>
  <c r="I14" i="9"/>
  <c r="H19" i="9"/>
  <c r="I19" i="9"/>
  <c r="I39" i="9"/>
  <c r="H39" i="9"/>
  <c r="H26" i="9"/>
  <c r="I26" i="9"/>
  <c r="I40" i="9"/>
  <c r="H40" i="9"/>
  <c r="H20" i="9"/>
  <c r="I20" i="9"/>
  <c r="I8" i="9"/>
  <c r="H8" i="9"/>
  <c r="H18" i="9"/>
  <c r="I18" i="9"/>
  <c r="C9" i="13"/>
  <c r="C16" i="13" s="1"/>
  <c r="F30" i="9"/>
  <c r="F36" i="9"/>
  <c r="F15" i="9"/>
  <c r="F32" i="9"/>
  <c r="F8" i="9"/>
  <c r="C95" i="4"/>
  <c r="E64" i="4"/>
  <c r="E98" i="4"/>
  <c r="C76" i="4"/>
  <c r="I63" i="4"/>
  <c r="C65" i="4"/>
  <c r="I88" i="4"/>
  <c r="E65" i="4"/>
  <c r="E80" i="4"/>
  <c r="I94" i="4"/>
  <c r="D70" i="4"/>
  <c r="E69" i="4"/>
  <c r="J87" i="4"/>
  <c r="D82" i="4"/>
  <c r="C86" i="4"/>
  <c r="E95" i="4"/>
  <c r="M19" i="11"/>
  <c r="I79" i="4"/>
  <c r="I85" i="4"/>
  <c r="I81" i="4"/>
  <c r="E88" i="4"/>
  <c r="M36" i="11"/>
  <c r="D86" i="4"/>
  <c r="M38" i="11"/>
  <c r="I98" i="4"/>
  <c r="C97" i="4"/>
  <c r="D79" i="4"/>
  <c r="E62" i="4"/>
  <c r="F25" i="9"/>
  <c r="F38" i="9"/>
  <c r="M29" i="11"/>
  <c r="J70" i="4"/>
  <c r="D98" i="4"/>
  <c r="D77" i="4"/>
  <c r="E84" i="4"/>
  <c r="D80" i="4"/>
  <c r="I83" i="4"/>
  <c r="D87" i="4"/>
  <c r="M34" i="11"/>
  <c r="M31" i="11"/>
  <c r="M18" i="11"/>
  <c r="I96" i="4"/>
  <c r="E71" i="4"/>
  <c r="F19" i="9"/>
  <c r="F17" i="9"/>
  <c r="F26" i="9"/>
  <c r="E96" i="4"/>
  <c r="C85" i="4"/>
  <c r="M35" i="11"/>
  <c r="J73" i="4"/>
  <c r="D83" i="4"/>
  <c r="D62" i="4"/>
  <c r="E66" i="4"/>
  <c r="J69" i="4"/>
  <c r="I93" i="4"/>
  <c r="C82" i="4"/>
  <c r="C71" i="4"/>
  <c r="J77" i="4"/>
  <c r="F14" i="9"/>
  <c r="F29" i="9"/>
  <c r="C81" i="4"/>
  <c r="C67" i="4"/>
  <c r="D88" i="4"/>
  <c r="C90" i="4"/>
  <c r="J68" i="4"/>
  <c r="E87" i="4"/>
  <c r="J82" i="4"/>
  <c r="I74" i="4"/>
  <c r="M8" i="11"/>
  <c r="C87" i="4"/>
  <c r="M40" i="11"/>
  <c r="I69" i="4"/>
  <c r="F44" i="9"/>
  <c r="F41" i="9"/>
  <c r="M24" i="11"/>
  <c r="J97" i="4"/>
  <c r="I72" i="4"/>
  <c r="C89" i="4"/>
  <c r="D76" i="4"/>
  <c r="M23" i="11"/>
  <c r="J93" i="4"/>
  <c r="D64" i="4"/>
  <c r="D67" i="4"/>
  <c r="D72" i="4"/>
  <c r="M32" i="11"/>
  <c r="E72" i="4"/>
  <c r="J72" i="4"/>
  <c r="D91" i="4"/>
  <c r="J76" i="4"/>
  <c r="M14" i="11"/>
  <c r="M7" i="11"/>
  <c r="F37" i="9"/>
  <c r="F21" i="9"/>
  <c r="M16" i="11"/>
  <c r="J80" i="4"/>
  <c r="J95" i="4"/>
  <c r="D85" i="4"/>
  <c r="M6" i="11"/>
  <c r="E75" i="4"/>
  <c r="E67" i="4"/>
  <c r="J86" i="4"/>
  <c r="F16" i="9"/>
  <c r="F3" i="9"/>
  <c r="F4" i="9"/>
  <c r="F27" i="9"/>
  <c r="F20" i="9"/>
  <c r="E86" i="4"/>
  <c r="C72" i="4"/>
  <c r="I67" i="4"/>
  <c r="M39" i="11"/>
  <c r="M20" i="11"/>
  <c r="J67" i="4"/>
  <c r="D90" i="4"/>
  <c r="M12" i="11"/>
  <c r="C70" i="4"/>
  <c r="J75" i="4"/>
  <c r="J63" i="4"/>
  <c r="M5" i="11"/>
  <c r="M10" i="11"/>
  <c r="M25" i="11"/>
  <c r="I68" i="4"/>
  <c r="C78" i="4"/>
  <c r="D75" i="4"/>
  <c r="D93" i="4"/>
  <c r="C77" i="4"/>
  <c r="M28" i="11"/>
  <c r="M41" i="11"/>
  <c r="C79" i="4"/>
  <c r="J74" i="4"/>
  <c r="I89" i="4"/>
  <c r="J71" i="4"/>
  <c r="E79" i="4"/>
  <c r="E83" i="4"/>
  <c r="M22" i="11"/>
  <c r="F39" i="9"/>
  <c r="F12" i="9"/>
  <c r="F13" i="9"/>
  <c r="F40" i="9"/>
  <c r="J83" i="4"/>
  <c r="E85" i="4"/>
  <c r="E76" i="4"/>
  <c r="D78" i="4"/>
  <c r="C74" i="4"/>
  <c r="C94" i="4"/>
  <c r="M37" i="11"/>
  <c r="C91" i="4"/>
  <c r="C93" i="4"/>
  <c r="I86" i="4"/>
  <c r="J81" i="4"/>
  <c r="I66" i="4"/>
  <c r="J91" i="4"/>
  <c r="E92" i="4"/>
  <c r="E91" i="4"/>
  <c r="F9" i="9"/>
  <c r="F24" i="9"/>
  <c r="F33" i="9"/>
  <c r="D96" i="4"/>
  <c r="J88" i="4"/>
  <c r="D81" i="4"/>
  <c r="I73" i="4"/>
  <c r="C66" i="4"/>
  <c r="C64" i="4"/>
  <c r="C62" i="4"/>
  <c r="D73" i="4"/>
  <c r="E73" i="4"/>
  <c r="I91" i="4"/>
  <c r="D69" i="4"/>
  <c r="D84" i="4"/>
  <c r="D92" i="4"/>
  <c r="I82" i="4"/>
  <c r="J96" i="4"/>
  <c r="F5" i="9"/>
  <c r="F10" i="9"/>
  <c r="F28" i="9"/>
  <c r="M27" i="11"/>
  <c r="M33" i="11"/>
  <c r="M21" i="11"/>
  <c r="I70" i="4"/>
  <c r="J65" i="4"/>
  <c r="D63" i="4"/>
  <c r="I71" i="4"/>
  <c r="J98" i="4"/>
  <c r="D65" i="4"/>
  <c r="I65" i="4"/>
  <c r="E89" i="4"/>
  <c r="C80" i="4"/>
  <c r="C68" i="4"/>
  <c r="F6" i="9"/>
  <c r="F35" i="9"/>
  <c r="F7" i="9"/>
  <c r="J92" i="4"/>
  <c r="E78" i="4"/>
  <c r="E90" i="4"/>
  <c r="D66" i="4"/>
  <c r="J79" i="4"/>
  <c r="I62" i="4"/>
  <c r="C69" i="4"/>
  <c r="E63" i="4"/>
  <c r="D89" i="4"/>
  <c r="C73" i="4"/>
  <c r="D97" i="4"/>
  <c r="C92" i="4"/>
  <c r="F43" i="9"/>
  <c r="F11" i="9"/>
  <c r="F22" i="9"/>
  <c r="F34" i="9"/>
  <c r="J62" i="4"/>
  <c r="I95" i="4"/>
  <c r="Y22" i="13"/>
  <c r="J78" i="4"/>
  <c r="J89" i="4"/>
  <c r="M30" i="11"/>
  <c r="E77" i="4"/>
  <c r="C75" i="4"/>
  <c r="I90" i="4"/>
  <c r="D74" i="4"/>
  <c r="F23" i="9"/>
  <c r="F18" i="9"/>
  <c r="I84" i="4"/>
  <c r="J90" i="4"/>
  <c r="J94" i="4"/>
  <c r="I64" i="4"/>
  <c r="M26" i="11"/>
  <c r="D68" i="4"/>
  <c r="E81" i="4"/>
  <c r="M13" i="11"/>
  <c r="C88" i="4"/>
  <c r="D71" i="4"/>
  <c r="C84" i="4"/>
  <c r="I76" i="4"/>
  <c r="E70" i="4"/>
  <c r="I87" i="4"/>
  <c r="C63" i="4"/>
  <c r="E94" i="4"/>
  <c r="C98" i="4"/>
  <c r="M11" i="11"/>
  <c r="E82" i="4"/>
  <c r="M17" i="11"/>
  <c r="F31" i="9"/>
  <c r="I78" i="4"/>
  <c r="I92" i="4"/>
  <c r="E97" i="4"/>
  <c r="C96" i="4"/>
  <c r="J64" i="4"/>
  <c r="J84" i="4"/>
  <c r="E74" i="4"/>
  <c r="D95" i="4"/>
  <c r="C83" i="4"/>
  <c r="E93" i="4"/>
  <c r="F42" i="9"/>
  <c r="I77" i="4"/>
  <c r="M9" i="11"/>
  <c r="M15" i="11"/>
  <c r="I80" i="4"/>
  <c r="I75" i="4"/>
  <c r="J66" i="4"/>
  <c r="D94" i="4"/>
  <c r="J85" i="4"/>
  <c r="E68" i="4"/>
  <c r="I97" i="4"/>
  <c r="J13" i="9"/>
  <c r="J39" i="9"/>
  <c r="J6" i="9"/>
  <c r="J21" i="9"/>
  <c r="J14" i="9"/>
  <c r="J24" i="9"/>
  <c r="J38" i="9"/>
  <c r="J18" i="9"/>
  <c r="J15" i="9"/>
  <c r="J7" i="9"/>
  <c r="J40" i="9"/>
  <c r="J25" i="9"/>
  <c r="J23" i="9"/>
  <c r="J43" i="9"/>
  <c r="J29" i="9"/>
  <c r="J31" i="9"/>
  <c r="J36" i="9"/>
  <c r="J34" i="9"/>
  <c r="J22" i="9"/>
  <c r="J8" i="9"/>
  <c r="J26" i="9"/>
  <c r="J42" i="9"/>
  <c r="J32" i="9"/>
  <c r="J41" i="9"/>
  <c r="J37" i="9"/>
  <c r="Y23" i="13"/>
  <c r="J12" i="9"/>
  <c r="J27" i="9"/>
  <c r="J20" i="9"/>
  <c r="J16" i="9"/>
  <c r="J9" i="9"/>
  <c r="J35" i="9"/>
  <c r="J19" i="9"/>
  <c r="J10" i="9"/>
  <c r="J11" i="9"/>
  <c r="J30" i="9"/>
  <c r="J17" i="9"/>
  <c r="J4" i="9"/>
  <c r="J28" i="9"/>
  <c r="J3" i="9"/>
  <c r="J33" i="9"/>
  <c r="J44" i="9"/>
  <c r="J5" i="9"/>
  <c r="F97" i="4" l="1"/>
  <c r="F96" i="4"/>
  <c r="B22" i="4"/>
  <c r="B47" i="4"/>
  <c r="B39" i="4"/>
  <c r="B28" i="4"/>
  <c r="B41" i="4"/>
  <c r="B24" i="4"/>
  <c r="B49" i="4"/>
  <c r="B54" i="4"/>
  <c r="B33" i="4"/>
  <c r="B52" i="4"/>
  <c r="B42" i="4"/>
  <c r="B23" i="4"/>
  <c r="B60" i="4"/>
  <c r="B26" i="4"/>
  <c r="B58" i="4"/>
  <c r="B29" i="4"/>
  <c r="B48" i="4"/>
  <c r="B25" i="4"/>
  <c r="B27" i="4"/>
  <c r="B35" i="4"/>
  <c r="B30" i="4"/>
  <c r="B57" i="4"/>
  <c r="B43" i="4"/>
  <c r="B55" i="4"/>
  <c r="B36" i="4"/>
  <c r="B20" i="4"/>
  <c r="B31" i="4"/>
  <c r="B37" i="4"/>
  <c r="B56" i="4"/>
  <c r="B32" i="4"/>
  <c r="B40" i="4"/>
  <c r="B61" i="4"/>
  <c r="B50" i="4"/>
  <c r="B21" i="4"/>
  <c r="B44" i="4"/>
  <c r="B51" i="4"/>
  <c r="B53" i="4"/>
  <c r="B59" i="4"/>
  <c r="B34" i="4"/>
  <c r="B38" i="4"/>
  <c r="B46" i="4"/>
  <c r="B45" i="4"/>
  <c r="D20" i="4"/>
  <c r="J45" i="4"/>
  <c r="C49" i="4"/>
  <c r="J51" i="4"/>
  <c r="I46" i="4"/>
  <c r="C41" i="4"/>
  <c r="Y24" i="13"/>
  <c r="K37" i="9"/>
  <c r="K40" i="9"/>
  <c r="C55" i="4"/>
  <c r="J28" i="4"/>
  <c r="I20" i="4"/>
  <c r="E39" i="4"/>
  <c r="J30" i="4"/>
  <c r="I61" i="4"/>
  <c r="E58" i="4"/>
  <c r="C53" i="4"/>
  <c r="C50" i="4"/>
  <c r="C51" i="4"/>
  <c r="I29" i="4"/>
  <c r="J53" i="4"/>
  <c r="K29" i="9"/>
  <c r="D34" i="4"/>
  <c r="E26" i="4"/>
  <c r="E52" i="4"/>
  <c r="E59" i="4"/>
  <c r="E56" i="4"/>
  <c r="E54" i="4"/>
  <c r="D37" i="4"/>
  <c r="E33" i="4"/>
  <c r="D27" i="4"/>
  <c r="C42" i="4"/>
  <c r="K23" i="9"/>
  <c r="E44" i="4"/>
  <c r="J43" i="4"/>
  <c r="E40" i="4"/>
  <c r="D40" i="4"/>
  <c r="C24" i="4"/>
  <c r="K7" i="9"/>
  <c r="D23" i="4"/>
  <c r="E31" i="4"/>
  <c r="D26" i="4"/>
  <c r="I35" i="4"/>
  <c r="J59" i="4"/>
  <c r="C40" i="4"/>
  <c r="D55" i="4"/>
  <c r="I27" i="4"/>
  <c r="E57" i="4"/>
  <c r="J20" i="4"/>
  <c r="D21" i="4"/>
  <c r="J56" i="4"/>
  <c r="D52" i="4"/>
  <c r="C32" i="4"/>
  <c r="C43" i="4"/>
  <c r="E45" i="4"/>
  <c r="J49" i="4"/>
  <c r="M63" i="13" a="1"/>
  <c r="C56" i="4"/>
  <c r="J47" i="4"/>
  <c r="D24" i="4"/>
  <c r="E32" i="4"/>
  <c r="E51" i="4"/>
  <c r="C52" i="4"/>
  <c r="K17" i="9"/>
  <c r="E41" i="4"/>
  <c r="D28" i="4"/>
  <c r="I33" i="4"/>
  <c r="C27" i="4"/>
  <c r="K33" i="9"/>
  <c r="K35" i="9"/>
  <c r="K15" i="9"/>
  <c r="E28" i="4"/>
  <c r="D38" i="4"/>
  <c r="D46" i="4"/>
  <c r="K32" i="9"/>
  <c r="J33" i="4"/>
  <c r="C34" i="4"/>
  <c r="D56" i="4"/>
  <c r="I55" i="4"/>
  <c r="E61" i="4"/>
  <c r="D42" i="4"/>
  <c r="D44" i="4"/>
  <c r="K27" i="9"/>
  <c r="K6" i="9"/>
  <c r="C30" i="4"/>
  <c r="J52" i="4"/>
  <c r="I26" i="4"/>
  <c r="K16" i="9"/>
  <c r="E48" i="4"/>
  <c r="D51" i="4"/>
  <c r="K9" i="9"/>
  <c r="D30" i="4"/>
  <c r="E46" i="4"/>
  <c r="K3" i="9"/>
  <c r="I36" i="4"/>
  <c r="J48" i="4"/>
  <c r="I21" i="4"/>
  <c r="K22" i="9"/>
  <c r="E24" i="4"/>
  <c r="J44" i="4"/>
  <c r="C33" i="4"/>
  <c r="K5" i="9"/>
  <c r="E47" i="4"/>
  <c r="D61" i="4"/>
  <c r="I56" i="4"/>
  <c r="K14" i="9"/>
  <c r="I48" i="4"/>
  <c r="E37" i="4"/>
  <c r="E27" i="4"/>
  <c r="J61" i="4"/>
  <c r="E38" i="4"/>
  <c r="D35" i="4"/>
  <c r="C46" i="4"/>
  <c r="E60" i="4"/>
  <c r="E29" i="4"/>
  <c r="J32" i="4"/>
  <c r="D22" i="4"/>
  <c r="C48" i="4"/>
  <c r="I42" i="4"/>
  <c r="C39" i="4"/>
  <c r="E49" i="4"/>
  <c r="J27" i="4"/>
  <c r="I23" i="4"/>
  <c r="D39" i="4"/>
  <c r="C22" i="4"/>
  <c r="K18" i="9"/>
  <c r="C21" i="4"/>
  <c r="E20" i="4"/>
  <c r="K25" i="9"/>
  <c r="I22" i="4"/>
  <c r="C54" i="4"/>
  <c r="J29" i="4"/>
  <c r="I58" i="4"/>
  <c r="I41" i="4"/>
  <c r="J26" i="4"/>
  <c r="I38" i="4"/>
  <c r="I37" i="4"/>
  <c r="K24" i="9"/>
  <c r="C28" i="4"/>
  <c r="K41" i="9"/>
  <c r="J38" i="4"/>
  <c r="I49" i="4"/>
  <c r="I52" i="4"/>
  <c r="C29" i="4"/>
  <c r="J57" i="4"/>
  <c r="C60" i="4"/>
  <c r="C26" i="4"/>
  <c r="I47" i="4"/>
  <c r="I44" i="4"/>
  <c r="J54" i="4"/>
  <c r="I60" i="4"/>
  <c r="E22" i="4"/>
  <c r="I59" i="4"/>
  <c r="I30" i="4"/>
  <c r="D32" i="4"/>
  <c r="C45" i="4"/>
  <c r="J34" i="4"/>
  <c r="D58" i="4"/>
  <c r="D54" i="4"/>
  <c r="C20" i="4"/>
  <c r="E23" i="4"/>
  <c r="K4" i="9"/>
  <c r="K38" i="9"/>
  <c r="E53" i="4"/>
  <c r="I25" i="4"/>
  <c r="D49" i="4"/>
  <c r="C59" i="4"/>
  <c r="C37" i="4"/>
  <c r="I34" i="4"/>
  <c r="C44" i="4"/>
  <c r="D43" i="4"/>
  <c r="K20" i="9"/>
  <c r="C25" i="4"/>
  <c r="K39" i="9"/>
  <c r="C47" i="4"/>
  <c r="E36" i="4"/>
  <c r="E55" i="4"/>
  <c r="I45" i="4"/>
  <c r="J36" i="4"/>
  <c r="I51" i="4"/>
  <c r="D57" i="4"/>
  <c r="I50" i="4"/>
  <c r="J60" i="4"/>
  <c r="J23" i="4"/>
  <c r="E30" i="4"/>
  <c r="E43" i="4"/>
  <c r="J22" i="4"/>
  <c r="C61" i="4"/>
  <c r="D33" i="4"/>
  <c r="J37" i="4"/>
  <c r="I24" i="4"/>
  <c r="J39" i="4"/>
  <c r="I53" i="4"/>
  <c r="K44" i="9"/>
  <c r="I43" i="4"/>
  <c r="K34" i="9"/>
  <c r="J31" i="4"/>
  <c r="I40" i="4"/>
  <c r="E42" i="4"/>
  <c r="C35" i="4"/>
  <c r="I31" i="4"/>
  <c r="E21" i="4"/>
  <c r="J58" i="4"/>
  <c r="D41" i="4"/>
  <c r="J21" i="4"/>
  <c r="J55" i="4"/>
  <c r="D59" i="4"/>
  <c r="E25" i="4"/>
  <c r="D47" i="4"/>
  <c r="J35" i="4"/>
  <c r="K42" i="9"/>
  <c r="C38" i="4"/>
  <c r="C31" i="4"/>
  <c r="K8" i="9"/>
  <c r="K43" i="9"/>
  <c r="C36" i="4"/>
  <c r="I32" i="4"/>
  <c r="I57" i="4"/>
  <c r="I39" i="4"/>
  <c r="E35" i="4"/>
  <c r="D31" i="4"/>
  <c r="D50" i="4"/>
  <c r="I54" i="4"/>
  <c r="D36" i="4"/>
  <c r="J41" i="4"/>
  <c r="C58" i="4"/>
  <c r="K31" i="9"/>
  <c r="E34" i="4"/>
  <c r="K26" i="9"/>
  <c r="K21" i="9"/>
  <c r="K30" i="9"/>
  <c r="K11" i="9"/>
  <c r="C57" i="4"/>
  <c r="K13" i="9"/>
  <c r="K19" i="9"/>
  <c r="D25" i="4"/>
  <c r="J24" i="4"/>
  <c r="K12" i="9"/>
  <c r="C23" i="4"/>
  <c r="D48" i="4"/>
  <c r="D53" i="4"/>
  <c r="K28" i="9"/>
  <c r="K36" i="9"/>
  <c r="J40" i="4"/>
  <c r="J46" i="4"/>
  <c r="D29" i="4"/>
  <c r="J25" i="4"/>
  <c r="J50" i="4"/>
  <c r="D45" i="4"/>
  <c r="J42" i="4"/>
  <c r="D60" i="4"/>
  <c r="I28" i="4"/>
  <c r="K10" i="9"/>
  <c r="E50" i="4"/>
  <c r="F60" i="4" l="1"/>
  <c r="F33" i="4"/>
  <c r="F59" i="4"/>
  <c r="F21" i="4"/>
  <c r="F50" i="4"/>
  <c r="F30" i="4"/>
  <c r="F42" i="4"/>
  <c r="F26" i="4"/>
  <c r="F20" i="4"/>
  <c r="F47" i="4"/>
  <c r="F53" i="4"/>
  <c r="F25" i="4"/>
  <c r="F22" i="4"/>
  <c r="F41" i="4"/>
  <c r="F31" i="4"/>
  <c r="F37" i="4"/>
  <c r="F57" i="4"/>
  <c r="F27" i="4"/>
  <c r="F35" i="4"/>
  <c r="F32" i="4"/>
  <c r="F48" i="4"/>
  <c r="F38" i="4"/>
  <c r="F61" i="4"/>
  <c r="F44" i="4"/>
  <c r="F36" i="4"/>
  <c r="F29" i="4"/>
  <c r="F49" i="4"/>
  <c r="F24" i="4"/>
  <c r="F54" i="4"/>
  <c r="F52" i="4"/>
  <c r="F34" i="4"/>
  <c r="F46" i="4"/>
  <c r="F43" i="4"/>
  <c r="F51" i="4"/>
  <c r="F45" i="4"/>
  <c r="F28" i="4"/>
  <c r="F56" i="4"/>
  <c r="F55" i="4"/>
  <c r="F58" i="4"/>
  <c r="F40" i="4"/>
  <c r="F23" i="4"/>
  <c r="F39" i="4"/>
  <c r="M90" i="13"/>
  <c r="M98" i="13"/>
  <c r="M72" i="13"/>
  <c r="M89" i="13"/>
  <c r="M76" i="13"/>
  <c r="M71" i="13"/>
  <c r="M69" i="13"/>
  <c r="M93" i="13"/>
  <c r="M77" i="13"/>
  <c r="M92" i="13"/>
  <c r="M67" i="13"/>
  <c r="M80" i="13"/>
  <c r="M64" i="13"/>
  <c r="M95" i="13"/>
  <c r="M84" i="13"/>
  <c r="M97" i="13"/>
  <c r="M73" i="13"/>
  <c r="M81" i="13"/>
  <c r="M63" i="13"/>
  <c r="M85" i="13"/>
  <c r="M66" i="13"/>
  <c r="M75" i="13"/>
  <c r="M99" i="13"/>
  <c r="M94" i="13"/>
  <c r="M74" i="13"/>
  <c r="M88" i="13"/>
  <c r="M68" i="13"/>
  <c r="M91" i="13"/>
  <c r="M79" i="13"/>
  <c r="M65" i="13"/>
  <c r="M78" i="13"/>
  <c r="M70" i="13"/>
  <c r="M82" i="13"/>
  <c r="M86" i="13"/>
  <c r="M83" i="13"/>
  <c r="M96" i="13"/>
  <c r="M87" i="13"/>
  <c r="O90" i="13"/>
  <c r="N90" i="13"/>
  <c r="N98" i="13"/>
  <c r="O98" i="13"/>
  <c r="O72" i="13"/>
  <c r="N72" i="13"/>
  <c r="N89" i="13"/>
  <c r="O89" i="13"/>
  <c r="N76" i="13"/>
  <c r="O76" i="13"/>
  <c r="N29" i="4"/>
  <c r="N57" i="4"/>
  <c r="M20" i="4"/>
  <c r="M57" i="4"/>
  <c r="M48" i="4"/>
  <c r="N46" i="4"/>
  <c r="N42" i="4"/>
  <c r="M32" i="4"/>
  <c r="M28" i="4"/>
  <c r="N53" i="4"/>
  <c r="M29" i="4"/>
  <c r="M24" i="4"/>
  <c r="N77" i="13"/>
  <c r="O77" i="13"/>
  <c r="N92" i="13"/>
  <c r="O92" i="13"/>
  <c r="N99" i="13"/>
  <c r="O99" i="13"/>
  <c r="O67" i="13"/>
  <c r="N67" i="13"/>
  <c r="M39" i="4"/>
  <c r="M22" i="4"/>
  <c r="N28" i="4"/>
  <c r="M33" i="4"/>
  <c r="N23" i="4"/>
  <c r="O80" i="13"/>
  <c r="N80" i="13"/>
  <c r="M54" i="4"/>
  <c r="M37" i="4"/>
  <c r="M44" i="4"/>
  <c r="N59" i="4"/>
  <c r="M59" i="4"/>
  <c r="Y25" i="13"/>
  <c r="N95" i="13"/>
  <c r="O95" i="13"/>
  <c r="N84" i="13"/>
  <c r="O84" i="13"/>
  <c r="N86" i="13"/>
  <c r="O86" i="13"/>
  <c r="M51" i="4"/>
  <c r="N32" i="4"/>
  <c r="M31" i="4"/>
  <c r="N35" i="4"/>
  <c r="N97" i="13"/>
  <c r="O97" i="13"/>
  <c r="N79" i="13"/>
  <c r="O79" i="13"/>
  <c r="N50" i="4"/>
  <c r="N51" i="4"/>
  <c r="N26" i="4"/>
  <c r="M35" i="4"/>
  <c r="N54" i="4"/>
  <c r="N39" i="4"/>
  <c r="O96" i="13"/>
  <c r="N96" i="13"/>
  <c r="N65" i="13"/>
  <c r="O65" i="13"/>
  <c r="N81" i="13"/>
  <c r="O81" i="13"/>
  <c r="N24" i="4"/>
  <c r="N37" i="4"/>
  <c r="M56" i="4"/>
  <c r="N43" i="4"/>
  <c r="M40" i="4"/>
  <c r="O78" i="13"/>
  <c r="N78" i="13"/>
  <c r="O70" i="13"/>
  <c r="N70" i="13"/>
  <c r="M41" i="4"/>
  <c r="N40" i="4"/>
  <c r="M38" i="4"/>
  <c r="N36" i="4"/>
  <c r="N58" i="4"/>
  <c r="O71" i="13"/>
  <c r="N71" i="13"/>
  <c r="N85" i="13"/>
  <c r="O85" i="13"/>
  <c r="N69" i="13"/>
  <c r="O69" i="13"/>
  <c r="N93" i="13"/>
  <c r="O93" i="13"/>
  <c r="O66" i="13"/>
  <c r="N66" i="13"/>
  <c r="N41" i="4"/>
  <c r="M23" i="4"/>
  <c r="N22" i="4"/>
  <c r="N34" i="4"/>
  <c r="N27" i="4"/>
  <c r="M21" i="4"/>
  <c r="M30" i="4"/>
  <c r="D2" i="5" a="1"/>
  <c r="N61" i="4"/>
  <c r="M47" i="4"/>
  <c r="N75" i="13"/>
  <c r="O75" i="13"/>
  <c r="M58" i="4"/>
  <c r="M36" i="4"/>
  <c r="M61" i="4"/>
  <c r="N56" i="4"/>
  <c r="M60" i="4"/>
  <c r="N38" i="4"/>
  <c r="N94" i="13"/>
  <c r="O94" i="13"/>
  <c r="O64" i="13"/>
  <c r="N64" i="13"/>
  <c r="O74" i="13"/>
  <c r="N74" i="13"/>
  <c r="O82" i="13"/>
  <c r="N82" i="13"/>
  <c r="N44" i="4"/>
  <c r="M50" i="4"/>
  <c r="N25" i="4"/>
  <c r="N47" i="4"/>
  <c r="N21" i="4"/>
  <c r="O88" i="13"/>
  <c r="N88" i="13"/>
  <c r="O68" i="13"/>
  <c r="N68" i="13"/>
  <c r="N33" i="4"/>
  <c r="N60" i="4"/>
  <c r="N31" i="4"/>
  <c r="M26" i="4"/>
  <c r="N30" i="4"/>
  <c r="M34" i="4"/>
  <c r="N83" i="13"/>
  <c r="O83" i="13"/>
  <c r="N49" i="4"/>
  <c r="N52" i="4"/>
  <c r="M49" i="4"/>
  <c r="N73" i="13"/>
  <c r="O73" i="13"/>
  <c r="M45" i="4"/>
  <c r="M46" i="4"/>
  <c r="M55" i="4"/>
  <c r="M42" i="4"/>
  <c r="M27" i="4"/>
  <c r="N55" i="4"/>
  <c r="O87" i="13"/>
  <c r="N87" i="13"/>
  <c r="N63" i="13"/>
  <c r="O63" i="13"/>
  <c r="M53" i="4"/>
  <c r="N48" i="4"/>
  <c r="N20" i="4"/>
  <c r="N45" i="4"/>
  <c r="M25" i="4"/>
  <c r="M52" i="4"/>
  <c r="O91" i="13"/>
  <c r="N91" i="13"/>
  <c r="M43" i="4"/>
  <c r="Q91" i="13" l="1"/>
  <c r="Q63" i="13"/>
  <c r="Q87" i="13"/>
  <c r="Q73" i="13"/>
  <c r="Q83" i="13"/>
  <c r="Q68" i="13"/>
  <c r="Q88" i="13"/>
  <c r="Q82" i="13"/>
  <c r="Q74" i="13"/>
  <c r="Q64" i="13"/>
  <c r="Q94" i="13"/>
  <c r="Q75" i="13"/>
  <c r="Q66" i="13"/>
  <c r="Q93" i="13"/>
  <c r="Q69" i="13"/>
  <c r="Q85" i="13"/>
  <c r="Q71" i="13"/>
  <c r="Q70" i="13"/>
  <c r="Q78" i="13"/>
  <c r="Q81" i="13"/>
  <c r="Q65" i="13"/>
  <c r="Q96" i="13"/>
  <c r="Q79" i="13"/>
  <c r="Q97" i="13"/>
  <c r="Q86" i="13"/>
  <c r="Q84" i="13"/>
  <c r="Q95" i="13"/>
  <c r="Q80" i="13"/>
  <c r="Q67" i="13"/>
  <c r="Q99" i="13"/>
  <c r="Q92" i="13"/>
  <c r="Q77" i="13"/>
  <c r="Q76" i="13"/>
  <c r="Q89" i="13"/>
  <c r="Q72" i="13"/>
  <c r="Q98" i="13"/>
  <c r="Q90" i="13"/>
  <c r="D73" i="5"/>
  <c r="D121" i="5"/>
  <c r="D13" i="5"/>
  <c r="D28" i="5"/>
  <c r="D81" i="5"/>
  <c r="D17" i="5"/>
  <c r="D50" i="5"/>
  <c r="D23" i="5"/>
  <c r="D26" i="5"/>
  <c r="D123" i="5"/>
  <c r="D3" i="5"/>
  <c r="D6" i="5"/>
  <c r="D55" i="5"/>
  <c r="D61" i="5"/>
  <c r="D122" i="5"/>
  <c r="D116" i="5"/>
  <c r="D104" i="5"/>
  <c r="D125" i="5"/>
  <c r="D30" i="5"/>
  <c r="D35" i="5"/>
  <c r="D89" i="5"/>
  <c r="D43" i="5"/>
  <c r="D119" i="5"/>
  <c r="D12" i="5"/>
  <c r="D16" i="5"/>
  <c r="D76" i="5"/>
  <c r="D91" i="5"/>
  <c r="D107" i="5"/>
  <c r="D5" i="5"/>
  <c r="D74" i="5"/>
  <c r="D8" i="5"/>
  <c r="D86" i="5"/>
  <c r="D21" i="5"/>
  <c r="D93" i="5"/>
  <c r="D92" i="5"/>
  <c r="D48" i="5"/>
  <c r="D113" i="5"/>
  <c r="D49" i="5"/>
  <c r="D4" i="5"/>
  <c r="D77" i="5"/>
  <c r="D39" i="5"/>
  <c r="D90" i="5"/>
  <c r="D57" i="5"/>
  <c r="D65" i="5"/>
  <c r="D69" i="5"/>
  <c r="D87" i="5"/>
  <c r="D67" i="5"/>
  <c r="D114" i="5"/>
  <c r="D63" i="5"/>
  <c r="D44" i="5"/>
  <c r="D46" i="5"/>
  <c r="D102" i="5"/>
  <c r="D20" i="5"/>
  <c r="D25" i="5"/>
  <c r="D94" i="5"/>
  <c r="D52" i="5"/>
  <c r="D11" i="5"/>
  <c r="D41" i="5"/>
  <c r="D33" i="5"/>
  <c r="D112" i="5"/>
  <c r="D18" i="5"/>
  <c r="D103" i="5"/>
  <c r="D120" i="5"/>
  <c r="D105" i="5"/>
  <c r="D106" i="5"/>
  <c r="D100" i="5"/>
  <c r="D24" i="5"/>
  <c r="D66" i="5"/>
  <c r="D95" i="5"/>
  <c r="D54" i="5"/>
  <c r="D47" i="5"/>
  <c r="D51" i="5"/>
  <c r="D42" i="5"/>
  <c r="D83" i="5"/>
  <c r="D59" i="5"/>
  <c r="D9" i="5"/>
  <c r="D79" i="5"/>
  <c r="D40" i="5"/>
  <c r="D10" i="5"/>
  <c r="D58" i="5"/>
  <c r="D84" i="5"/>
  <c r="D99" i="5"/>
  <c r="D60" i="5"/>
  <c r="D96" i="5"/>
  <c r="D37" i="5"/>
  <c r="D36" i="5"/>
  <c r="D15" i="5"/>
  <c r="D38" i="5"/>
  <c r="D64" i="5"/>
  <c r="D117" i="5"/>
  <c r="D80" i="5"/>
  <c r="D29" i="5"/>
  <c r="D27" i="5"/>
  <c r="D53" i="5"/>
  <c r="D45" i="5"/>
  <c r="D34" i="5"/>
  <c r="D124" i="5"/>
  <c r="D126" i="5"/>
  <c r="D72" i="5"/>
  <c r="D2" i="5"/>
  <c r="D78" i="5"/>
  <c r="D62" i="5"/>
  <c r="D111" i="5"/>
  <c r="D71" i="5"/>
  <c r="D110" i="5"/>
  <c r="D19" i="5"/>
  <c r="D56" i="5"/>
  <c r="D7" i="5"/>
  <c r="D22" i="5"/>
  <c r="D98" i="5"/>
  <c r="D32" i="5"/>
  <c r="D118" i="5"/>
  <c r="D75" i="5"/>
  <c r="D82" i="5"/>
  <c r="D68" i="5"/>
  <c r="D108" i="5"/>
  <c r="D14" i="5"/>
  <c r="D101" i="5"/>
  <c r="D31" i="5"/>
  <c r="D115" i="5"/>
  <c r="D97" i="5"/>
  <c r="D85" i="5"/>
  <c r="D109" i="5"/>
  <c r="D70" i="5"/>
  <c r="D88" i="5"/>
  <c r="S91" i="13"/>
  <c r="S86" i="13"/>
  <c r="E79" i="5"/>
  <c r="I13" i="5"/>
  <c r="I83" i="5"/>
  <c r="I109" i="5"/>
  <c r="F107" i="5"/>
  <c r="I124" i="5"/>
  <c r="E86" i="5"/>
  <c r="I29" i="5"/>
  <c r="H40" i="5"/>
  <c r="E111" i="5"/>
  <c r="I11" i="5"/>
  <c r="F87" i="5"/>
  <c r="E98" i="5"/>
  <c r="I65" i="5"/>
  <c r="H72" i="5"/>
  <c r="H31" i="5"/>
  <c r="G13" i="5"/>
  <c r="H41" i="5"/>
  <c r="E38" i="5"/>
  <c r="H26" i="5"/>
  <c r="I66" i="5"/>
  <c r="H39" i="5"/>
  <c r="E91" i="5"/>
  <c r="F118" i="5"/>
  <c r="E42" i="5"/>
  <c r="I88" i="5"/>
  <c r="G104" i="5"/>
  <c r="H11" i="5"/>
  <c r="H38" i="5"/>
  <c r="F21" i="5"/>
  <c r="E39" i="5"/>
  <c r="I16" i="5"/>
  <c r="F56" i="5"/>
  <c r="H25" i="5"/>
  <c r="H53" i="5"/>
  <c r="E23" i="5"/>
  <c r="E13" i="5"/>
  <c r="G16" i="5"/>
  <c r="H17" i="5"/>
  <c r="H48" i="5"/>
  <c r="I101" i="5"/>
  <c r="F85" i="5"/>
  <c r="I41" i="5"/>
  <c r="I64" i="5"/>
  <c r="I73" i="5"/>
  <c r="G111" i="5"/>
  <c r="E53" i="5"/>
  <c r="F23" i="5"/>
  <c r="I118" i="5"/>
  <c r="H57" i="5"/>
  <c r="H4" i="5"/>
  <c r="F77" i="5"/>
  <c r="G72" i="5"/>
  <c r="F53" i="5"/>
  <c r="G18" i="5"/>
  <c r="E19" i="5"/>
  <c r="E6" i="5"/>
  <c r="E75" i="5"/>
  <c r="I8" i="5"/>
  <c r="H23" i="5"/>
  <c r="E44" i="5"/>
  <c r="I54" i="5"/>
  <c r="G40" i="5"/>
  <c r="E46" i="5"/>
  <c r="G71" i="5"/>
  <c r="G103" i="5"/>
  <c r="F88" i="5"/>
  <c r="I113" i="5"/>
  <c r="H45" i="5"/>
  <c r="E97" i="5"/>
  <c r="G70" i="5"/>
  <c r="F22" i="5"/>
  <c r="F3" i="5"/>
  <c r="F12" i="5"/>
  <c r="F60" i="5"/>
  <c r="E8" i="5"/>
  <c r="F82" i="5"/>
  <c r="H47" i="5"/>
  <c r="S84" i="13"/>
  <c r="S89" i="13"/>
  <c r="E51" i="5"/>
  <c r="G11" i="5"/>
  <c r="E114" i="5"/>
  <c r="H12" i="5"/>
  <c r="F41" i="5"/>
  <c r="E17" i="5"/>
  <c r="F105" i="5"/>
  <c r="H20" i="5"/>
  <c r="H71" i="5"/>
  <c r="I74" i="5"/>
  <c r="I35" i="5"/>
  <c r="G113" i="5"/>
  <c r="G6" i="5"/>
  <c r="F123" i="5"/>
  <c r="G96" i="5"/>
  <c r="H126" i="5"/>
  <c r="G55" i="5"/>
  <c r="G45" i="5"/>
  <c r="I24" i="5"/>
  <c r="F19" i="5"/>
  <c r="G28" i="5"/>
  <c r="H91" i="5"/>
  <c r="G4" i="5"/>
  <c r="I50" i="5"/>
  <c r="E28" i="5"/>
  <c r="I117" i="5"/>
  <c r="F103" i="5"/>
  <c r="I91" i="5"/>
  <c r="G112" i="5"/>
  <c r="G9" i="5"/>
  <c r="F93" i="5"/>
  <c r="E29" i="5"/>
  <c r="F76" i="5"/>
  <c r="E40" i="5"/>
  <c r="G64" i="5"/>
  <c r="G97" i="5"/>
  <c r="F10" i="5"/>
  <c r="G2" i="5"/>
  <c r="E35" i="5"/>
  <c r="H87" i="5"/>
  <c r="F35" i="5"/>
  <c r="H121" i="5"/>
  <c r="G123" i="5"/>
  <c r="F11" i="5"/>
  <c r="E43" i="5"/>
  <c r="E47" i="5"/>
  <c r="H22" i="5"/>
  <c r="I112" i="5"/>
  <c r="H29" i="5"/>
  <c r="E120" i="5"/>
  <c r="G90" i="5"/>
  <c r="F67" i="5"/>
  <c r="I62" i="5"/>
  <c r="H110" i="5"/>
  <c r="G23" i="5"/>
  <c r="I121" i="5"/>
  <c r="H52" i="5"/>
  <c r="E122" i="5"/>
  <c r="I93" i="5"/>
  <c r="G15" i="5"/>
  <c r="E5" i="5"/>
  <c r="S94" i="13"/>
  <c r="G68" i="5"/>
  <c r="G115" i="5"/>
  <c r="E109" i="5"/>
  <c r="G86" i="5"/>
  <c r="G29" i="5"/>
  <c r="I92" i="5"/>
  <c r="F89" i="5"/>
  <c r="F39" i="5"/>
  <c r="F94" i="5"/>
  <c r="F44" i="5"/>
  <c r="G79" i="5"/>
  <c r="G27" i="5"/>
  <c r="H69" i="5"/>
  <c r="F27" i="5"/>
  <c r="H51" i="5"/>
  <c r="G89" i="5"/>
  <c r="E31" i="5"/>
  <c r="E92" i="5"/>
  <c r="E26" i="5"/>
  <c r="E84" i="5"/>
  <c r="I26" i="5"/>
  <c r="H19" i="5"/>
  <c r="I34" i="5"/>
  <c r="I46" i="5"/>
  <c r="E90" i="5"/>
  <c r="E121" i="5"/>
  <c r="I19" i="5"/>
  <c r="E115" i="5"/>
  <c r="I78" i="5"/>
  <c r="G77" i="5"/>
  <c r="I58" i="5"/>
  <c r="H68" i="5"/>
  <c r="G102" i="5"/>
  <c r="I87" i="5"/>
  <c r="G78" i="5"/>
  <c r="H89" i="5"/>
  <c r="I97" i="5"/>
  <c r="H54" i="5"/>
  <c r="G108" i="5"/>
  <c r="S98" i="13"/>
  <c r="E107" i="5"/>
  <c r="I37" i="5"/>
  <c r="G25" i="5"/>
  <c r="G126" i="5"/>
  <c r="F51" i="5"/>
  <c r="I95" i="5"/>
  <c r="I5" i="5"/>
  <c r="H49" i="5"/>
  <c r="G109" i="5"/>
  <c r="F40" i="5"/>
  <c r="E58" i="5"/>
  <c r="E102" i="5"/>
  <c r="E85" i="5"/>
  <c r="G12" i="5"/>
  <c r="G76" i="5"/>
  <c r="I114" i="5"/>
  <c r="H42" i="5"/>
  <c r="E4" i="5"/>
  <c r="I57" i="5"/>
  <c r="H34" i="5"/>
  <c r="F57" i="5"/>
  <c r="G95" i="5"/>
  <c r="G121" i="5"/>
  <c r="E22" i="5"/>
  <c r="E124" i="5"/>
  <c r="I105" i="5"/>
  <c r="F9" i="5"/>
  <c r="I31" i="5"/>
  <c r="F50" i="5"/>
  <c r="G44" i="5"/>
  <c r="F125" i="5"/>
  <c r="I32" i="5"/>
  <c r="F84" i="5"/>
  <c r="H79" i="5"/>
  <c r="I4" i="5"/>
  <c r="F69" i="5"/>
  <c r="F32" i="5"/>
  <c r="G75" i="5"/>
  <c r="S83" i="13"/>
  <c r="S90" i="13"/>
  <c r="I106" i="5"/>
  <c r="G20" i="5"/>
  <c r="I99" i="5"/>
  <c r="I96" i="5"/>
  <c r="I68" i="5"/>
  <c r="E81" i="5"/>
  <c r="G50" i="5"/>
  <c r="I63" i="5"/>
  <c r="E70" i="5"/>
  <c r="F46" i="5"/>
  <c r="G87" i="5"/>
  <c r="H62" i="5"/>
  <c r="G26" i="5"/>
  <c r="F70" i="5"/>
  <c r="G21" i="5"/>
  <c r="H84" i="5"/>
  <c r="F34" i="5"/>
  <c r="I22" i="5"/>
  <c r="G62" i="5"/>
  <c r="G10" i="5"/>
  <c r="G117" i="5"/>
  <c r="E11" i="5"/>
  <c r="F121" i="5"/>
  <c r="G92" i="5"/>
  <c r="H78" i="5"/>
  <c r="E41" i="5"/>
  <c r="H98" i="5"/>
  <c r="I45" i="5"/>
  <c r="I2" i="5"/>
  <c r="I119" i="5"/>
  <c r="H106" i="5"/>
  <c r="I90" i="5"/>
  <c r="I84" i="5"/>
  <c r="H32" i="5"/>
  <c r="F79" i="5"/>
  <c r="F29" i="5"/>
  <c r="I111" i="5"/>
  <c r="I110" i="5"/>
  <c r="E123" i="5"/>
  <c r="I39" i="5"/>
  <c r="G122" i="5"/>
  <c r="H118" i="5"/>
  <c r="G41" i="5"/>
  <c r="E55" i="5"/>
  <c r="F80" i="5"/>
  <c r="H70" i="5"/>
  <c r="H15" i="5"/>
  <c r="H37" i="5"/>
  <c r="S87" i="13"/>
  <c r="S95" i="13"/>
  <c r="G80" i="5"/>
  <c r="G31" i="5"/>
  <c r="G118" i="5"/>
  <c r="H75" i="5"/>
  <c r="H112" i="5"/>
  <c r="F104" i="5"/>
  <c r="H80" i="5"/>
  <c r="E83" i="5"/>
  <c r="F58" i="5"/>
  <c r="G91" i="5"/>
  <c r="E65" i="5"/>
  <c r="E63" i="5"/>
  <c r="F119" i="5"/>
  <c r="I51" i="5"/>
  <c r="G14" i="5"/>
  <c r="F63" i="5"/>
  <c r="E66" i="5"/>
  <c r="H50" i="5"/>
  <c r="E59" i="5"/>
  <c r="H100" i="5"/>
  <c r="H28" i="5"/>
  <c r="E56" i="5"/>
  <c r="E36" i="5"/>
  <c r="H86" i="5"/>
  <c r="E103" i="5"/>
  <c r="F37" i="5"/>
  <c r="I98" i="5"/>
  <c r="G52" i="5"/>
  <c r="E76" i="5"/>
  <c r="G83" i="5"/>
  <c r="H92" i="5"/>
  <c r="F24" i="5"/>
  <c r="E126" i="5"/>
  <c r="H120" i="5"/>
  <c r="I47" i="5"/>
  <c r="I23" i="5"/>
  <c r="F48" i="5"/>
  <c r="G19" i="5"/>
  <c r="H117" i="5"/>
  <c r="F122" i="5"/>
  <c r="H125" i="5"/>
  <c r="H43" i="5"/>
  <c r="E119" i="5"/>
  <c r="H107" i="5"/>
  <c r="H104" i="5"/>
  <c r="E67" i="5"/>
  <c r="E78" i="5"/>
  <c r="E88" i="5"/>
  <c r="G61" i="5"/>
  <c r="I80" i="5"/>
  <c r="H124" i="5"/>
  <c r="F114" i="5"/>
  <c r="E7" i="5"/>
  <c r="E60" i="5"/>
  <c r="F7" i="5"/>
  <c r="G119" i="5"/>
  <c r="H85" i="5"/>
  <c r="F2" i="5"/>
  <c r="F112" i="5"/>
  <c r="I81" i="5"/>
  <c r="I9" i="5"/>
  <c r="F92" i="5"/>
  <c r="G32" i="5"/>
  <c r="G88" i="5"/>
  <c r="E73" i="5"/>
  <c r="I69" i="5"/>
  <c r="E96" i="5"/>
  <c r="G47" i="5"/>
  <c r="F117" i="5"/>
  <c r="H5" i="5"/>
  <c r="F33" i="5"/>
  <c r="F31" i="5"/>
  <c r="H122" i="5"/>
  <c r="H44" i="5"/>
  <c r="F91" i="5"/>
  <c r="I60" i="5"/>
  <c r="E72" i="5"/>
  <c r="I67" i="5"/>
  <c r="H3" i="5"/>
  <c r="H67" i="5"/>
  <c r="I49" i="5"/>
  <c r="G38" i="5"/>
  <c r="I108" i="5"/>
  <c r="F90" i="5"/>
  <c r="I21" i="5"/>
  <c r="F115" i="5"/>
  <c r="E18" i="5"/>
  <c r="I77" i="5"/>
  <c r="H13" i="5"/>
  <c r="G93" i="5"/>
  <c r="E80" i="5"/>
  <c r="F78" i="5"/>
  <c r="F81" i="5"/>
  <c r="G99" i="5"/>
  <c r="G37" i="5"/>
  <c r="F101" i="5"/>
  <c r="G101" i="5"/>
  <c r="F25" i="5"/>
  <c r="G22" i="5"/>
  <c r="I56" i="5"/>
  <c r="H6" i="5"/>
  <c r="I14" i="5"/>
  <c r="F59" i="5"/>
  <c r="F65" i="5"/>
  <c r="I55" i="5"/>
  <c r="I116" i="5"/>
  <c r="I82" i="5"/>
  <c r="G39" i="5"/>
  <c r="E108" i="5"/>
  <c r="I125" i="5"/>
  <c r="I59" i="5"/>
  <c r="I126" i="5"/>
  <c r="H24" i="5"/>
  <c r="H123" i="5"/>
  <c r="F100" i="5"/>
  <c r="G107" i="5"/>
  <c r="H74" i="5"/>
  <c r="I36" i="5"/>
  <c r="G58" i="5"/>
  <c r="H33" i="5"/>
  <c r="I43" i="5"/>
  <c r="H102" i="5"/>
  <c r="H108" i="5"/>
  <c r="F6" i="5"/>
  <c r="F73" i="5"/>
  <c r="H61" i="5"/>
  <c r="I28" i="5"/>
  <c r="G116" i="5"/>
  <c r="H35" i="5"/>
  <c r="S93" i="13"/>
  <c r="S96" i="13"/>
  <c r="S99" i="13"/>
  <c r="H116" i="5"/>
  <c r="E93" i="5"/>
  <c r="E94" i="5"/>
  <c r="F116" i="5"/>
  <c r="E32" i="5"/>
  <c r="G82" i="5"/>
  <c r="I10" i="5"/>
  <c r="I3" i="5"/>
  <c r="G125" i="5"/>
  <c r="F52" i="5"/>
  <c r="H96" i="5"/>
  <c r="E89" i="5"/>
  <c r="G17" i="5"/>
  <c r="H2" i="5"/>
  <c r="E116" i="5"/>
  <c r="I7" i="5"/>
  <c r="I79" i="5"/>
  <c r="I18" i="5"/>
  <c r="F43" i="5"/>
  <c r="F38" i="5"/>
  <c r="E21" i="5"/>
  <c r="H30" i="5"/>
  <c r="I27" i="5"/>
  <c r="G66" i="5"/>
  <c r="F106" i="5"/>
  <c r="F15" i="5"/>
  <c r="G46" i="5"/>
  <c r="E74" i="5"/>
  <c r="G24" i="5"/>
  <c r="S88" i="13"/>
  <c r="S92" i="13"/>
  <c r="I86" i="5"/>
  <c r="G120" i="5"/>
  <c r="F20" i="5"/>
  <c r="F110" i="5"/>
  <c r="G124" i="5"/>
  <c r="E69" i="5"/>
  <c r="G67" i="5"/>
  <c r="G59" i="5"/>
  <c r="I94" i="5"/>
  <c r="F108" i="5"/>
  <c r="F75" i="5"/>
  <c r="E48" i="5"/>
  <c r="F28" i="5"/>
  <c r="E37" i="5"/>
  <c r="E16" i="5"/>
  <c r="H36" i="5"/>
  <c r="I20" i="5"/>
  <c r="G74" i="5"/>
  <c r="H93" i="5"/>
  <c r="E105" i="5"/>
  <c r="F30" i="5"/>
  <c r="I122" i="5"/>
  <c r="E95" i="5"/>
  <c r="H114" i="5"/>
  <c r="H76" i="5"/>
  <c r="H18" i="5"/>
  <c r="H101" i="5"/>
  <c r="H111" i="5"/>
  <c r="E62" i="5"/>
  <c r="S82" i="13"/>
  <c r="S85" i="13"/>
  <c r="S97" i="13"/>
  <c r="H103" i="5"/>
  <c r="G54" i="5"/>
  <c r="I52" i="5"/>
  <c r="I120" i="5"/>
  <c r="E77" i="5"/>
  <c r="E34" i="5"/>
  <c r="H64" i="5"/>
  <c r="G34" i="5"/>
  <c r="G3" i="5"/>
  <c r="G56" i="5"/>
  <c r="E45" i="5"/>
  <c r="F54" i="5"/>
  <c r="E82" i="5"/>
  <c r="G48" i="5"/>
  <c r="H83" i="5"/>
  <c r="I85" i="5"/>
  <c r="E99" i="5"/>
  <c r="G69" i="5"/>
  <c r="E52" i="5"/>
  <c r="I100" i="5"/>
  <c r="H99" i="5"/>
  <c r="F13" i="5"/>
  <c r="F26" i="5"/>
  <c r="H113" i="5"/>
  <c r="F5" i="5"/>
  <c r="I6" i="5"/>
  <c r="G43" i="5"/>
  <c r="E2" i="5"/>
  <c r="H14" i="5"/>
  <c r="G42" i="5"/>
  <c r="H58" i="5"/>
  <c r="E3" i="5"/>
  <c r="F68" i="5"/>
  <c r="G49" i="5"/>
  <c r="F16" i="5"/>
  <c r="F36" i="5"/>
  <c r="E49" i="5"/>
  <c r="E68" i="5"/>
  <c r="I33" i="5"/>
  <c r="F62" i="5"/>
  <c r="H82" i="5"/>
  <c r="F61" i="5"/>
  <c r="F47" i="5"/>
  <c r="G100" i="5"/>
  <c r="H59" i="5"/>
  <c r="F72" i="5"/>
  <c r="F4" i="5"/>
  <c r="F17" i="5"/>
  <c r="F120" i="5"/>
  <c r="F109" i="5"/>
  <c r="E112" i="5"/>
  <c r="E10" i="5"/>
  <c r="G81" i="5"/>
  <c r="G105" i="5"/>
  <c r="E24" i="5"/>
  <c r="I48" i="5"/>
  <c r="E125" i="5"/>
  <c r="F42" i="5"/>
  <c r="E33" i="5"/>
  <c r="I40" i="5"/>
  <c r="F102" i="5"/>
  <c r="H27" i="5"/>
  <c r="F14" i="5"/>
  <c r="G94" i="5"/>
  <c r="I44" i="5"/>
  <c r="E110" i="5"/>
  <c r="E64" i="5"/>
  <c r="E100" i="5"/>
  <c r="H60" i="5"/>
  <c r="I76" i="5"/>
  <c r="H55" i="5"/>
  <c r="I102" i="5"/>
  <c r="F86" i="5"/>
  <c r="H10" i="5"/>
  <c r="H46" i="5"/>
  <c r="I12" i="5"/>
  <c r="H63" i="5"/>
  <c r="H66" i="5"/>
  <c r="G33" i="5"/>
  <c r="I75" i="5"/>
  <c r="I107" i="5"/>
  <c r="H94" i="5"/>
  <c r="I25" i="5"/>
  <c r="Y26" i="13"/>
  <c r="H119" i="5"/>
  <c r="E12" i="5"/>
  <c r="G98" i="5"/>
  <c r="E101" i="5"/>
  <c r="G36" i="5"/>
  <c r="E30" i="5"/>
  <c r="G63" i="5"/>
  <c r="F111" i="5"/>
  <c r="G110" i="5"/>
  <c r="G65" i="5"/>
  <c r="H77" i="5"/>
  <c r="G51" i="5"/>
  <c r="H7" i="5"/>
  <c r="I123" i="5"/>
  <c r="G8" i="5"/>
  <c r="G73" i="5"/>
  <c r="E118" i="5"/>
  <c r="H81" i="5"/>
  <c r="F66" i="5"/>
  <c r="E104" i="5"/>
  <c r="E106" i="5"/>
  <c r="G5" i="5"/>
  <c r="H115" i="5"/>
  <c r="E113" i="5"/>
  <c r="G57" i="5"/>
  <c r="H65" i="5"/>
  <c r="E54" i="5"/>
  <c r="I72" i="5"/>
  <c r="I70" i="5"/>
  <c r="E50" i="5"/>
  <c r="F97" i="5"/>
  <c r="I53" i="5"/>
  <c r="G35" i="5"/>
  <c r="G106" i="5"/>
  <c r="F96" i="5"/>
  <c r="E25" i="5"/>
  <c r="F55" i="5"/>
  <c r="E27" i="5"/>
  <c r="E117" i="5"/>
  <c r="F95" i="5"/>
  <c r="I89" i="5"/>
  <c r="H90" i="5"/>
  <c r="I38" i="5"/>
  <c r="G7" i="5"/>
  <c r="H95" i="5"/>
  <c r="I103" i="5"/>
  <c r="H97" i="5"/>
  <c r="F98" i="5"/>
  <c r="E61" i="5"/>
  <c r="I30" i="5"/>
  <c r="F113" i="5"/>
  <c r="E20" i="5"/>
  <c r="E71" i="5"/>
  <c r="I17" i="5"/>
  <c r="I71" i="5"/>
  <c r="E9" i="5"/>
  <c r="F45" i="5"/>
  <c r="G53" i="5"/>
  <c r="G114" i="5"/>
  <c r="I104" i="5"/>
  <c r="F124" i="5"/>
  <c r="H8" i="5"/>
  <c r="H9" i="5"/>
  <c r="E57" i="5"/>
  <c r="H56" i="5"/>
  <c r="G84" i="5"/>
  <c r="F71" i="5"/>
  <c r="F64" i="5"/>
  <c r="G30" i="5"/>
  <c r="E14" i="5"/>
  <c r="F99" i="5"/>
  <c r="H16" i="5"/>
  <c r="I15" i="5"/>
  <c r="I115" i="5"/>
  <c r="H109" i="5"/>
  <c r="F126" i="5"/>
  <c r="F49" i="5"/>
  <c r="M27" i="13" a="1"/>
  <c r="H88" i="5"/>
  <c r="H21" i="5"/>
  <c r="I42" i="5"/>
  <c r="F18" i="5"/>
  <c r="F74" i="5"/>
  <c r="F8" i="5"/>
  <c r="F83" i="5"/>
  <c r="G85" i="5"/>
  <c r="H105" i="5"/>
  <c r="H73" i="5"/>
  <c r="G60" i="5"/>
  <c r="E15" i="5"/>
  <c r="I61" i="5"/>
  <c r="E87" i="5"/>
  <c r="M40" i="13" l="1"/>
  <c r="M48" i="13"/>
  <c r="M57" i="13"/>
  <c r="M36" i="13"/>
  <c r="M35" i="13"/>
  <c r="M51" i="13"/>
  <c r="M28" i="13"/>
  <c r="M52" i="13"/>
  <c r="M47" i="13"/>
  <c r="M56" i="13"/>
  <c r="M55" i="13"/>
  <c r="M32" i="13"/>
  <c r="M42" i="13"/>
  <c r="M30" i="13"/>
  <c r="M43" i="13"/>
  <c r="M45" i="13"/>
  <c r="M34" i="13"/>
  <c r="M58" i="13"/>
  <c r="M50" i="13"/>
  <c r="M39" i="13"/>
  <c r="M49" i="13"/>
  <c r="M27" i="13"/>
  <c r="M41" i="13"/>
  <c r="M31" i="13"/>
  <c r="M59" i="13"/>
  <c r="M53" i="13"/>
  <c r="M54" i="13"/>
  <c r="M38" i="13"/>
  <c r="M60" i="13"/>
  <c r="M33" i="13"/>
  <c r="M29" i="13"/>
  <c r="M37" i="13"/>
  <c r="M46" i="13"/>
  <c r="M44" i="13"/>
  <c r="O23" i="13"/>
  <c r="O49" i="13"/>
  <c r="P42" i="13"/>
  <c r="C28" i="6"/>
  <c r="N29" i="13"/>
  <c r="O48" i="13"/>
  <c r="O27" i="13"/>
  <c r="N32" i="13"/>
  <c r="O28" i="13"/>
  <c r="N44" i="13"/>
  <c r="P60" i="13"/>
  <c r="P34" i="13"/>
  <c r="P40" i="13"/>
  <c r="N24" i="13"/>
  <c r="N27" i="13"/>
  <c r="T82" i="13"/>
  <c r="T92" i="13"/>
  <c r="T89" i="13"/>
  <c r="N33" i="13"/>
  <c r="N52" i="13"/>
  <c r="P51" i="13"/>
  <c r="O56" i="13"/>
  <c r="D14" i="6"/>
  <c r="O40" i="13"/>
  <c r="N19" i="13"/>
  <c r="N23" i="13"/>
  <c r="O39" i="13"/>
  <c r="O44" i="13"/>
  <c r="AA17" i="13"/>
  <c r="N46" i="13"/>
  <c r="P23" i="13"/>
  <c r="P78" i="13"/>
  <c r="P71" i="13"/>
  <c r="P55" i="13"/>
  <c r="P58" i="13"/>
  <c r="P38" i="13"/>
  <c r="P72" i="13"/>
  <c r="P82" i="13"/>
  <c r="T87" i="13"/>
  <c r="T94" i="13"/>
  <c r="S63" i="13"/>
  <c r="S71" i="13"/>
  <c r="O35" i="13"/>
  <c r="N45" i="13"/>
  <c r="O36" i="13"/>
  <c r="P46" i="13"/>
  <c r="P68" i="13"/>
  <c r="O29" i="13"/>
  <c r="O57" i="13"/>
  <c r="N51" i="13"/>
  <c r="O46" i="13"/>
  <c r="P69" i="13"/>
  <c r="N31" i="13"/>
  <c r="O21" i="13"/>
  <c r="P98" i="13"/>
  <c r="N50" i="13"/>
  <c r="P88" i="13"/>
  <c r="T90" i="13"/>
  <c r="S76" i="13"/>
  <c r="S67" i="13"/>
  <c r="N56" i="13"/>
  <c r="P80" i="13"/>
  <c r="O55" i="13"/>
  <c r="O30" i="13"/>
  <c r="P31" i="13"/>
  <c r="P48" i="13"/>
  <c r="O20" i="13"/>
  <c r="N40" i="13"/>
  <c r="Z19" i="13"/>
  <c r="S77" i="13"/>
  <c r="S75" i="13"/>
  <c r="O59" i="13"/>
  <c r="O33" i="13"/>
  <c r="O51" i="13"/>
  <c r="P57" i="13"/>
  <c r="P32" i="13"/>
  <c r="P45" i="13"/>
  <c r="N38" i="13"/>
  <c r="N39" i="13"/>
  <c r="P84" i="13"/>
  <c r="P64" i="13"/>
  <c r="T93" i="13"/>
  <c r="T97" i="13"/>
  <c r="S80" i="13"/>
  <c r="P35" i="13"/>
  <c r="P36" i="13"/>
  <c r="N41" i="13"/>
  <c r="N20" i="13"/>
  <c r="P91" i="13"/>
  <c r="O52" i="13"/>
  <c r="P30" i="13"/>
  <c r="O34" i="13"/>
  <c r="P76" i="13"/>
  <c r="Z21" i="13"/>
  <c r="T86" i="13"/>
  <c r="S65" i="13"/>
  <c r="P49" i="13"/>
  <c r="P33" i="13"/>
  <c r="P92" i="13"/>
  <c r="P83" i="13"/>
  <c r="O37" i="13"/>
  <c r="Z22" i="13"/>
  <c r="P70" i="13"/>
  <c r="P41" i="13"/>
  <c r="P53" i="13"/>
  <c r="T99" i="13"/>
  <c r="S68" i="13"/>
  <c r="N55" i="13"/>
  <c r="P27" i="13"/>
  <c r="P86" i="13"/>
  <c r="P77" i="13"/>
  <c r="Z20" i="13"/>
  <c r="O41" i="13"/>
  <c r="P43" i="13"/>
  <c r="P54" i="13"/>
  <c r="P65" i="13"/>
  <c r="T83" i="13"/>
  <c r="S81" i="13"/>
  <c r="P67" i="13"/>
  <c r="S74" i="13"/>
  <c r="P44" i="13"/>
  <c r="P47" i="13"/>
  <c r="O47" i="13"/>
  <c r="O53" i="13"/>
  <c r="P95" i="13"/>
  <c r="P56" i="13"/>
  <c r="P63" i="13"/>
  <c r="T98" i="13"/>
  <c r="S79" i="13"/>
  <c r="P21" i="13"/>
  <c r="N22" i="13"/>
  <c r="O54" i="13"/>
  <c r="P52" i="13"/>
  <c r="O32" i="13"/>
  <c r="D15" i="6"/>
  <c r="O42" i="13"/>
  <c r="P28" i="13"/>
  <c r="P29" i="13"/>
  <c r="P66" i="13"/>
  <c r="P81" i="13"/>
  <c r="T88" i="13"/>
  <c r="T84" i="13"/>
  <c r="S72" i="13"/>
  <c r="O19" i="13"/>
  <c r="N47" i="13"/>
  <c r="N57" i="13"/>
  <c r="P24" i="13"/>
  <c r="N53" i="13"/>
  <c r="P96" i="13"/>
  <c r="N28" i="13"/>
  <c r="P94" i="13"/>
  <c r="P19" i="13"/>
  <c r="P20" i="13"/>
  <c r="J1" i="5" a="1"/>
  <c r="Z24" i="13"/>
  <c r="S78" i="13"/>
  <c r="O45" i="13"/>
  <c r="O22" i="13"/>
  <c r="P37" i="13"/>
  <c r="N54" i="13"/>
  <c r="P22" i="13"/>
  <c r="N58" i="13"/>
  <c r="P90" i="13"/>
  <c r="N60" i="13"/>
  <c r="N21" i="13"/>
  <c r="N37" i="13"/>
  <c r="P74" i="13"/>
  <c r="P79" i="13"/>
  <c r="T91" i="13"/>
  <c r="S64" i="13"/>
  <c r="O24" i="13"/>
  <c r="N30" i="13"/>
  <c r="N34" i="13"/>
  <c r="O60" i="13"/>
  <c r="Y27" i="13"/>
  <c r="Y28" i="13" s="1"/>
  <c r="Y29" i="13" s="1"/>
  <c r="O43" i="13"/>
  <c r="P73" i="13"/>
  <c r="N36" i="13"/>
  <c r="N43" i="13"/>
  <c r="N48" i="13"/>
  <c r="P85" i="13"/>
  <c r="T95" i="13"/>
  <c r="S73" i="13"/>
  <c r="P50" i="13"/>
  <c r="O50" i="13"/>
  <c r="N35" i="13"/>
  <c r="N49" i="13"/>
  <c r="N42" i="13"/>
  <c r="O38" i="13"/>
  <c r="P89" i="13"/>
  <c r="C27" i="6"/>
  <c r="P39" i="13"/>
  <c r="T96" i="13"/>
  <c r="S69" i="13"/>
  <c r="O31" i="13"/>
  <c r="Z23" i="13"/>
  <c r="N59" i="13"/>
  <c r="P59" i="13"/>
  <c r="O58" i="13"/>
  <c r="T85" i="13"/>
  <c r="P99" i="13"/>
  <c r="P93" i="13"/>
  <c r="P97" i="13"/>
  <c r="P75" i="13"/>
  <c r="P87" i="13"/>
  <c r="AB17" i="13"/>
  <c r="S66" i="13"/>
  <c r="S70" i="13"/>
  <c r="J54" i="5" l="1"/>
  <c r="J74" i="5"/>
  <c r="J85" i="5"/>
  <c r="J124" i="5"/>
  <c r="J4" i="5"/>
  <c r="J36" i="5"/>
  <c r="J106" i="5"/>
  <c r="J96" i="5"/>
  <c r="J13" i="5"/>
  <c r="J3" i="5"/>
  <c r="J2" i="5"/>
  <c r="J29" i="5"/>
  <c r="J80" i="5"/>
  <c r="J116" i="5"/>
  <c r="J34" i="5"/>
  <c r="J108" i="5"/>
  <c r="E16" i="13"/>
  <c r="E11" i="13"/>
  <c r="J42" i="5"/>
  <c r="J75" i="5"/>
  <c r="J84" i="5"/>
  <c r="J101" i="5"/>
  <c r="J78" i="5"/>
  <c r="J98" i="5"/>
  <c r="J5" i="5"/>
  <c r="J23" i="5"/>
  <c r="J35" i="5"/>
  <c r="J126" i="5"/>
  <c r="J39" i="5"/>
  <c r="J69" i="5"/>
  <c r="J55" i="5"/>
  <c r="J94" i="5"/>
  <c r="J118" i="5"/>
  <c r="J60" i="5"/>
  <c r="E14" i="13"/>
  <c r="J120" i="5"/>
  <c r="J88" i="5"/>
  <c r="J86" i="5"/>
  <c r="J56" i="5"/>
  <c r="J113" i="5"/>
  <c r="J63" i="5"/>
  <c r="J104" i="5"/>
  <c r="J76" i="5"/>
  <c r="J77" i="5"/>
  <c r="J15" i="5"/>
  <c r="J107" i="5"/>
  <c r="J21" i="5"/>
  <c r="J82" i="5"/>
  <c r="J25" i="5"/>
  <c r="J18" i="5"/>
  <c r="J66" i="5"/>
  <c r="E7" i="13"/>
  <c r="J11" i="5"/>
  <c r="J24" i="5"/>
  <c r="J40" i="5"/>
  <c r="J123" i="5"/>
  <c r="J22" i="5"/>
  <c r="J6" i="5"/>
  <c r="J112" i="5"/>
  <c r="J122" i="5"/>
  <c r="J33" i="5"/>
  <c r="J16" i="5"/>
  <c r="J97" i="5"/>
  <c r="J27" i="5"/>
  <c r="J50" i="5"/>
  <c r="J87" i="5"/>
  <c r="J110" i="5"/>
  <c r="E5" i="13"/>
  <c r="E8" i="13"/>
  <c r="J117" i="5"/>
  <c r="J8" i="5"/>
  <c r="J64" i="5"/>
  <c r="J9" i="5"/>
  <c r="J90" i="5"/>
  <c r="J44" i="5"/>
  <c r="J57" i="5"/>
  <c r="J26" i="5"/>
  <c r="J53" i="5"/>
  <c r="J119" i="5"/>
  <c r="J65" i="5"/>
  <c r="J30" i="5"/>
  <c r="J46" i="5"/>
  <c r="J52" i="5"/>
  <c r="J47" i="5"/>
  <c r="E9" i="13"/>
  <c r="E4" i="13"/>
  <c r="J109" i="5"/>
  <c r="J32" i="5"/>
  <c r="J45" i="5"/>
  <c r="J125" i="5"/>
  <c r="J83" i="5"/>
  <c r="J111" i="5"/>
  <c r="J89" i="5"/>
  <c r="J114" i="5"/>
  <c r="J37" i="5"/>
  <c r="J95" i="5"/>
  <c r="J79" i="5"/>
  <c r="J102" i="5"/>
  <c r="J72" i="5"/>
  <c r="J61" i="5"/>
  <c r="J19" i="5"/>
  <c r="J14" i="5"/>
  <c r="E13" i="13"/>
  <c r="E15" i="13"/>
  <c r="J93" i="5"/>
  <c r="J103" i="5"/>
  <c r="J28" i="5"/>
  <c r="J71" i="5"/>
  <c r="J17" i="5"/>
  <c r="J1" i="5"/>
  <c r="J10" i="5"/>
  <c r="J62" i="5"/>
  <c r="J92" i="5"/>
  <c r="J48" i="5"/>
  <c r="J68" i="5"/>
  <c r="J100" i="5"/>
  <c r="J115" i="5"/>
  <c r="J31" i="5"/>
  <c r="J12" i="5"/>
  <c r="J49" i="5"/>
  <c r="E6" i="13"/>
  <c r="E12" i="13"/>
  <c r="J70" i="5"/>
  <c r="J99" i="5"/>
  <c r="J41" i="5"/>
  <c r="J38" i="5"/>
  <c r="J20" i="5"/>
  <c r="J67" i="5"/>
  <c r="J91" i="5"/>
  <c r="J43" i="5"/>
  <c r="E10" i="13"/>
  <c r="J121" i="5"/>
  <c r="E3" i="13"/>
  <c r="J7" i="5"/>
  <c r="J73" i="5"/>
  <c r="J81" i="5"/>
  <c r="J51" i="5"/>
  <c r="J105" i="5"/>
  <c r="J59" i="5"/>
  <c r="J58" i="5"/>
  <c r="T67" i="13"/>
  <c r="T69" i="13"/>
  <c r="S59" i="13"/>
  <c r="S49" i="13"/>
  <c r="S22" i="13"/>
  <c r="S48" i="13"/>
  <c r="S33" i="13"/>
  <c r="T68" i="13"/>
  <c r="Z27" i="13"/>
  <c r="S54" i="13"/>
  <c r="T81" i="13"/>
  <c r="T64" i="13"/>
  <c r="S43" i="13"/>
  <c r="T43" i="13" s="1"/>
  <c r="T59" i="13"/>
  <c r="S52" i="13"/>
  <c r="S34" i="13"/>
  <c r="T77" i="13"/>
  <c r="S37" i="13"/>
  <c r="S38" i="13"/>
  <c r="S27" i="13"/>
  <c r="J23" i="13"/>
  <c r="S35" i="13"/>
  <c r="S51" i="13"/>
  <c r="T74" i="13"/>
  <c r="S46" i="13"/>
  <c r="T78" i="13"/>
  <c r="Z26" i="13"/>
  <c r="S23" i="13"/>
  <c r="S31" i="13"/>
  <c r="S58" i="13"/>
  <c r="S45" i="13"/>
  <c r="T38" i="13"/>
  <c r="T66" i="13"/>
  <c r="S56" i="13"/>
  <c r="S50" i="13"/>
  <c r="Z29" i="13"/>
  <c r="T63" i="13"/>
  <c r="S40" i="13"/>
  <c r="S53" i="13"/>
  <c r="T71" i="13"/>
  <c r="S28" i="13"/>
  <c r="S20" i="13"/>
  <c r="S36" i="13"/>
  <c r="T73" i="13"/>
  <c r="S60" i="13"/>
  <c r="S30" i="13"/>
  <c r="S57" i="13"/>
  <c r="S55" i="13"/>
  <c r="T65" i="13"/>
  <c r="S47" i="13"/>
  <c r="T76" i="13"/>
  <c r="T70" i="13"/>
  <c r="S42" i="13"/>
  <c r="D28" i="6"/>
  <c r="S29" i="13"/>
  <c r="S19" i="13"/>
  <c r="T35" i="13"/>
  <c r="T80" i="13"/>
  <c r="Z25" i="13"/>
  <c r="T72" i="13"/>
  <c r="S41" i="13"/>
  <c r="T41" i="13" s="1"/>
  <c r="D27" i="6"/>
  <c r="Y30" i="13"/>
  <c r="S21" i="13"/>
  <c r="S24" i="13"/>
  <c r="Z28" i="13"/>
  <c r="S44" i="13"/>
  <c r="T75" i="13"/>
  <c r="S39" i="13"/>
  <c r="T39" i="13" s="1"/>
  <c r="T79" i="13"/>
  <c r="S32" i="13"/>
  <c r="T44" i="13"/>
  <c r="D29" i="6"/>
  <c r="Z30" i="13"/>
  <c r="Y31" i="13"/>
  <c r="Z31" i="13" s="1"/>
  <c r="T52" i="13"/>
  <c r="T27" i="13"/>
  <c r="T54" i="13"/>
  <c r="T29" i="13"/>
  <c r="T56" i="13"/>
  <c r="T33" i="13"/>
  <c r="T24" i="13"/>
  <c r="T57" i="13"/>
  <c r="T47" i="13"/>
  <c r="T36" i="13"/>
  <c r="T48" i="13"/>
  <c r="T58" i="13"/>
  <c r="T50" i="13"/>
  <c r="T19" i="13"/>
  <c r="T46" i="13"/>
  <c r="T21" i="13"/>
  <c r="T20" i="13"/>
  <c r="T40" i="13"/>
  <c r="T22" i="13"/>
  <c r="T31" i="13"/>
  <c r="Y32" i="13"/>
  <c r="T53" i="13"/>
  <c r="T23" i="13"/>
  <c r="T34" i="13"/>
  <c r="T55" i="13"/>
  <c r="T42" i="13"/>
  <c r="T60" i="13"/>
  <c r="T30" i="13"/>
  <c r="T28" i="13"/>
  <c r="T32" i="13"/>
  <c r="T51" i="13"/>
  <c r="T37" i="13"/>
  <c r="T49" i="13"/>
  <c r="T45" i="13"/>
  <c r="Y33" i="13"/>
  <c r="Z32" i="13"/>
  <c r="Y34" i="13"/>
  <c r="Z33" i="13"/>
  <c r="Z34" i="13"/>
  <c r="Y35" i="13"/>
  <c r="Z35" i="13" s="1"/>
  <c r="Y36" i="13"/>
  <c r="Z36" i="13"/>
  <c r="Y37" i="13"/>
  <c r="Z37" i="13"/>
  <c r="Y38" i="13"/>
  <c r="Y39" i="13"/>
  <c r="Z38" i="13"/>
  <c r="Z39" i="13"/>
  <c r="Y40" i="13"/>
  <c r="Y41" i="13"/>
  <c r="Z40" i="13"/>
  <c r="Z41" i="13"/>
  <c r="Y42" i="13"/>
  <c r="Y43" i="13"/>
  <c r="Z42" i="13"/>
  <c r="Y44" i="13"/>
  <c r="Z43" i="13"/>
  <c r="Y45" i="13"/>
  <c r="Z44" i="13"/>
  <c r="Z45" i="13"/>
  <c r="Y46" i="13"/>
  <c r="Y47" i="13"/>
  <c r="Z46" i="13"/>
  <c r="Y48" i="13"/>
  <c r="Z47" i="13"/>
  <c r="Z48" i="13"/>
  <c r="Y49" i="13"/>
  <c r="Z49" i="13"/>
  <c r="Y50" i="13"/>
  <c r="Y51" i="13"/>
  <c r="Z50" i="13"/>
  <c r="Y52" i="13"/>
  <c r="Z51" i="13"/>
  <c r="Y53" i="13"/>
  <c r="Z52" i="13"/>
  <c r="Z53" i="13"/>
  <c r="Y54" i="13"/>
  <c r="Y55" i="13"/>
  <c r="Z54" i="13"/>
  <c r="Y56" i="13"/>
  <c r="Z55" i="13"/>
  <c r="Z56" i="13"/>
  <c r="Y57" i="13"/>
  <c r="Z57" i="13"/>
  <c r="Y58" i="13"/>
  <c r="Y59" i="13"/>
  <c r="Z58" i="13"/>
  <c r="Y60" i="13"/>
  <c r="Z59" i="13"/>
  <c r="Y61" i="13"/>
  <c r="Z60" i="13"/>
  <c r="Z61" i="13"/>
  <c r="Y62" i="13"/>
  <c r="Y63" i="13"/>
  <c r="Z62" i="13"/>
  <c r="Z63" i="13"/>
  <c r="Y64" i="13"/>
  <c r="Z64" i="13"/>
  <c r="Y65" i="13"/>
  <c r="Z65" i="13"/>
  <c r="Y66" i="13"/>
  <c r="Y67" i="13"/>
  <c r="Z66" i="13"/>
  <c r="Y68" i="13"/>
  <c r="Z67" i="13"/>
  <c r="Y69" i="13"/>
  <c r="Z68" i="13"/>
  <c r="Z69" i="13"/>
  <c r="Y70" i="13"/>
  <c r="Y71" i="13"/>
  <c r="Z70" i="13"/>
  <c r="Y72" i="13"/>
  <c r="Z71" i="13"/>
  <c r="Z72" i="13"/>
  <c r="Y73" i="13"/>
  <c r="Z73" i="13"/>
  <c r="Y74" i="13"/>
  <c r="Y75" i="13"/>
  <c r="Z74" i="13"/>
  <c r="Y76" i="13"/>
  <c r="Z75" i="13"/>
  <c r="Y77" i="13"/>
  <c r="Z76" i="13"/>
  <c r="Z77" i="13"/>
  <c r="Y78" i="13"/>
  <c r="Y79" i="13"/>
  <c r="Z78" i="13"/>
  <c r="Y80" i="13"/>
  <c r="Z79" i="13"/>
  <c r="Z80" i="13"/>
  <c r="Y81" i="13"/>
  <c r="Z81" i="13"/>
  <c r="Y82" i="13"/>
  <c r="Y83" i="13"/>
  <c r="Z82" i="13"/>
  <c r="Y84" i="13"/>
  <c r="Z83" i="13"/>
  <c r="Y85" i="13"/>
  <c r="Z84" i="13"/>
  <c r="Z85" i="13"/>
  <c r="Y86" i="13"/>
  <c r="Y87" i="13"/>
  <c r="Z86" i="13"/>
  <c r="Y88" i="13"/>
  <c r="Z87" i="13"/>
  <c r="Z88" i="13"/>
  <c r="Y89" i="13"/>
  <c r="Z89" i="13"/>
  <c r="Y90" i="13"/>
  <c r="Y91" i="13"/>
  <c r="Z90" i="13"/>
  <c r="Y92" i="13"/>
  <c r="Z91" i="13"/>
  <c r="Y93" i="13"/>
  <c r="Z92" i="13"/>
  <c r="Z93" i="13"/>
  <c r="Y94" i="13"/>
  <c r="Z94" i="13"/>
  <c r="Y95" i="13"/>
  <c r="Y96" i="13"/>
  <c r="Z95" i="13"/>
  <c r="Z96" i="13"/>
  <c r="Y97" i="13"/>
  <c r="Z97" i="13"/>
  <c r="Y98" i="13"/>
  <c r="Y99" i="13"/>
  <c r="Z98" i="13"/>
  <c r="Y100" i="13"/>
  <c r="Z99" i="13"/>
  <c r="Y101" i="13"/>
  <c r="Z100" i="13"/>
  <c r="Z101" i="13"/>
  <c r="Y102" i="13"/>
  <c r="Y103" i="13"/>
  <c r="Z102" i="13"/>
  <c r="Y104" i="13"/>
  <c r="Z103" i="13"/>
  <c r="Z104" i="13"/>
  <c r="Y105" i="13"/>
  <c r="Z105" i="13"/>
  <c r="Y106" i="13"/>
  <c r="Y107" i="13"/>
  <c r="Z106" i="13"/>
  <c r="Y108" i="13"/>
  <c r="Z107" i="13"/>
  <c r="Y109" i="13"/>
  <c r="Z108" i="13"/>
  <c r="Z109" i="13"/>
  <c r="Y110" i="13"/>
  <c r="Y111" i="13"/>
  <c r="Z110" i="13"/>
  <c r="Z111" i="13"/>
  <c r="Y112" i="13"/>
  <c r="Y113" i="13"/>
  <c r="Z112" i="13"/>
  <c r="Z113" i="13"/>
  <c r="Y114" i="13"/>
  <c r="Y115" i="13"/>
  <c r="Z114" i="13"/>
  <c r="Y116" i="13"/>
  <c r="Z115" i="13"/>
  <c r="Y117" i="13"/>
  <c r="Z116" i="13"/>
  <c r="Z117" i="13"/>
  <c r="Y118" i="13"/>
  <c r="Y119" i="13"/>
  <c r="Z118" i="13"/>
  <c r="Y120" i="13"/>
  <c r="Z119" i="13"/>
  <c r="Y121" i="13"/>
  <c r="Z120" i="13"/>
  <c r="Z121" i="13"/>
  <c r="Y122" i="13"/>
  <c r="Y123" i="13"/>
  <c r="Z122" i="13"/>
  <c r="Y124" i="13"/>
  <c r="Z123" i="13"/>
  <c r="Z124" i="13"/>
  <c r="Y125" i="13"/>
  <c r="Y126" i="13"/>
  <c r="Z125" i="13"/>
  <c r="Y127" i="13"/>
  <c r="Z126" i="13"/>
  <c r="Y128" i="13"/>
  <c r="Z127" i="13"/>
  <c r="Y129" i="13"/>
  <c r="Z128" i="13"/>
  <c r="Z129" i="13"/>
  <c r="Y130" i="13"/>
  <c r="Y131" i="13"/>
  <c r="Z130" i="13"/>
  <c r="Z131" i="13"/>
  <c r="Y132" i="13"/>
  <c r="Y133" i="13"/>
  <c r="Z132" i="13"/>
  <c r="Z133" i="13"/>
  <c r="Y134" i="13"/>
  <c r="Y135" i="13"/>
  <c r="Z134" i="13"/>
  <c r="Y136" i="13"/>
  <c r="Z135" i="13"/>
  <c r="Y137" i="13"/>
  <c r="Z136" i="13"/>
  <c r="Z137" i="13"/>
  <c r="Y138" i="13"/>
  <c r="Y139" i="13"/>
  <c r="Z138" i="13"/>
  <c r="Y140" i="13"/>
  <c r="Z139" i="13"/>
  <c r="Y141" i="13"/>
  <c r="Z140" i="13"/>
  <c r="Z141" i="13"/>
  <c r="Y142" i="13"/>
  <c r="Y143" i="13"/>
  <c r="Z142" i="13"/>
  <c r="Y144" i="13"/>
  <c r="Z143" i="13"/>
  <c r="Y145" i="13"/>
  <c r="Z144" i="13"/>
  <c r="Z145" i="13"/>
  <c r="Y146" i="13"/>
  <c r="Y147" i="13"/>
  <c r="Z146" i="13"/>
  <c r="Z147" i="13"/>
  <c r="Y148" i="13"/>
  <c r="Y149" i="13"/>
  <c r="Z148" i="13"/>
  <c r="Z149" i="13"/>
  <c r="Y150" i="13"/>
  <c r="Y151" i="13"/>
  <c r="Z150" i="13"/>
  <c r="Y152" i="13"/>
  <c r="Z151" i="13"/>
  <c r="Y153" i="13"/>
  <c r="Z152" i="13"/>
  <c r="Z153" i="13"/>
  <c r="Y154" i="13"/>
  <c r="Y155" i="13"/>
  <c r="Z154" i="13"/>
  <c r="Y156" i="13"/>
  <c r="Z155" i="13"/>
  <c r="Z156" i="13"/>
  <c r="Y157" i="13"/>
  <c r="Z157" i="13"/>
  <c r="Y158" i="13"/>
  <c r="Y159" i="13"/>
  <c r="Z158" i="13"/>
  <c r="Y160" i="13"/>
  <c r="Z159" i="13"/>
  <c r="Y161" i="13"/>
  <c r="Z160" i="13"/>
  <c r="Z161" i="13"/>
  <c r="Y162" i="13"/>
  <c r="Y163" i="13"/>
  <c r="Z162" i="13"/>
  <c r="Z163" i="13"/>
  <c r="Y164" i="13"/>
  <c r="Y165" i="13"/>
  <c r="Z164" i="13"/>
  <c r="Z165" i="13"/>
  <c r="Y166" i="13"/>
  <c r="Y167" i="13"/>
  <c r="Z166" i="13"/>
  <c r="Z167" i="13"/>
  <c r="Y168" i="13"/>
  <c r="Y169" i="13"/>
  <c r="Z168" i="13"/>
  <c r="Z169" i="13"/>
  <c r="Y170" i="13"/>
  <c r="Y171" i="13"/>
  <c r="Z170" i="13"/>
  <c r="Y172" i="13"/>
  <c r="Z171" i="13"/>
  <c r="Y173" i="13"/>
  <c r="Z172" i="13"/>
  <c r="Z173" i="13"/>
  <c r="Y174" i="13"/>
  <c r="Y175" i="13"/>
  <c r="Z174" i="13"/>
  <c r="Z175" i="13"/>
  <c r="Y176" i="13"/>
  <c r="Y177" i="13"/>
  <c r="Z176" i="13"/>
  <c r="Z177" i="13"/>
  <c r="Y178" i="13"/>
  <c r="Y179" i="13"/>
  <c r="Z178" i="13"/>
  <c r="Y180" i="13"/>
  <c r="Z179" i="13"/>
  <c r="Y181" i="13"/>
  <c r="Z180" i="13"/>
  <c r="Z181" i="13"/>
  <c r="Y182" i="13"/>
  <c r="Y183" i="13"/>
  <c r="Z182" i="13"/>
  <c r="Y184" i="13"/>
  <c r="Z183" i="13"/>
  <c r="Y185" i="13"/>
  <c r="Z184" i="13"/>
  <c r="Z185" i="13"/>
  <c r="Y186" i="13"/>
  <c r="Y187" i="13"/>
  <c r="Z186" i="13"/>
  <c r="Y188" i="13"/>
  <c r="Z187" i="13"/>
  <c r="Z188" i="13"/>
  <c r="Y189" i="13"/>
  <c r="Y190" i="13"/>
  <c r="Z189" i="13"/>
  <c r="Y191" i="13"/>
  <c r="Z190" i="13"/>
  <c r="Y192" i="13"/>
  <c r="Z191" i="13"/>
  <c r="Y193" i="13"/>
  <c r="Z192" i="13"/>
  <c r="Z193" i="13"/>
  <c r="Y194" i="13"/>
  <c r="Y195" i="13"/>
  <c r="Z194" i="13"/>
  <c r="Z195" i="13"/>
  <c r="Y196" i="13"/>
  <c r="Y197" i="13"/>
  <c r="Z196" i="13"/>
  <c r="Z197" i="13"/>
  <c r="Y198" i="13"/>
  <c r="Y199" i="13"/>
  <c r="Z198" i="13"/>
  <c r="Y200" i="13"/>
  <c r="Z199" i="13"/>
  <c r="Z200" i="13"/>
  <c r="Y201" i="13"/>
  <c r="Z201" i="13"/>
  <c r="Y202" i="13"/>
  <c r="Y203" i="13"/>
  <c r="Z202" i="13"/>
  <c r="Y204" i="13"/>
  <c r="Z203" i="13"/>
  <c r="Y205" i="13"/>
  <c r="Z204" i="13"/>
  <c r="Z205" i="13"/>
  <c r="Y206" i="13"/>
  <c r="Y207" i="13"/>
  <c r="Z206" i="13"/>
  <c r="Y208" i="13"/>
  <c r="Z207" i="13"/>
  <c r="Y209" i="13"/>
  <c r="Z208" i="13"/>
  <c r="Z209" i="13"/>
  <c r="Y210" i="13"/>
  <c r="Y211" i="13"/>
  <c r="Z210" i="13"/>
  <c r="Z211" i="13"/>
  <c r="Y212" i="13"/>
  <c r="Y213" i="13"/>
  <c r="Z212" i="13"/>
  <c r="Z213" i="13"/>
  <c r="Y214" i="13"/>
  <c r="Y215" i="13"/>
  <c r="Z214" i="13"/>
  <c r="Y216" i="13"/>
  <c r="Z215" i="13"/>
  <c r="Y217" i="13"/>
  <c r="Z216" i="13"/>
  <c r="Z217" i="13"/>
  <c r="Y218" i="13"/>
  <c r="Y219" i="13"/>
  <c r="Z218" i="13"/>
  <c r="Y220" i="13"/>
  <c r="Z219" i="13"/>
  <c r="Z220" i="13"/>
  <c r="Y221" i="13"/>
  <c r="Z221" i="13"/>
  <c r="Y222" i="13"/>
  <c r="Y223" i="13"/>
  <c r="Z222" i="13"/>
  <c r="Y224" i="13"/>
  <c r="Z223" i="13"/>
  <c r="Y225" i="13"/>
  <c r="Z224" i="13"/>
  <c r="Z225" i="13"/>
  <c r="Y226" i="13"/>
  <c r="Y227" i="13"/>
  <c r="Z226" i="13"/>
  <c r="Z227" i="13"/>
  <c r="Y228" i="13"/>
  <c r="Y229" i="13"/>
  <c r="Z228" i="13"/>
  <c r="Z229" i="13"/>
  <c r="Y230" i="13"/>
  <c r="Y231" i="13"/>
  <c r="Z230" i="13"/>
  <c r="Z231" i="13"/>
  <c r="Y232" i="13"/>
  <c r="Y233" i="13"/>
  <c r="Z232" i="13"/>
  <c r="Z233" i="13"/>
  <c r="Y234" i="13"/>
  <c r="Y235" i="13"/>
  <c r="Z234" i="13"/>
  <c r="Y236" i="13"/>
  <c r="Z235" i="13"/>
  <c r="Y237" i="13"/>
  <c r="Z236" i="13"/>
  <c r="Z237" i="13"/>
  <c r="Y238" i="13"/>
  <c r="Y239" i="13"/>
  <c r="Z238" i="13"/>
  <c r="Z239" i="13"/>
  <c r="Y240" i="13"/>
  <c r="Y241" i="13"/>
  <c r="Z240" i="13"/>
  <c r="Z241" i="13"/>
  <c r="Y242" i="13"/>
  <c r="Y243" i="13"/>
  <c r="Z242" i="13"/>
  <c r="Y244" i="13"/>
  <c r="Z243" i="13"/>
  <c r="Y245" i="13"/>
  <c r="Z244" i="13"/>
  <c r="Z245" i="13"/>
  <c r="Y246" i="13"/>
  <c r="Y247" i="13"/>
  <c r="Z246" i="13"/>
  <c r="Y248" i="13"/>
  <c r="Z247" i="13"/>
  <c r="Y249" i="13"/>
  <c r="Z248" i="13"/>
  <c r="Z249" i="13"/>
  <c r="Y250" i="13"/>
  <c r="Y251" i="13"/>
  <c r="Z250" i="13"/>
  <c r="Y252" i="13"/>
  <c r="Z251" i="13"/>
  <c r="Z252" i="13"/>
  <c r="Y253" i="13"/>
  <c r="Y254" i="13"/>
  <c r="Z253" i="13"/>
  <c r="Y255" i="13"/>
  <c r="Z254" i="13"/>
  <c r="Y256" i="13"/>
  <c r="Z255" i="13"/>
  <c r="Y257" i="13"/>
  <c r="Z256" i="13"/>
  <c r="Z257" i="13"/>
  <c r="Y258" i="13"/>
  <c r="Y259" i="13"/>
  <c r="Z258" i="13"/>
  <c r="Z259" i="13"/>
  <c r="Y260" i="13"/>
  <c r="Y261" i="13"/>
  <c r="Z260" i="13"/>
  <c r="Z261" i="13"/>
  <c r="Y262" i="13"/>
  <c r="Y263" i="13"/>
  <c r="Z262" i="13"/>
  <c r="Y264" i="13"/>
  <c r="Z263" i="13"/>
  <c r="Z264" i="13"/>
  <c r="Y265" i="13"/>
  <c r="Z265" i="13"/>
  <c r="Y266" i="13"/>
  <c r="Y267" i="13"/>
  <c r="Z266" i="13"/>
  <c r="Y268" i="13"/>
  <c r="Z267" i="13"/>
  <c r="Y269" i="13"/>
  <c r="Z268" i="13"/>
  <c r="Z269" i="13"/>
  <c r="Y270" i="13"/>
  <c r="Y271" i="13"/>
  <c r="Z270" i="13"/>
  <c r="Y272" i="13"/>
  <c r="Z271" i="13"/>
  <c r="Y273" i="13"/>
  <c r="Z272" i="13"/>
  <c r="Z273" i="13"/>
  <c r="Y274" i="13"/>
  <c r="Y275" i="13"/>
  <c r="Z274" i="13"/>
  <c r="Z275" i="13"/>
  <c r="Y276" i="13"/>
  <c r="Y277" i="13"/>
  <c r="Z276" i="13"/>
  <c r="Z277" i="13"/>
  <c r="Y278" i="13"/>
  <c r="Y279" i="13"/>
  <c r="Z278" i="13"/>
  <c r="Y280" i="13"/>
  <c r="Z279" i="13"/>
  <c r="Y281" i="13"/>
  <c r="Z280" i="13"/>
  <c r="Z281" i="13"/>
  <c r="Y282" i="13"/>
  <c r="Y283" i="13"/>
  <c r="Z282" i="13"/>
  <c r="Y284" i="13"/>
  <c r="Z283" i="13"/>
  <c r="Z284" i="13"/>
  <c r="Y285" i="13"/>
  <c r="Z285" i="13"/>
  <c r="Y286" i="13"/>
  <c r="Y287" i="13"/>
  <c r="Z286" i="13"/>
  <c r="Y288" i="13"/>
  <c r="Z287" i="13"/>
  <c r="Y289" i="13"/>
  <c r="Z288" i="13"/>
  <c r="Z289" i="13"/>
  <c r="Y290" i="13"/>
  <c r="Y291" i="13"/>
  <c r="Z290" i="13"/>
  <c r="Z291" i="13"/>
  <c r="Y292" i="13"/>
  <c r="Y293" i="13"/>
  <c r="Z292" i="13"/>
  <c r="Z293" i="13"/>
  <c r="Y294" i="13"/>
  <c r="Y295" i="13"/>
  <c r="Z294" i="13"/>
  <c r="Z295" i="13"/>
  <c r="Y296" i="13"/>
  <c r="Y297" i="13"/>
  <c r="Z296" i="13"/>
  <c r="Z297" i="13"/>
  <c r="Y298" i="13"/>
  <c r="Y299" i="13"/>
  <c r="Z298" i="13"/>
  <c r="Y300" i="13"/>
  <c r="Z299" i="13"/>
  <c r="Z300" i="13"/>
  <c r="Y301" i="13"/>
  <c r="Z301" i="13"/>
  <c r="Y302" i="13"/>
  <c r="Y303" i="13"/>
  <c r="Z302" i="13"/>
  <c r="Y304" i="13"/>
  <c r="Z303" i="13"/>
  <c r="Y305" i="13"/>
  <c r="Z304" i="13"/>
  <c r="Z305" i="13"/>
  <c r="Y306" i="13"/>
  <c r="Y307" i="13"/>
  <c r="Z306" i="13"/>
  <c r="Y308" i="13"/>
  <c r="Z307" i="13"/>
  <c r="Y309" i="13"/>
  <c r="Z308" i="13"/>
  <c r="Z309" i="13"/>
  <c r="Y310" i="13"/>
  <c r="Y311" i="13"/>
  <c r="Z310" i="13"/>
  <c r="Y312" i="13"/>
  <c r="Z311" i="13"/>
  <c r="Y313" i="13"/>
  <c r="Z312" i="13"/>
  <c r="Z313" i="13"/>
  <c r="Y314" i="13"/>
  <c r="Y315" i="13"/>
  <c r="Z314" i="13"/>
  <c r="Y316" i="13"/>
  <c r="Z315" i="13"/>
  <c r="Y317" i="13"/>
  <c r="Z316" i="13"/>
  <c r="Z317" i="13"/>
  <c r="Y318" i="13"/>
  <c r="Y319" i="13"/>
  <c r="Z318" i="13"/>
  <c r="Y320" i="13"/>
  <c r="Z319" i="13"/>
  <c r="Z320" i="13"/>
  <c r="Y321" i="13"/>
  <c r="Z321" i="13"/>
  <c r="Y322" i="13"/>
  <c r="Y323" i="13"/>
  <c r="Z322" i="13"/>
  <c r="Z323" i="13"/>
  <c r="Y324" i="13"/>
  <c r="Y325" i="13"/>
  <c r="Z324" i="13"/>
  <c r="Z325" i="13"/>
  <c r="Y326" i="13"/>
  <c r="Y327" i="13"/>
  <c r="Z326" i="13"/>
  <c r="Y328" i="13"/>
  <c r="Z327" i="13"/>
  <c r="Z328" i="13"/>
  <c r="Y329" i="13"/>
  <c r="Z329" i="13"/>
  <c r="Y330" i="13"/>
  <c r="Y331" i="13"/>
  <c r="Z330" i="13"/>
  <c r="Z331" i="13"/>
  <c r="Y332" i="13"/>
  <c r="Y333" i="13"/>
  <c r="Z332" i="13"/>
  <c r="Z333" i="13"/>
  <c r="Y334" i="13"/>
  <c r="Y335" i="13"/>
  <c r="Z334" i="13"/>
  <c r="Y336" i="13"/>
  <c r="Z335" i="13"/>
  <c r="Y337" i="13"/>
  <c r="Z336" i="13"/>
  <c r="Z337" i="13"/>
  <c r="Y338" i="13"/>
  <c r="Y339" i="13"/>
  <c r="Z338" i="13"/>
  <c r="Y340" i="13"/>
  <c r="Z339" i="13"/>
  <c r="Z340" i="13"/>
  <c r="Y341" i="13"/>
  <c r="Z341" i="13"/>
  <c r="Y342" i="13"/>
  <c r="Y343" i="13"/>
  <c r="Z342" i="13"/>
  <c r="Y344" i="13"/>
  <c r="Z343" i="13"/>
  <c r="Y345" i="13"/>
  <c r="Z344" i="13"/>
  <c r="Z345" i="13"/>
  <c r="Y346" i="13"/>
  <c r="Y347" i="13"/>
  <c r="Z346" i="13"/>
  <c r="Y348" i="13"/>
  <c r="Z347" i="13"/>
  <c r="Z348" i="13"/>
  <c r="Y349" i="13"/>
  <c r="Y350" i="13"/>
  <c r="Z349" i="13"/>
  <c r="Y351" i="13"/>
  <c r="Z350" i="13"/>
  <c r="Y352" i="13"/>
  <c r="Z351" i="13"/>
  <c r="Y353" i="13"/>
  <c r="Z352" i="13"/>
  <c r="Z353" i="13"/>
  <c r="Y354" i="13"/>
  <c r="Y355" i="13"/>
  <c r="Z354" i="13"/>
  <c r="Z355" i="13"/>
  <c r="Y356" i="13"/>
  <c r="Y357" i="13"/>
  <c r="Z356" i="13"/>
  <c r="Z357" i="13"/>
  <c r="Y358" i="13"/>
  <c r="Y359" i="13"/>
  <c r="Z358" i="13"/>
  <c r="Y360" i="13"/>
  <c r="Z359" i="13"/>
  <c r="Z360" i="13"/>
  <c r="Y361" i="13"/>
  <c r="Z361" i="13"/>
  <c r="Y362" i="13"/>
  <c r="Y363" i="13"/>
  <c r="Z362" i="13"/>
  <c r="Y364" i="13"/>
  <c r="Z363" i="13"/>
  <c r="Y365" i="13"/>
  <c r="Z364" i="13"/>
  <c r="Z365" i="13"/>
  <c r="Y366" i="13"/>
  <c r="Y367" i="13"/>
  <c r="Z366" i="13"/>
  <c r="Y368" i="13"/>
  <c r="Z367" i="13"/>
  <c r="Y369" i="13"/>
  <c r="Z368" i="13"/>
  <c r="Z369" i="13"/>
  <c r="Y370" i="13"/>
  <c r="Y371" i="13"/>
  <c r="Z370" i="13"/>
  <c r="Z371" i="13"/>
  <c r="Y372" i="13"/>
  <c r="Y373" i="13"/>
  <c r="Z372" i="13"/>
  <c r="Z373" i="13"/>
  <c r="Y374" i="13"/>
  <c r="Y375" i="13"/>
  <c r="Z374" i="13"/>
  <c r="Y376" i="13"/>
  <c r="Z375" i="13"/>
  <c r="Y377" i="13"/>
  <c r="Z376" i="13"/>
  <c r="Z377" i="13"/>
  <c r="Y378" i="13"/>
  <c r="Y379" i="13"/>
  <c r="Z378" i="13"/>
  <c r="Y380" i="13"/>
  <c r="Z379" i="13"/>
  <c r="Z380" i="13"/>
  <c r="Y381" i="13"/>
  <c r="Z381" i="13"/>
  <c r="Y382" i="13"/>
  <c r="Z382" i="13"/>
  <c r="Y383" i="13"/>
  <c r="Y384" i="13"/>
  <c r="Z383" i="13"/>
  <c r="Y385" i="13"/>
  <c r="Z384" i="13"/>
  <c r="Z385" i="13"/>
  <c r="Y386" i="13"/>
  <c r="Y387" i="13"/>
  <c r="Z386" i="13"/>
  <c r="Z387" i="13"/>
  <c r="Y388" i="13"/>
  <c r="Y389" i="13"/>
  <c r="Z388" i="13"/>
  <c r="Z389" i="13"/>
  <c r="Y390" i="13"/>
  <c r="Y391" i="13"/>
  <c r="Z390" i="13"/>
  <c r="Z391" i="13"/>
  <c r="Y392" i="13"/>
  <c r="Y393" i="13"/>
  <c r="Z392" i="13"/>
  <c r="Z393" i="13"/>
  <c r="Y394" i="13"/>
  <c r="Y395" i="13"/>
  <c r="Z394" i="13"/>
  <c r="Y396" i="13"/>
  <c r="Z395" i="13"/>
  <c r="Y397" i="13"/>
  <c r="Z396" i="13"/>
  <c r="Z397" i="13"/>
  <c r="Y398" i="13"/>
  <c r="Y399" i="13"/>
  <c r="Z398" i="13"/>
  <c r="Y400" i="13"/>
  <c r="Z399" i="13"/>
  <c r="Z400" i="13"/>
  <c r="Y401" i="13"/>
  <c r="Y402" i="13"/>
  <c r="Z401" i="13"/>
  <c r="Y403" i="13"/>
  <c r="Z402" i="13"/>
  <c r="Y404" i="13"/>
  <c r="Z403" i="13"/>
  <c r="Z404" i="13"/>
  <c r="Y405" i="13"/>
  <c r="Y406" i="13"/>
  <c r="Z405" i="13"/>
  <c r="Z406" i="13"/>
  <c r="Y407" i="13"/>
  <c r="Y408" i="13"/>
  <c r="Z407" i="13"/>
  <c r="Z408" i="13"/>
  <c r="Y409" i="13"/>
  <c r="Y410" i="13"/>
  <c r="Z409" i="13"/>
  <c r="Y411" i="13"/>
  <c r="Z410" i="13"/>
  <c r="Z411" i="13"/>
  <c r="Y412" i="13"/>
  <c r="Z412" i="13"/>
  <c r="Y413" i="13"/>
  <c r="Y414" i="13"/>
  <c r="Z413" i="13"/>
  <c r="Z414" i="13"/>
  <c r="Y415" i="13"/>
  <c r="Y416" i="13"/>
  <c r="Z415" i="13"/>
  <c r="Z416" i="13"/>
  <c r="Y417" i="13"/>
  <c r="Y418" i="13"/>
  <c r="Z417" i="13"/>
  <c r="Y419" i="13"/>
  <c r="Z418" i="13"/>
  <c r="Y420" i="13"/>
  <c r="Z419" i="13"/>
  <c r="Z420" i="13"/>
  <c r="Y421" i="13"/>
  <c r="Y422" i="13"/>
  <c r="Z421" i="13"/>
  <c r="Y423" i="13"/>
  <c r="Z422" i="13"/>
  <c r="Y424" i="13"/>
  <c r="Z423" i="13"/>
  <c r="Z424" i="13"/>
  <c r="Y425" i="13"/>
  <c r="Y426" i="13"/>
  <c r="Z425" i="13"/>
  <c r="Y427" i="13"/>
  <c r="Z426" i="13"/>
  <c r="Y428" i="13"/>
  <c r="Z427" i="13"/>
  <c r="Z428" i="13"/>
  <c r="Y429" i="13"/>
  <c r="Y430" i="13"/>
  <c r="Z429" i="13"/>
  <c r="Z430" i="13"/>
  <c r="Y431" i="13"/>
  <c r="Y432" i="13"/>
  <c r="Z431" i="13"/>
  <c r="Z432" i="13"/>
  <c r="Y433" i="13"/>
  <c r="Y434" i="13"/>
  <c r="Z433" i="13"/>
  <c r="Y435" i="13"/>
  <c r="Z434" i="13"/>
  <c r="Y436" i="13"/>
  <c r="Z435" i="13"/>
  <c r="Z436" i="13"/>
  <c r="Y437" i="13"/>
  <c r="Y438" i="13"/>
  <c r="Z437" i="13"/>
  <c r="Y439" i="13"/>
  <c r="Z438" i="13"/>
  <c r="Y440" i="13"/>
  <c r="Z439" i="13"/>
  <c r="Z440" i="13"/>
  <c r="Y441" i="13"/>
  <c r="Y442" i="13"/>
  <c r="Z441" i="13"/>
  <c r="Z442" i="13"/>
  <c r="Y443" i="13"/>
  <c r="Z443" i="13"/>
  <c r="Y444" i="13"/>
  <c r="Z444" i="13"/>
  <c r="Y445" i="13"/>
  <c r="Y446" i="13"/>
  <c r="Z445" i="13"/>
  <c r="Y447" i="13"/>
  <c r="Z446" i="13"/>
  <c r="Y448" i="13"/>
  <c r="Z447" i="13"/>
  <c r="Z448" i="13"/>
  <c r="Y449" i="13"/>
  <c r="Y450" i="13"/>
  <c r="Z449" i="13"/>
  <c r="Z450" i="13"/>
  <c r="Y451" i="13"/>
  <c r="Y452" i="13"/>
  <c r="Z451" i="13"/>
  <c r="Z452" i="13"/>
  <c r="Y453" i="13"/>
  <c r="Y454" i="13"/>
  <c r="Z453" i="13"/>
  <c r="Z454" i="13"/>
  <c r="Y455" i="13"/>
  <c r="Y456" i="13"/>
  <c r="Z455" i="13"/>
  <c r="Z456" i="13"/>
  <c r="Y457" i="13"/>
  <c r="Y458" i="13"/>
  <c r="Z457" i="13"/>
  <c r="Y459" i="13"/>
  <c r="Z458" i="13"/>
  <c r="Y460" i="13"/>
  <c r="Z459" i="13"/>
  <c r="Z460" i="13"/>
  <c r="Y461" i="13"/>
  <c r="Y462" i="13"/>
  <c r="Z461" i="13"/>
  <c r="Z462" i="13"/>
  <c r="Y463" i="13"/>
  <c r="Y464" i="13"/>
  <c r="Z463" i="13"/>
  <c r="Z464" i="13"/>
  <c r="Y465" i="13"/>
  <c r="Y466" i="13"/>
  <c r="Z465" i="13"/>
  <c r="Y467" i="13"/>
  <c r="Z466" i="13"/>
  <c r="Y468" i="13"/>
  <c r="Z467" i="13"/>
  <c r="Z468" i="13"/>
  <c r="Y469" i="13"/>
  <c r="Y470" i="13"/>
  <c r="Z469" i="13"/>
  <c r="Y471" i="13"/>
  <c r="Z470" i="13"/>
  <c r="Y472" i="13"/>
  <c r="Z471" i="13"/>
  <c r="Z472" i="13"/>
  <c r="Y473" i="13"/>
  <c r="Y474" i="13"/>
  <c r="Z473" i="13"/>
  <c r="Y475" i="13"/>
  <c r="Z474" i="13"/>
  <c r="Z475" i="13"/>
  <c r="Y476" i="13"/>
  <c r="Z476" i="13"/>
  <c r="Y477" i="13"/>
  <c r="Y478" i="13"/>
  <c r="Z477" i="13"/>
  <c r="Y479" i="13"/>
  <c r="Z478" i="13"/>
  <c r="Y480" i="13"/>
  <c r="Z479" i="13"/>
  <c r="Z480" i="13"/>
  <c r="Y481" i="13"/>
  <c r="Y482" i="13"/>
  <c r="Z481" i="13"/>
  <c r="Z482" i="13"/>
  <c r="Y483" i="13"/>
  <c r="Y484" i="13"/>
  <c r="Z483" i="13"/>
  <c r="Z484" i="13"/>
  <c r="Y485" i="13"/>
  <c r="Y486" i="13"/>
  <c r="Z485" i="13"/>
  <c r="Z486" i="13"/>
  <c r="Y487" i="13"/>
  <c r="Y488" i="13"/>
  <c r="Z487" i="13"/>
  <c r="Z488" i="13"/>
  <c r="Y489" i="13"/>
  <c r="Y490" i="13"/>
  <c r="Z489" i="13"/>
  <c r="Y491" i="13"/>
  <c r="Z490" i="13"/>
  <c r="Y492" i="13"/>
  <c r="Z491" i="13"/>
  <c r="Z492" i="13"/>
  <c r="Y493" i="13"/>
  <c r="Y494" i="13"/>
  <c r="Z493" i="13"/>
  <c r="Y495" i="13"/>
  <c r="Z494" i="13"/>
  <c r="Y496" i="13"/>
  <c r="Z495" i="13"/>
  <c r="Z496" i="13"/>
  <c r="Y497" i="13"/>
  <c r="Y498" i="13"/>
  <c r="Z497" i="13"/>
  <c r="Y499" i="13"/>
  <c r="Z498" i="13"/>
  <c r="Y500" i="13"/>
  <c r="Z499" i="13"/>
  <c r="Z500" i="13"/>
  <c r="Y501" i="13"/>
  <c r="Y502" i="13"/>
  <c r="Z501" i="13"/>
  <c r="Y503" i="13"/>
  <c r="Z502" i="13"/>
  <c r="Y504" i="13"/>
  <c r="Z503" i="13"/>
  <c r="Z504" i="13"/>
  <c r="Y505" i="13"/>
  <c r="Y506" i="13"/>
  <c r="Z505" i="13"/>
  <c r="Y507" i="13"/>
  <c r="Z506" i="13"/>
  <c r="Z507" i="13"/>
  <c r="Y508" i="13"/>
  <c r="Z508" i="13"/>
  <c r="Y509" i="13"/>
  <c r="Y510" i="13"/>
  <c r="Z509" i="13"/>
  <c r="Y511" i="13"/>
  <c r="Z510" i="13"/>
  <c r="Y512" i="13"/>
  <c r="Z511" i="13"/>
  <c r="Z512" i="13"/>
  <c r="Y513" i="13"/>
  <c r="Y514" i="13"/>
  <c r="Z513" i="13"/>
  <c r="Z514" i="13"/>
  <c r="Y515" i="13"/>
  <c r="Y516" i="13"/>
  <c r="Z515" i="13"/>
  <c r="Z516" i="13"/>
  <c r="Y517" i="13"/>
  <c r="Y518" i="13"/>
  <c r="Z517" i="13"/>
  <c r="Z518" i="13"/>
  <c r="Y519" i="13"/>
  <c r="Y520" i="13"/>
  <c r="Z519" i="13"/>
  <c r="Z520" i="13"/>
  <c r="Y521" i="13"/>
  <c r="Y522" i="13"/>
  <c r="Z521" i="13"/>
  <c r="Y523" i="13"/>
  <c r="Z522" i="13"/>
  <c r="Z523" i="13"/>
  <c r="Y524" i="13"/>
  <c r="Z524" i="13"/>
  <c r="Y525" i="13"/>
  <c r="Y526" i="13"/>
  <c r="Z525" i="13"/>
  <c r="Z526" i="13"/>
  <c r="Y527" i="13"/>
  <c r="Y528" i="13"/>
  <c r="Z527" i="13"/>
  <c r="Z528" i="13"/>
  <c r="Y529" i="13"/>
  <c r="Y530" i="13"/>
  <c r="Z529" i="13"/>
  <c r="Y531" i="13"/>
  <c r="Z530" i="13"/>
  <c r="Z531" i="13"/>
  <c r="Y532" i="13"/>
  <c r="Z532" i="13"/>
  <c r="Y533" i="13"/>
  <c r="Y534" i="13"/>
  <c r="Z533" i="13"/>
  <c r="Y535" i="13"/>
  <c r="Z534" i="13"/>
  <c r="Y536" i="13"/>
  <c r="Z535" i="13"/>
  <c r="Z536" i="13"/>
  <c r="Y537" i="13"/>
  <c r="Y538" i="13"/>
  <c r="Z537" i="13"/>
  <c r="Y539" i="13"/>
  <c r="Z538" i="13"/>
  <c r="Y540" i="13"/>
  <c r="Z539" i="13"/>
  <c r="Z540" i="13"/>
  <c r="Y541" i="13"/>
  <c r="Y542" i="13"/>
  <c r="Z541" i="13"/>
  <c r="Z542" i="13"/>
  <c r="Y543" i="13"/>
  <c r="Y544" i="13"/>
  <c r="Z543" i="13"/>
  <c r="Z544" i="13"/>
  <c r="Y545" i="13"/>
  <c r="Y546" i="13"/>
  <c r="Z545" i="13"/>
  <c r="Y547" i="13"/>
  <c r="Z546" i="13"/>
  <c r="Z547" i="13"/>
  <c r="Y548" i="13"/>
  <c r="Z548" i="13"/>
  <c r="Y549" i="13"/>
  <c r="Y550" i="13"/>
  <c r="Z549" i="13"/>
  <c r="Y551" i="13"/>
  <c r="Z550" i="13"/>
  <c r="Y552" i="13"/>
  <c r="Z551" i="13"/>
  <c r="Z552" i="13"/>
  <c r="Y553" i="13"/>
  <c r="Y554" i="13"/>
  <c r="Z553" i="13"/>
  <c r="Y555" i="13"/>
  <c r="Z554" i="13"/>
  <c r="Y556" i="13"/>
  <c r="Z555" i="13"/>
  <c r="Z556" i="13"/>
  <c r="Y557" i="13"/>
  <c r="Y558" i="13"/>
  <c r="Z557" i="13"/>
  <c r="Z558" i="13"/>
  <c r="Y559" i="13"/>
  <c r="Y560" i="13"/>
  <c r="Z559" i="13"/>
  <c r="Z560" i="13"/>
  <c r="Y561" i="13"/>
  <c r="Y562" i="13"/>
  <c r="Z561" i="13"/>
  <c r="Y563" i="13"/>
  <c r="Z562" i="13"/>
  <c r="Z563" i="13"/>
  <c r="Y564" i="13"/>
  <c r="Z564" i="13"/>
  <c r="Y565" i="13"/>
  <c r="Y566" i="13"/>
  <c r="Z565" i="13"/>
  <c r="Y567" i="13"/>
  <c r="Z566" i="13"/>
  <c r="Y568" i="13"/>
  <c r="Z567" i="13"/>
  <c r="Z568" i="13"/>
  <c r="Y569" i="13"/>
  <c r="Y570" i="13"/>
  <c r="Z569" i="13"/>
  <c r="Y571" i="13"/>
  <c r="Z570" i="13"/>
  <c r="Y572" i="13"/>
  <c r="Z571" i="13"/>
  <c r="Z572" i="13"/>
  <c r="Y573" i="13"/>
  <c r="Y574" i="13"/>
  <c r="Z573" i="13"/>
  <c r="Z574" i="13"/>
  <c r="Y575" i="13"/>
  <c r="Y576" i="13"/>
  <c r="Z575" i="13"/>
  <c r="Z576" i="13"/>
  <c r="Y577" i="13"/>
  <c r="Y578" i="13"/>
  <c r="Z577" i="13"/>
  <c r="Y579" i="13"/>
  <c r="Z578" i="13"/>
  <c r="Z579" i="13"/>
  <c r="Y580" i="13"/>
  <c r="Z580" i="13"/>
  <c r="Y581" i="13"/>
  <c r="Y582" i="13"/>
  <c r="Z581" i="13"/>
  <c r="Z582" i="13"/>
  <c r="Y583" i="13"/>
  <c r="Z583" i="13"/>
  <c r="Y584" i="13"/>
  <c r="Z584" i="13"/>
  <c r="Y585" i="13"/>
  <c r="Y586" i="13"/>
  <c r="Z585" i="13"/>
  <c r="Y587" i="13"/>
  <c r="Z586" i="13"/>
  <c r="Y588" i="13"/>
  <c r="Z587" i="13"/>
  <c r="Z588" i="13"/>
  <c r="Y589" i="13"/>
  <c r="Y590" i="13"/>
  <c r="Z589" i="13"/>
  <c r="Z590" i="13"/>
  <c r="Y591" i="13"/>
  <c r="Y592" i="13"/>
  <c r="Z591" i="13"/>
  <c r="Z592" i="13"/>
  <c r="Y593" i="13"/>
  <c r="Y594" i="13"/>
  <c r="Z593" i="13"/>
  <c r="Y595" i="13"/>
  <c r="Z594" i="13"/>
  <c r="Z595" i="13"/>
  <c r="Y596" i="13"/>
  <c r="Z596" i="13"/>
  <c r="Y597" i="13"/>
  <c r="Y598" i="13"/>
  <c r="Z597" i="13"/>
  <c r="Z598" i="13"/>
  <c r="Y599" i="13"/>
  <c r="Y600" i="13"/>
  <c r="Z599" i="13"/>
  <c r="Z600" i="13"/>
  <c r="Y601" i="13"/>
  <c r="Y602" i="13"/>
  <c r="Z601" i="13"/>
  <c r="Y603" i="13"/>
  <c r="Z602" i="13"/>
  <c r="Y604" i="13"/>
  <c r="Z603" i="13"/>
  <c r="Z604" i="13"/>
  <c r="Y605" i="13"/>
  <c r="Y606" i="13"/>
  <c r="Z605" i="13"/>
  <c r="Z606" i="13"/>
  <c r="Y607" i="13"/>
  <c r="Y608" i="13"/>
  <c r="Z607" i="13"/>
  <c r="Z608" i="13"/>
  <c r="Y609" i="13"/>
  <c r="Y610" i="13"/>
  <c r="Z609" i="13"/>
  <c r="Y611" i="13"/>
  <c r="Z610" i="13"/>
  <c r="Z611" i="13"/>
  <c r="Y612" i="13"/>
  <c r="Z612" i="13"/>
  <c r="Y613" i="13"/>
  <c r="Y614" i="13"/>
  <c r="Z613" i="13"/>
  <c r="Z614" i="13"/>
  <c r="Y615" i="13"/>
  <c r="Y616" i="13"/>
  <c r="Z615" i="13"/>
  <c r="Z616" i="13"/>
  <c r="Y617" i="13"/>
  <c r="Y618" i="13"/>
  <c r="Z617" i="13"/>
  <c r="Y619" i="13"/>
  <c r="Z618" i="13"/>
  <c r="Y620" i="13"/>
  <c r="Z619" i="13"/>
  <c r="Z620" i="13"/>
  <c r="Y621" i="13"/>
  <c r="Y622" i="13"/>
  <c r="Z621" i="13"/>
  <c r="Z622" i="13"/>
  <c r="Y623" i="13"/>
  <c r="Y624" i="13"/>
  <c r="Z623" i="13"/>
  <c r="Z624" i="13"/>
  <c r="Y625" i="13"/>
  <c r="Y626" i="13"/>
  <c r="Z625" i="13"/>
  <c r="Z626" i="13"/>
  <c r="Y627" i="13"/>
  <c r="Z627" i="13"/>
  <c r="Y628" i="13"/>
  <c r="Z628" i="13"/>
  <c r="Y629" i="13"/>
  <c r="Y630" i="13"/>
  <c r="Z629" i="13"/>
  <c r="Y631" i="13"/>
  <c r="Z630" i="13"/>
  <c r="Y632" i="13"/>
  <c r="Z631" i="13"/>
  <c r="Z632" i="13"/>
  <c r="Y633" i="13"/>
  <c r="Y634" i="13"/>
  <c r="Z633" i="13"/>
  <c r="Y635" i="13"/>
  <c r="Z634" i="13"/>
  <c r="Z635" i="13"/>
  <c r="Y636" i="13"/>
  <c r="Z636" i="13"/>
  <c r="Y637" i="13"/>
  <c r="Y638" i="13"/>
  <c r="Z637" i="13"/>
  <c r="Z638" i="13"/>
  <c r="Y639" i="13"/>
  <c r="Y640" i="13"/>
  <c r="Z639" i="13"/>
  <c r="Z640" i="13"/>
  <c r="Y641" i="13"/>
  <c r="Y642" i="13"/>
  <c r="Z641" i="13"/>
  <c r="Y643" i="13"/>
  <c r="Z642" i="13"/>
  <c r="Z643" i="13"/>
  <c r="Y644" i="13"/>
  <c r="Z644" i="13"/>
  <c r="Y645" i="13"/>
  <c r="Y646" i="13"/>
  <c r="Z645" i="13"/>
  <c r="Y647" i="13"/>
  <c r="Z646" i="13"/>
  <c r="Y648" i="13"/>
  <c r="Z647" i="13"/>
  <c r="Z648" i="13"/>
  <c r="Y649" i="13"/>
  <c r="Y650" i="13"/>
  <c r="Z649" i="13"/>
  <c r="Y651" i="13"/>
  <c r="Z650" i="13"/>
  <c r="Y652" i="13"/>
  <c r="Z651" i="13"/>
  <c r="Z652" i="13"/>
  <c r="Y653" i="13"/>
  <c r="Y654" i="13"/>
  <c r="Z653" i="13"/>
  <c r="Z654" i="13"/>
  <c r="Y655" i="13"/>
  <c r="Y656" i="13"/>
  <c r="Z655" i="13"/>
  <c r="Z656" i="13"/>
  <c r="Y657" i="13"/>
  <c r="Y658" i="13"/>
  <c r="Z657" i="13"/>
  <c r="Y659" i="13"/>
  <c r="Z658" i="13"/>
  <c r="Z659" i="13"/>
  <c r="Y660" i="13"/>
  <c r="Z660" i="13"/>
  <c r="Y661" i="13"/>
  <c r="Y662" i="13"/>
  <c r="Z661" i="13"/>
  <c r="Y663" i="13"/>
  <c r="Z662" i="13"/>
  <c r="Y664" i="13"/>
  <c r="Z663" i="13"/>
  <c r="Z664" i="13"/>
  <c r="Y665" i="13"/>
  <c r="Y666" i="13"/>
  <c r="Z665" i="13"/>
  <c r="Y667" i="13"/>
  <c r="Z666" i="13"/>
  <c r="Y668" i="13"/>
  <c r="Z667" i="13"/>
  <c r="Z668" i="13"/>
  <c r="Y669" i="13"/>
  <c r="Y670" i="13"/>
  <c r="Z669" i="13"/>
  <c r="Z670" i="13"/>
  <c r="Y671" i="13"/>
  <c r="Y672" i="13"/>
  <c r="Z671" i="13"/>
  <c r="Z672" i="13"/>
  <c r="Y673" i="13"/>
  <c r="Y674" i="13"/>
  <c r="Z673" i="13"/>
  <c r="Y675" i="13"/>
  <c r="Z674" i="13"/>
  <c r="Z675" i="13"/>
  <c r="Y676" i="13"/>
  <c r="Z676" i="13"/>
  <c r="Y677" i="13"/>
  <c r="Y678" i="13"/>
  <c r="Z677" i="13"/>
  <c r="Z678" i="13"/>
  <c r="Y679" i="13"/>
  <c r="Y680" i="13"/>
  <c r="Z679" i="13"/>
  <c r="Z680" i="13"/>
  <c r="Y681" i="13"/>
  <c r="Y682" i="13"/>
  <c r="Z681" i="13"/>
  <c r="Y683" i="13"/>
  <c r="Z682" i="13"/>
  <c r="Y684" i="13"/>
  <c r="Z683" i="13"/>
  <c r="Z684" i="13"/>
  <c r="Y685" i="13"/>
  <c r="Y686" i="13"/>
  <c r="Z685" i="13"/>
  <c r="Z686" i="13"/>
  <c r="Y687" i="13"/>
  <c r="Y688" i="13"/>
  <c r="Z687" i="13"/>
  <c r="Z688" i="13"/>
  <c r="Y689" i="13"/>
  <c r="Y690" i="13"/>
  <c r="Z689" i="13"/>
  <c r="Y691" i="13"/>
  <c r="Z690" i="13"/>
  <c r="Z691" i="13"/>
  <c r="Y692" i="13"/>
  <c r="Z692" i="13"/>
  <c r="Y693" i="13"/>
  <c r="Y694" i="13"/>
  <c r="Z693" i="13"/>
  <c r="Z694" i="13"/>
  <c r="Y695" i="13"/>
  <c r="Y696" i="13"/>
  <c r="Z695" i="13"/>
  <c r="Z696" i="13"/>
  <c r="Y697" i="13"/>
  <c r="Y698" i="13"/>
  <c r="Z697" i="13"/>
  <c r="Y699" i="13"/>
  <c r="Z698" i="13"/>
  <c r="Y700" i="13"/>
  <c r="Z699" i="13"/>
  <c r="Z700" i="13"/>
  <c r="Y701" i="13"/>
  <c r="Y702" i="13"/>
  <c r="Z701" i="13"/>
  <c r="Z702" i="13"/>
  <c r="Y703" i="13"/>
  <c r="Y704" i="13"/>
  <c r="Z703" i="13"/>
  <c r="Z704" i="13"/>
  <c r="Y705" i="13"/>
  <c r="Y706" i="13"/>
  <c r="Z705" i="13"/>
  <c r="Y707" i="13"/>
  <c r="Z706" i="13"/>
  <c r="Z707" i="13"/>
  <c r="Y708" i="13"/>
  <c r="Z708" i="13"/>
  <c r="Y709" i="13"/>
  <c r="Y710" i="13"/>
  <c r="Z709" i="13"/>
  <c r="Y711" i="13"/>
  <c r="Z710" i="13"/>
  <c r="Z711" i="13"/>
  <c r="Y712" i="13"/>
  <c r="Z712" i="13"/>
  <c r="Y713" i="13"/>
  <c r="Y714" i="13"/>
  <c r="Z713" i="13"/>
  <c r="Y715" i="13"/>
  <c r="Z714" i="13"/>
  <c r="Y716" i="13"/>
  <c r="Z715" i="13"/>
  <c r="Z716" i="13"/>
  <c r="Y717" i="13"/>
  <c r="Y718" i="13"/>
  <c r="Z717" i="13"/>
  <c r="Z718" i="13"/>
  <c r="Y719" i="13"/>
  <c r="Y720" i="13"/>
  <c r="Z719" i="13"/>
  <c r="Z720" i="13"/>
  <c r="Y721" i="13"/>
  <c r="Y722" i="13"/>
  <c r="Z721" i="13"/>
  <c r="Y723" i="13"/>
  <c r="Z722" i="13"/>
  <c r="Z723" i="13"/>
  <c r="Y724" i="13"/>
  <c r="Z724" i="13"/>
  <c r="Y725" i="13"/>
  <c r="Y726" i="13"/>
  <c r="Z725" i="13"/>
  <c r="Y727" i="13"/>
  <c r="Z726" i="13"/>
  <c r="Z727" i="13"/>
  <c r="Y728" i="13"/>
  <c r="Y729" i="13"/>
  <c r="Z728" i="13"/>
  <c r="Y730" i="13"/>
  <c r="Z729" i="13"/>
  <c r="Y731" i="13"/>
  <c r="Z730" i="13"/>
  <c r="Y732" i="13"/>
  <c r="Z731" i="13"/>
  <c r="Z732" i="13"/>
  <c r="Y733" i="13"/>
  <c r="Y734" i="13"/>
  <c r="Z733" i="13"/>
  <c r="Z734" i="13"/>
  <c r="Y735" i="13"/>
  <c r="Y736" i="13"/>
  <c r="Z735" i="13"/>
  <c r="Z736" i="13"/>
  <c r="Y737" i="13"/>
  <c r="Y738" i="13"/>
  <c r="Z737" i="13"/>
  <c r="Y739" i="13"/>
  <c r="Z738" i="13"/>
  <c r="Z739" i="13"/>
  <c r="Y740" i="13"/>
  <c r="Z740" i="13"/>
  <c r="Y741" i="13"/>
  <c r="Y742" i="13"/>
  <c r="Z741" i="13"/>
  <c r="Y743" i="13"/>
  <c r="Z742" i="13"/>
  <c r="Y744" i="13"/>
  <c r="Z743" i="13"/>
  <c r="Z744" i="13"/>
  <c r="Y745" i="13"/>
  <c r="Y746" i="13"/>
  <c r="Z745" i="13"/>
  <c r="Y747" i="13"/>
  <c r="Z746" i="13"/>
  <c r="Y748" i="13"/>
  <c r="Z747" i="13"/>
  <c r="Z748" i="13"/>
  <c r="Y749" i="13"/>
  <c r="Y750" i="13"/>
  <c r="Z749" i="13"/>
  <c r="Z750" i="13"/>
  <c r="Y751" i="13"/>
  <c r="Y752" i="13"/>
  <c r="Z751" i="13"/>
  <c r="Z752" i="13"/>
  <c r="Y753" i="13"/>
  <c r="Y754" i="13"/>
  <c r="Z753" i="13"/>
  <c r="Z754" i="13"/>
  <c r="Y755" i="13"/>
  <c r="Z755" i="13"/>
  <c r="Y756" i="13"/>
  <c r="Z756" i="13"/>
  <c r="Y757" i="13"/>
  <c r="Y758" i="13"/>
  <c r="Z757" i="13"/>
  <c r="Y759" i="13"/>
  <c r="Z758" i="13"/>
  <c r="Y760" i="13"/>
  <c r="Z759" i="13"/>
  <c r="Z760" i="13"/>
  <c r="Y761" i="13"/>
  <c r="Y762" i="13"/>
  <c r="Z761" i="13"/>
  <c r="Y763" i="13"/>
  <c r="Z762" i="13"/>
  <c r="Z763" i="13"/>
  <c r="Y764" i="13"/>
  <c r="Z764" i="13"/>
  <c r="Y765" i="13"/>
  <c r="Y766" i="13"/>
  <c r="Z765" i="13"/>
  <c r="Z766" i="13"/>
  <c r="Y767" i="13"/>
  <c r="Y768" i="13"/>
  <c r="Z767" i="13"/>
  <c r="Z768" i="13"/>
  <c r="Y769" i="13"/>
  <c r="Y770" i="13"/>
  <c r="Z769" i="13"/>
  <c r="Z770" i="13"/>
  <c r="Y771" i="13"/>
  <c r="Z771" i="13"/>
  <c r="Y772" i="13"/>
  <c r="Z772" i="13"/>
  <c r="Y773" i="13"/>
  <c r="Y774" i="13"/>
  <c r="Z773" i="13"/>
  <c r="Y775" i="13"/>
  <c r="Z774" i="13"/>
  <c r="Y776" i="13"/>
  <c r="Z775" i="13"/>
  <c r="Z776" i="13"/>
  <c r="Y777" i="13"/>
  <c r="Y778" i="13"/>
  <c r="Z777" i="13"/>
  <c r="Y779" i="13"/>
  <c r="Z778" i="13"/>
  <c r="Y780" i="13"/>
  <c r="Z779" i="13"/>
  <c r="Z780" i="13"/>
  <c r="Y781" i="13"/>
  <c r="Y782" i="13"/>
  <c r="Z781" i="13"/>
  <c r="Z782" i="13"/>
  <c r="Y783" i="13"/>
  <c r="Y784" i="13"/>
  <c r="Z783" i="13"/>
  <c r="Z784" i="13"/>
  <c r="Y785" i="13"/>
  <c r="Y786" i="13"/>
  <c r="Z785" i="13"/>
  <c r="Y787" i="13"/>
  <c r="Z786" i="13"/>
  <c r="Z787" i="13"/>
  <c r="Y788" i="13"/>
  <c r="Z788" i="13"/>
  <c r="Y789" i="13"/>
  <c r="Y790" i="13"/>
  <c r="Z789" i="13"/>
  <c r="Y791" i="13"/>
  <c r="Z790" i="13"/>
  <c r="Z791" i="13"/>
  <c r="Y792" i="13"/>
  <c r="Z792" i="13"/>
  <c r="Y793" i="13"/>
  <c r="Y794" i="13"/>
  <c r="Z793" i="13"/>
  <c r="Y795" i="13"/>
  <c r="Z794" i="13"/>
  <c r="Y796" i="13"/>
  <c r="Z795" i="13"/>
  <c r="Z796" i="13"/>
  <c r="Y797" i="13"/>
  <c r="Y798" i="13"/>
  <c r="Z797" i="13"/>
  <c r="Z798" i="13"/>
  <c r="Y799" i="13"/>
  <c r="Y800" i="13"/>
  <c r="Z799" i="13"/>
  <c r="Z800" i="13"/>
  <c r="Y801" i="13"/>
  <c r="Y802" i="13"/>
  <c r="Z801" i="13"/>
  <c r="Y803" i="13"/>
  <c r="Z802" i="13"/>
  <c r="Z803" i="13"/>
  <c r="Y804" i="13"/>
  <c r="Z804" i="13"/>
  <c r="Y805" i="13"/>
  <c r="Y806" i="13"/>
  <c r="Z805" i="13"/>
  <c r="Z806" i="13"/>
  <c r="Y807" i="13"/>
  <c r="Y808" i="13"/>
  <c r="Z807" i="13"/>
  <c r="Z808" i="13"/>
  <c r="Y809" i="13"/>
  <c r="Y810" i="13"/>
  <c r="Z809" i="13"/>
  <c r="Y811" i="13"/>
  <c r="Z810" i="13"/>
  <c r="Y812" i="13"/>
  <c r="Z811" i="13"/>
  <c r="Z812" i="13"/>
  <c r="Y813" i="13"/>
  <c r="Y814" i="13"/>
  <c r="Z813" i="13"/>
  <c r="Z814" i="13"/>
  <c r="Y815" i="13"/>
  <c r="Y816" i="13"/>
  <c r="Z815" i="13"/>
  <c r="Z816" i="13"/>
  <c r="Y817" i="13"/>
  <c r="Y818" i="13"/>
  <c r="Z817" i="13"/>
  <c r="Y819" i="13"/>
  <c r="Z818" i="13"/>
  <c r="Z819" i="13"/>
  <c r="Y820" i="13"/>
  <c r="Z820" i="13"/>
  <c r="Y821" i="13"/>
  <c r="Y822" i="13"/>
  <c r="Z821" i="13"/>
  <c r="Y823" i="13"/>
  <c r="Z822" i="13"/>
  <c r="Y824" i="13"/>
  <c r="Z823" i="13"/>
  <c r="Z824" i="13"/>
  <c r="Y825" i="13"/>
  <c r="Y826" i="13"/>
  <c r="Z825" i="13"/>
  <c r="Y827" i="13"/>
  <c r="Z826" i="13"/>
  <c r="Z827" i="13"/>
  <c r="Y828" i="13"/>
  <c r="Z828" i="13"/>
  <c r="Y829" i="13"/>
  <c r="Y830" i="13"/>
  <c r="Z829" i="13"/>
  <c r="Z830" i="13"/>
  <c r="Y831" i="13"/>
  <c r="Y832" i="13"/>
  <c r="Z831" i="13"/>
  <c r="Z832" i="13"/>
  <c r="Y833" i="13"/>
  <c r="Y834" i="13"/>
  <c r="Z833" i="13"/>
  <c r="Z834" i="13"/>
  <c r="Y835" i="13"/>
  <c r="Z835" i="13"/>
  <c r="Y836" i="13"/>
  <c r="Z836" i="13"/>
  <c r="Y837" i="13"/>
  <c r="Y838" i="13"/>
  <c r="Z837" i="13"/>
  <c r="Z838" i="13"/>
  <c r="Y839" i="13"/>
  <c r="Y840" i="13"/>
  <c r="Z839" i="13"/>
  <c r="Z840" i="13"/>
  <c r="Y841" i="13"/>
  <c r="Y842" i="13"/>
  <c r="Z841" i="13"/>
  <c r="Y843" i="13"/>
  <c r="Z842" i="13"/>
  <c r="Y844" i="13"/>
  <c r="Z843" i="13"/>
  <c r="Z844" i="13"/>
  <c r="Y845" i="13"/>
  <c r="Y846" i="13"/>
  <c r="Z845" i="13"/>
  <c r="Z846" i="13"/>
  <c r="Y847" i="13"/>
  <c r="Y848" i="13"/>
  <c r="Z847" i="13"/>
  <c r="Z848" i="13"/>
  <c r="Y849" i="13"/>
  <c r="Y850" i="13"/>
  <c r="Z849" i="13"/>
  <c r="Y851" i="13"/>
  <c r="Z850" i="13"/>
  <c r="Z851" i="13"/>
  <c r="Y852" i="13"/>
  <c r="Z852" i="13"/>
  <c r="Y853" i="13"/>
  <c r="Y854" i="13"/>
  <c r="Z853" i="13"/>
  <c r="Y855" i="13"/>
  <c r="Z854" i="13"/>
  <c r="Z855" i="13"/>
  <c r="Y856" i="13"/>
  <c r="Z856" i="13"/>
  <c r="Y857" i="13"/>
  <c r="Y858" i="13"/>
  <c r="Z857" i="13"/>
  <c r="Y859" i="13"/>
  <c r="Z858" i="13"/>
  <c r="Y860" i="13"/>
  <c r="Z859" i="13"/>
  <c r="Z860" i="13"/>
  <c r="Y861" i="13"/>
  <c r="Y862" i="13"/>
  <c r="Z861" i="13"/>
  <c r="Z862" i="13"/>
  <c r="Y863" i="13"/>
  <c r="Y864" i="13"/>
  <c r="Z863" i="13"/>
  <c r="Z864" i="13"/>
  <c r="Y865" i="13"/>
  <c r="Y866" i="13"/>
  <c r="Z865" i="13"/>
  <c r="Y867" i="13"/>
  <c r="Z866" i="13"/>
  <c r="Z867" i="13"/>
  <c r="Y868" i="13"/>
  <c r="Z868" i="13"/>
  <c r="Y869" i="13"/>
  <c r="Y870" i="13"/>
  <c r="Z869" i="13"/>
  <c r="Z870" i="13"/>
  <c r="Y871" i="13"/>
  <c r="Y872" i="13"/>
  <c r="Z871" i="13"/>
  <c r="Z872" i="13"/>
  <c r="Y873" i="13"/>
  <c r="Y874" i="13"/>
  <c r="Z873" i="13"/>
  <c r="Y875" i="13"/>
  <c r="Z874" i="13"/>
  <c r="Y876" i="13"/>
  <c r="Z875" i="13"/>
  <c r="Z876" i="13"/>
  <c r="Y877" i="13"/>
  <c r="Y878" i="13"/>
  <c r="Z877" i="13"/>
  <c r="Z878" i="13"/>
  <c r="Y879" i="13"/>
  <c r="Y880" i="13"/>
  <c r="Z879" i="13"/>
  <c r="Z880" i="13"/>
  <c r="Y881" i="13"/>
  <c r="Y882" i="13"/>
  <c r="Z881" i="13"/>
  <c r="Y883" i="13"/>
  <c r="Z882" i="13"/>
  <c r="Z883" i="13"/>
  <c r="Y884" i="13"/>
  <c r="Z884" i="13"/>
  <c r="Y885" i="13"/>
  <c r="Y886" i="13"/>
  <c r="Z885" i="13"/>
  <c r="Y887" i="13"/>
  <c r="Z886" i="13"/>
  <c r="Y888" i="13"/>
  <c r="Z887" i="13"/>
  <c r="Z888" i="13"/>
  <c r="Y889" i="13"/>
  <c r="Y890" i="13"/>
  <c r="Z889" i="13"/>
  <c r="Y891" i="13"/>
  <c r="Z890" i="13"/>
  <c r="Z891" i="13"/>
  <c r="Y892" i="13"/>
  <c r="Z892" i="13"/>
  <c r="Y893" i="13"/>
  <c r="Y894" i="13"/>
  <c r="Z893" i="13"/>
  <c r="Z894" i="13"/>
  <c r="Y895" i="13"/>
  <c r="Y896" i="13"/>
  <c r="Z895" i="13"/>
  <c r="Z896" i="13"/>
  <c r="Y897" i="13"/>
  <c r="Y898" i="13"/>
  <c r="Z897" i="13"/>
  <c r="Z898" i="13"/>
  <c r="Y899" i="13"/>
  <c r="Z899" i="13"/>
  <c r="Y900" i="13"/>
  <c r="Z900" i="13"/>
  <c r="Y901" i="13"/>
  <c r="Y902" i="13"/>
  <c r="Z901" i="13"/>
  <c r="Y903" i="13"/>
  <c r="Z902" i="13"/>
  <c r="Y904" i="13"/>
  <c r="Z903" i="13"/>
  <c r="Y905" i="13"/>
  <c r="Z904" i="13"/>
  <c r="Y906" i="13"/>
  <c r="Z905" i="13"/>
  <c r="Y907" i="13"/>
  <c r="Z906" i="13"/>
  <c r="Y908" i="13"/>
  <c r="Z907" i="13"/>
  <c r="Z908" i="13"/>
  <c r="Y909" i="13"/>
  <c r="Y910" i="13"/>
  <c r="Z909" i="13"/>
  <c r="Z910" i="13"/>
  <c r="Y911" i="13"/>
  <c r="Y912" i="13"/>
  <c r="Z911" i="13"/>
  <c r="Z912" i="13"/>
  <c r="Y913" i="13"/>
  <c r="Y914" i="13"/>
  <c r="Z913" i="13"/>
  <c r="Y915" i="13"/>
  <c r="Z914" i="13"/>
  <c r="Z915" i="13"/>
  <c r="Y916" i="13"/>
  <c r="Z916" i="13"/>
  <c r="Y917" i="13"/>
  <c r="Y918" i="13"/>
  <c r="Z917" i="13"/>
  <c r="Z918" i="13"/>
  <c r="Y919" i="13"/>
  <c r="Z919" i="13"/>
  <c r="Y920" i="13"/>
  <c r="Z920" i="13"/>
  <c r="Y921" i="13"/>
  <c r="Y922" i="13"/>
  <c r="Z921" i="13"/>
  <c r="Y923" i="13"/>
  <c r="Z922" i="13"/>
  <c r="Y924" i="13"/>
  <c r="Z923" i="13"/>
  <c r="Z924" i="13"/>
  <c r="Y925" i="13"/>
  <c r="Y926" i="13"/>
  <c r="Z925" i="13"/>
  <c r="Z926" i="13"/>
  <c r="Y927" i="13"/>
  <c r="Y928" i="13"/>
  <c r="Z927" i="13"/>
  <c r="Z928" i="13"/>
  <c r="Y929" i="13"/>
  <c r="Y930" i="13"/>
  <c r="Z929" i="13"/>
  <c r="Z930" i="13"/>
  <c r="Y931" i="13"/>
  <c r="Z931" i="13"/>
  <c r="Y932" i="13"/>
  <c r="Z932" i="13"/>
  <c r="Y933" i="13"/>
  <c r="Y934" i="13"/>
  <c r="Z933" i="13"/>
  <c r="Z934" i="13"/>
  <c r="Y935" i="13"/>
  <c r="Y936" i="13"/>
  <c r="Z935" i="13"/>
  <c r="Y937" i="13"/>
  <c r="Z936" i="13"/>
  <c r="Y938" i="13"/>
  <c r="Z937" i="13"/>
  <c r="Y939" i="13"/>
  <c r="Z938" i="13"/>
  <c r="Y940" i="13"/>
  <c r="Z939" i="13"/>
  <c r="Z940" i="13"/>
  <c r="Y941" i="13"/>
  <c r="Y942" i="13"/>
  <c r="Z941" i="13"/>
  <c r="Z942" i="13"/>
  <c r="Y943" i="13"/>
  <c r="Y944" i="13"/>
  <c r="Z943" i="13"/>
  <c r="Z944" i="13"/>
  <c r="Y945" i="13"/>
  <c r="Y946" i="13"/>
  <c r="Z945" i="13"/>
  <c r="Y947" i="13"/>
  <c r="Z946" i="13"/>
  <c r="Z947" i="13"/>
  <c r="Y948" i="13"/>
  <c r="Z948" i="13"/>
  <c r="Y949" i="13"/>
  <c r="Y950" i="13"/>
  <c r="Z949" i="13"/>
  <c r="Y951" i="13"/>
  <c r="Z950" i="13"/>
  <c r="Y952" i="13"/>
  <c r="Z951" i="13"/>
  <c r="Z952" i="13"/>
  <c r="Y953" i="13"/>
  <c r="Y954" i="13"/>
  <c r="Z953" i="13"/>
  <c r="Y955" i="13"/>
  <c r="Z954" i="13"/>
  <c r="Z955" i="13"/>
  <c r="Y956" i="13"/>
  <c r="Z956" i="13"/>
  <c r="Y957" i="13"/>
  <c r="Y958" i="13"/>
  <c r="Z957" i="13"/>
  <c r="Z958" i="13"/>
  <c r="Y959" i="13"/>
  <c r="Y960" i="13"/>
  <c r="Z959" i="13"/>
  <c r="Z960" i="13"/>
  <c r="Y961" i="13"/>
  <c r="Y962" i="13"/>
  <c r="Z961" i="13"/>
  <c r="Z962" i="13"/>
  <c r="Y963" i="13"/>
  <c r="Z963" i="13"/>
  <c r="Y964" i="13"/>
  <c r="Z964" i="13"/>
  <c r="Y965" i="13"/>
  <c r="Y966" i="13"/>
  <c r="Z965" i="13"/>
  <c r="Y967" i="13"/>
  <c r="Z966" i="13"/>
  <c r="Y968" i="13"/>
  <c r="Z967" i="13"/>
  <c r="Z968" i="13"/>
  <c r="Y969" i="13"/>
  <c r="Y970" i="13"/>
  <c r="Z969" i="13"/>
  <c r="Y971" i="13"/>
  <c r="Z970" i="13"/>
  <c r="Y972" i="13"/>
  <c r="Z971" i="13"/>
  <c r="Z972" i="13"/>
  <c r="Y973" i="13"/>
  <c r="Y974" i="13"/>
  <c r="Z973" i="13"/>
  <c r="Z974" i="13"/>
  <c r="Y975" i="13"/>
  <c r="Y976" i="13"/>
  <c r="Z975" i="13"/>
  <c r="Z976" i="13"/>
  <c r="Y977" i="13"/>
  <c r="Y978" i="13"/>
  <c r="Z977" i="13"/>
  <c r="Y979" i="13"/>
  <c r="Z978" i="13"/>
  <c r="Z979" i="13"/>
  <c r="Y980" i="13"/>
  <c r="Z980" i="13"/>
  <c r="Y981" i="13"/>
  <c r="Y982" i="13"/>
  <c r="Z981" i="13"/>
  <c r="Y983" i="13"/>
  <c r="Z982" i="13"/>
  <c r="Z983" i="13"/>
  <c r="Y984" i="13"/>
  <c r="Z984" i="13"/>
  <c r="Y985" i="13"/>
  <c r="Y986" i="13"/>
  <c r="Z985" i="13"/>
  <c r="Y987" i="13"/>
  <c r="Z986" i="13"/>
  <c r="Z987" i="13"/>
  <c r="Y988" i="13"/>
  <c r="Z988" i="13"/>
  <c r="Y989" i="13"/>
  <c r="Y990" i="13"/>
  <c r="Z989" i="13"/>
  <c r="Z990" i="13"/>
  <c r="Y991" i="13"/>
  <c r="Y992" i="13"/>
  <c r="Z991" i="13"/>
  <c r="Z992" i="13"/>
  <c r="Y993" i="13"/>
  <c r="Y994" i="13"/>
  <c r="Z993" i="13"/>
  <c r="Y995" i="13"/>
  <c r="Z994" i="13"/>
  <c r="Z995" i="13"/>
  <c r="Y996" i="13"/>
  <c r="Z996" i="13"/>
  <c r="Y997" i="13"/>
  <c r="Y998" i="13"/>
  <c r="Z997" i="13"/>
  <c r="Z998" i="13"/>
  <c r="Y999" i="13"/>
  <c r="Y1000" i="13"/>
  <c r="Z999" i="13"/>
  <c r="Z1000" i="13"/>
  <c r="Y1001" i="13"/>
  <c r="Y1002" i="13"/>
  <c r="Z1001" i="13"/>
  <c r="Y1003" i="13"/>
  <c r="Z1002" i="13"/>
  <c r="Y1004" i="13"/>
  <c r="Z1003" i="13"/>
  <c r="Z1004" i="13"/>
  <c r="Y1005" i="13"/>
  <c r="Z1005" i="13"/>
  <c r="Y1006" i="13"/>
  <c r="Y1007" i="13"/>
  <c r="Z1006" i="13"/>
  <c r="Y1008" i="13"/>
  <c r="Z1007" i="13"/>
  <c r="Z1008" i="13"/>
  <c r="Y1009" i="13"/>
  <c r="Y1010" i="13"/>
  <c r="Z1009" i="13"/>
  <c r="Y1011" i="13"/>
  <c r="Z1010" i="13"/>
  <c r="Y1012" i="13"/>
  <c r="Z1011" i="13"/>
  <c r="Z1012" i="13"/>
  <c r="Y1013" i="13"/>
  <c r="Y1014" i="13"/>
  <c r="Z1013" i="13"/>
  <c r="Z1014" i="13"/>
  <c r="Y1015" i="13"/>
  <c r="Y1016" i="13"/>
  <c r="Z1015" i="13"/>
  <c r="Z1016" i="13"/>
  <c r="Y1017" i="13"/>
  <c r="Y1018" i="13"/>
  <c r="Z1017" i="13"/>
  <c r="Y1019" i="13"/>
  <c r="Z1018" i="13"/>
  <c r="Y1020" i="13"/>
  <c r="Z1019" i="13"/>
  <c r="Z1020" i="13"/>
  <c r="Y1021" i="13"/>
  <c r="Y1022" i="13"/>
  <c r="Z1021" i="13"/>
  <c r="Z1022" i="13"/>
  <c r="Y1023" i="13"/>
  <c r="Z1023" i="13"/>
  <c r="Y1024" i="13"/>
  <c r="Z1024" i="13"/>
  <c r="Y1025" i="13"/>
  <c r="Y1026" i="13"/>
  <c r="Z1025" i="13"/>
  <c r="Y1027" i="13"/>
  <c r="Z1026" i="13"/>
  <c r="Y1028" i="13"/>
  <c r="Z1027" i="13"/>
  <c r="Z1028" i="13"/>
  <c r="Y1029" i="13"/>
  <c r="Y1030" i="13"/>
  <c r="Z1029" i="13"/>
  <c r="Y1031" i="13"/>
  <c r="Z1030" i="13"/>
  <c r="Y1032" i="13"/>
  <c r="Z1031" i="13"/>
  <c r="Z1032" i="13"/>
  <c r="Y1033" i="13"/>
  <c r="Y1034" i="13"/>
  <c r="Z1033" i="13"/>
  <c r="Y1035" i="13"/>
  <c r="Z1034" i="13"/>
  <c r="Y1036" i="13"/>
  <c r="Z1035" i="13"/>
  <c r="Z1036" i="13"/>
  <c r="Y1037" i="13"/>
  <c r="Z1037" i="13"/>
  <c r="Y1038" i="13"/>
  <c r="Y1039" i="13"/>
  <c r="Z1038" i="13"/>
  <c r="Y1040" i="13"/>
  <c r="Z1039" i="13"/>
  <c r="Z1040" i="13"/>
  <c r="Y1041" i="13"/>
  <c r="Y1042" i="13"/>
  <c r="Z1041" i="13"/>
  <c r="Y1043" i="13"/>
  <c r="Z1042" i="13"/>
  <c r="Y1044" i="13"/>
  <c r="Z1043" i="13"/>
  <c r="Z1044" i="13"/>
  <c r="Y1045" i="13"/>
  <c r="Y1046" i="13"/>
  <c r="Z1045" i="13"/>
  <c r="Z1046" i="13"/>
  <c r="Y1047" i="13"/>
  <c r="Y1048" i="13"/>
  <c r="Z1047" i="13"/>
  <c r="Z1048" i="13"/>
  <c r="Y1049" i="13"/>
  <c r="Y1050" i="13"/>
  <c r="Z1049" i="13"/>
  <c r="Y1051" i="13"/>
  <c r="Z1050" i="13"/>
  <c r="Y1052" i="13"/>
  <c r="Z1051" i="13"/>
  <c r="Z1052" i="13"/>
  <c r="Y1053" i="13"/>
  <c r="Z1053" i="13"/>
  <c r="Y1054" i="13"/>
  <c r="Y1055" i="13"/>
  <c r="Z1054" i="13"/>
  <c r="Z1055" i="13"/>
  <c r="Y1056" i="13"/>
  <c r="Z1056" i="13"/>
  <c r="Y1057" i="13"/>
  <c r="Z1057" i="13"/>
  <c r="Y1058" i="13"/>
  <c r="Y1059" i="13"/>
  <c r="Z1058" i="13"/>
  <c r="Y1060" i="13"/>
  <c r="Z1059" i="13"/>
  <c r="Z1060" i="13"/>
  <c r="Y1061" i="13"/>
  <c r="Y1062" i="13"/>
  <c r="Z1061" i="13"/>
  <c r="Y1063" i="13"/>
  <c r="Z1062" i="13"/>
  <c r="Y1064" i="13"/>
  <c r="Z1063" i="13"/>
  <c r="Z1064" i="13"/>
  <c r="Y1065" i="13"/>
  <c r="Y1066" i="13"/>
  <c r="Z1065" i="13"/>
  <c r="Y1067" i="13"/>
  <c r="Z1066" i="13"/>
  <c r="Y1068" i="13"/>
  <c r="Z1067" i="13"/>
  <c r="Z1068" i="13"/>
  <c r="Y1069" i="13"/>
  <c r="Z1069" i="13"/>
  <c r="Y1070" i="13"/>
  <c r="Y1071" i="13"/>
  <c r="Z1070" i="13"/>
  <c r="Z1071" i="13"/>
  <c r="Y1072" i="13"/>
  <c r="Z1072" i="13"/>
  <c r="Y1073" i="13"/>
  <c r="Y1074" i="13"/>
  <c r="Z1073" i="13"/>
  <c r="Y1075" i="13"/>
  <c r="Z1074" i="13"/>
  <c r="Y1076" i="13"/>
  <c r="Z1075" i="13"/>
  <c r="Z1076" i="13"/>
  <c r="Y1077" i="13"/>
  <c r="Z1077" i="13"/>
  <c r="Y1078" i="13"/>
  <c r="Z1078" i="13"/>
  <c r="Y1079" i="13"/>
  <c r="Y1080" i="13"/>
  <c r="Z1079" i="13"/>
  <c r="Z1080" i="13"/>
  <c r="Y1081" i="13"/>
  <c r="Y1082" i="13"/>
  <c r="Z1081" i="13"/>
  <c r="Y1083" i="13"/>
  <c r="Z1082" i="13"/>
  <c r="Y1084" i="13"/>
  <c r="Z1083" i="13"/>
  <c r="Z1084" i="13"/>
  <c r="Y1085" i="13"/>
  <c r="Y1086" i="13"/>
  <c r="Z1085" i="13"/>
  <c r="Z1086" i="13"/>
  <c r="Y1087" i="13"/>
  <c r="Z1087" i="13"/>
  <c r="Y1088" i="13"/>
  <c r="Z1088" i="13"/>
  <c r="Y1089" i="13"/>
  <c r="Y1090" i="13"/>
  <c r="Z1089" i="13"/>
  <c r="Y1091" i="13"/>
  <c r="Z1090" i="13"/>
  <c r="Y1092" i="13"/>
  <c r="Z1091" i="13"/>
  <c r="Z1092" i="13"/>
  <c r="Y1093" i="13"/>
  <c r="Y1094" i="13"/>
  <c r="Z1093" i="13"/>
  <c r="Y1095" i="13"/>
  <c r="Z1094" i="13"/>
  <c r="Z1095" i="13"/>
  <c r="Y1096" i="13"/>
  <c r="Z1096" i="13"/>
  <c r="Y1097" i="13"/>
  <c r="Y1098" i="13"/>
  <c r="Z1097" i="13"/>
  <c r="Y1099" i="13"/>
  <c r="Z1098" i="13"/>
  <c r="Y1100" i="13"/>
  <c r="Z1099" i="13"/>
  <c r="Z1100" i="13"/>
  <c r="Y1101" i="13"/>
  <c r="Z1101" i="13"/>
  <c r="Y1102" i="13"/>
  <c r="Y1103" i="13"/>
  <c r="Z1102" i="13"/>
  <c r="Y1104" i="13"/>
  <c r="Z1103" i="13"/>
  <c r="Z1104" i="13"/>
  <c r="Y1105" i="13"/>
  <c r="Z1105" i="13"/>
  <c r="Y1106" i="13"/>
  <c r="Y1107" i="13"/>
  <c r="Z1106" i="13"/>
  <c r="Y1108" i="13"/>
  <c r="Z1107" i="13"/>
  <c r="Z1108" i="13"/>
  <c r="Y1109" i="13"/>
  <c r="Y1110" i="13"/>
  <c r="Z1109" i="13"/>
  <c r="Z1110" i="13"/>
  <c r="Y1111" i="13"/>
  <c r="Y1112" i="13"/>
  <c r="Z1111" i="13"/>
  <c r="Z1112" i="13"/>
  <c r="Y1113" i="13"/>
  <c r="Y1114" i="13"/>
  <c r="Z1113" i="13"/>
  <c r="Y1115" i="13"/>
  <c r="Z1114" i="13"/>
  <c r="Y1116" i="13"/>
  <c r="Z1115" i="13"/>
  <c r="Z1116" i="13"/>
  <c r="Y1117" i="13"/>
  <c r="Y1118" i="13"/>
  <c r="Z1117" i="13"/>
  <c r="Y1119" i="13"/>
  <c r="Z1118" i="13"/>
  <c r="Z1119" i="13"/>
  <c r="Y1120" i="13"/>
  <c r="Y1121" i="13"/>
  <c r="Z1120" i="13"/>
  <c r="Y1122" i="13"/>
  <c r="Z1121" i="13"/>
  <c r="Y1123" i="13"/>
  <c r="Z1122" i="13"/>
  <c r="Y1124" i="13"/>
  <c r="Z1123" i="13"/>
  <c r="Z1124" i="13"/>
  <c r="Y1125" i="13"/>
  <c r="Y1126" i="13"/>
  <c r="Z1125" i="13"/>
  <c r="Z1126" i="13"/>
  <c r="Y1127" i="13"/>
  <c r="Y1128" i="13"/>
  <c r="Z1127" i="13"/>
  <c r="Z1128" i="13"/>
  <c r="Y1129" i="13"/>
  <c r="Y1130" i="13"/>
  <c r="Z1129" i="13"/>
  <c r="Y1131" i="13"/>
  <c r="Z1130" i="13"/>
  <c r="Y1132" i="13"/>
  <c r="Z1131" i="13"/>
  <c r="Z1132" i="13"/>
  <c r="Y1133" i="13"/>
  <c r="Z1133" i="13"/>
  <c r="Y1134" i="13"/>
  <c r="Y1135" i="13"/>
  <c r="Z1134" i="13"/>
  <c r="Z1135" i="13"/>
  <c r="Y1136" i="13"/>
  <c r="Z1136" i="13"/>
  <c r="Y1137" i="13"/>
  <c r="Y1138" i="13"/>
  <c r="Z1137" i="13"/>
  <c r="Y1139" i="13"/>
  <c r="Z1138" i="13"/>
  <c r="Y1140" i="13"/>
  <c r="Z1139" i="13"/>
  <c r="Z1140" i="13"/>
  <c r="Y1141" i="13"/>
  <c r="Y1142" i="13"/>
  <c r="Z1141" i="13"/>
  <c r="Z1142" i="13"/>
  <c r="Y1143" i="13"/>
  <c r="Y1144" i="13"/>
  <c r="Z1143" i="13"/>
  <c r="Z1144" i="13"/>
  <c r="Y1145" i="13"/>
  <c r="Y1146" i="13"/>
  <c r="Z1145" i="13"/>
  <c r="Y1147" i="13"/>
  <c r="Z1146" i="13"/>
  <c r="Y1148" i="13"/>
  <c r="Z1147" i="13"/>
  <c r="Z1148" i="13"/>
  <c r="Y1149" i="13"/>
  <c r="Y1150" i="13"/>
  <c r="Z1149" i="13"/>
  <c r="Z1150" i="13"/>
  <c r="Y1151" i="13"/>
  <c r="Z1151" i="13"/>
  <c r="Y1152" i="13"/>
  <c r="Z1152" i="13"/>
  <c r="Y1153" i="13"/>
  <c r="Y1154" i="13"/>
  <c r="Z1153" i="13"/>
  <c r="Z1154" i="13"/>
  <c r="Y1155" i="13"/>
  <c r="Y1156" i="13"/>
  <c r="Z1155" i="13"/>
  <c r="Z1156" i="13"/>
  <c r="Y1157" i="13"/>
  <c r="Y1158" i="13"/>
  <c r="Z1157" i="13"/>
  <c r="Y1159" i="13"/>
  <c r="Z1158" i="13"/>
  <c r="Y1160" i="13"/>
  <c r="Z1159" i="13"/>
  <c r="Z1160" i="13"/>
  <c r="Y1161" i="13"/>
  <c r="Y1162" i="13"/>
  <c r="Z1161" i="13"/>
  <c r="Z1162" i="13"/>
  <c r="Y1163" i="13"/>
  <c r="Y1164" i="13"/>
  <c r="Z1163" i="13"/>
  <c r="Z1164" i="13"/>
  <c r="Y1165" i="13"/>
  <c r="Z1165" i="13"/>
  <c r="Y1166" i="13"/>
  <c r="Y1167" i="13"/>
  <c r="Z1166" i="13"/>
  <c r="Y1168" i="13"/>
  <c r="Z1167" i="13"/>
  <c r="Z1168" i="13"/>
  <c r="Y1169" i="13"/>
  <c r="Y1170" i="13"/>
  <c r="Z1169" i="13"/>
  <c r="Y1171" i="13"/>
  <c r="Z1170" i="13"/>
  <c r="Y1172" i="13"/>
  <c r="Z1171" i="13"/>
  <c r="Z1172" i="13"/>
  <c r="Y1173" i="13"/>
  <c r="Z1173" i="13"/>
  <c r="Y1174" i="13"/>
  <c r="Z1174" i="13"/>
  <c r="Y1175" i="13"/>
  <c r="Y1176" i="13"/>
  <c r="Z1175" i="13"/>
  <c r="Z1176" i="13"/>
  <c r="Y1177" i="13"/>
  <c r="Y1178" i="13"/>
  <c r="Z1177" i="13"/>
  <c r="Y1179" i="13"/>
  <c r="Z1178" i="13"/>
  <c r="Y1180" i="13"/>
  <c r="Z1179" i="13"/>
  <c r="Z1180" i="13"/>
  <c r="Y1181" i="13"/>
  <c r="Z1181" i="13"/>
  <c r="Y1182" i="13"/>
  <c r="Y1183" i="13"/>
  <c r="Z1182" i="13"/>
  <c r="Z1183" i="13"/>
  <c r="Y1184" i="13"/>
  <c r="Z1184" i="13"/>
  <c r="Y1185" i="13"/>
  <c r="Y1186" i="13"/>
  <c r="Z1185" i="13"/>
  <c r="Y1187" i="13"/>
  <c r="Z1186" i="13"/>
  <c r="Y1188" i="13"/>
  <c r="Z1187" i="13"/>
  <c r="Z1188" i="13"/>
  <c r="Y1189" i="13"/>
  <c r="Y1190" i="13"/>
  <c r="Z1189" i="13"/>
  <c r="Y1191" i="13"/>
  <c r="Z1190" i="13"/>
  <c r="Z1191" i="13"/>
  <c r="Y1192" i="13"/>
  <c r="Z1192" i="13"/>
  <c r="Y1193" i="13"/>
  <c r="Y1194" i="13"/>
  <c r="Z1193" i="13"/>
  <c r="Y1195" i="13"/>
  <c r="Z1194" i="13"/>
  <c r="Y1196" i="13"/>
  <c r="Z1195" i="13"/>
  <c r="Z1196" i="13"/>
  <c r="Y1197" i="13"/>
  <c r="Z1197" i="13"/>
  <c r="Y1198" i="13"/>
  <c r="Y1199" i="13"/>
  <c r="Z1198" i="13"/>
  <c r="Z1199" i="13"/>
  <c r="Y1200" i="13"/>
  <c r="Z1200" i="13"/>
  <c r="Y1201" i="13"/>
  <c r="Y1202" i="13"/>
  <c r="Z1201" i="13"/>
  <c r="Y1203" i="13"/>
  <c r="Z1202" i="13"/>
  <c r="Z1203" i="13"/>
  <c r="Y1204" i="13"/>
  <c r="Z1204" i="13"/>
  <c r="Y1205" i="13"/>
  <c r="Z1205" i="13"/>
  <c r="Y1206" i="13"/>
  <c r="Z1206" i="13"/>
  <c r="Y1207" i="13"/>
  <c r="Y1208" i="13"/>
  <c r="Z1207" i="13"/>
  <c r="Z1208" i="13"/>
  <c r="Y1209" i="13"/>
  <c r="Y1210" i="13"/>
  <c r="Z1209" i="13"/>
  <c r="Z1210" i="13"/>
  <c r="Y1211" i="13"/>
  <c r="Y1212" i="13"/>
  <c r="Z1211" i="13"/>
  <c r="Z1212" i="13"/>
  <c r="Y1213" i="13"/>
  <c r="Y1214" i="13"/>
  <c r="Z1213" i="13"/>
  <c r="Y1215" i="13"/>
  <c r="Z1214" i="13"/>
  <c r="Z1215" i="13"/>
  <c r="Y1216" i="13"/>
  <c r="Z1216" i="13"/>
  <c r="Y1217" i="13"/>
  <c r="Y1218" i="13"/>
  <c r="Z1217" i="13"/>
  <c r="Z1218" i="13"/>
  <c r="Y1219" i="13"/>
  <c r="Y1220" i="13"/>
  <c r="Z1219" i="13"/>
  <c r="Z1220" i="13"/>
  <c r="Y1221" i="13"/>
  <c r="Y1222" i="13"/>
  <c r="Z1221" i="13"/>
  <c r="Z1222" i="13"/>
  <c r="Y1223" i="13"/>
  <c r="Z1223" i="13"/>
  <c r="Y1224" i="13"/>
  <c r="Z1224" i="13"/>
  <c r="Y1225" i="13"/>
  <c r="Y1226" i="13"/>
  <c r="Z1225" i="13"/>
  <c r="Y1227" i="13"/>
  <c r="Z1226" i="13"/>
  <c r="Y1228" i="13"/>
  <c r="Z1227" i="13"/>
  <c r="Z1228" i="13"/>
  <c r="Y1229" i="13"/>
  <c r="Z1229" i="13"/>
  <c r="Y1230" i="13"/>
  <c r="Y1231" i="13"/>
  <c r="Z1230" i="13"/>
  <c r="Y1232" i="13"/>
  <c r="Z1231" i="13"/>
  <c r="Z1232" i="13"/>
  <c r="Y1233" i="13"/>
  <c r="Y1234" i="13"/>
  <c r="Z1233" i="13"/>
  <c r="Y1235" i="13"/>
  <c r="Z1234" i="13"/>
  <c r="Y1236" i="13"/>
  <c r="Z1235" i="13"/>
  <c r="Y1237" i="13"/>
  <c r="Z1236" i="13"/>
  <c r="Y1238" i="13"/>
  <c r="Z1237" i="13"/>
  <c r="Y1239" i="13"/>
  <c r="Z1238" i="13"/>
  <c r="Y1240" i="13"/>
  <c r="Z1239" i="13"/>
  <c r="Z1240" i="13"/>
  <c r="Y1241" i="13"/>
  <c r="Y1242" i="13"/>
  <c r="Z1241" i="13"/>
  <c r="Y1243" i="13"/>
  <c r="Z1242" i="13"/>
  <c r="Y1244" i="13"/>
  <c r="Z1243" i="13"/>
  <c r="Y1245" i="13"/>
  <c r="Z1244" i="13"/>
  <c r="Y1246" i="13"/>
  <c r="Z1245" i="13"/>
  <c r="Y1247" i="13"/>
  <c r="Z1246" i="13"/>
  <c r="Y1248" i="13"/>
  <c r="Z1247" i="13"/>
  <c r="Y1249" i="13"/>
  <c r="Z1248" i="13"/>
  <c r="Z1249" i="13"/>
  <c r="Y1250" i="13"/>
  <c r="Y1251" i="13"/>
  <c r="Z1250" i="13"/>
  <c r="Y1252" i="13"/>
  <c r="Z1251" i="13"/>
  <c r="Y1253" i="13"/>
  <c r="Z1252" i="13"/>
  <c r="Y1254" i="13"/>
  <c r="Z1253" i="13"/>
  <c r="Y1255" i="13"/>
  <c r="Z1254" i="13"/>
  <c r="Y1256" i="13"/>
  <c r="Z1255" i="13"/>
  <c r="Z1256" i="13"/>
  <c r="Y1257" i="13"/>
  <c r="Y1258" i="13"/>
  <c r="Z1257" i="13"/>
  <c r="Y1259" i="13"/>
  <c r="Z1258" i="13"/>
  <c r="Y1260" i="13"/>
  <c r="Z1259" i="13"/>
  <c r="Z1260" i="13"/>
  <c r="Y1261" i="13"/>
  <c r="Y1262" i="13"/>
  <c r="Z1261" i="13"/>
  <c r="Y1263" i="13"/>
  <c r="Z1262" i="13"/>
  <c r="Y1264" i="13"/>
  <c r="Z1263" i="13"/>
  <c r="Y1265" i="13"/>
  <c r="Z1264" i="13"/>
  <c r="Z1265" i="13"/>
  <c r="Y1266" i="13"/>
  <c r="Y1267" i="13"/>
  <c r="Z1266" i="13"/>
  <c r="Y1268" i="13"/>
  <c r="Z1267" i="13"/>
  <c r="Y1269" i="13"/>
  <c r="Z1268" i="13"/>
  <c r="Y1270" i="13"/>
  <c r="Z1269" i="13"/>
  <c r="Y1271" i="13"/>
  <c r="Z1270" i="13"/>
  <c r="Y1272" i="13"/>
  <c r="Z1271" i="13"/>
  <c r="Y1273" i="13"/>
  <c r="Z1272" i="13"/>
  <c r="Y1274" i="13"/>
  <c r="Z1273" i="13"/>
  <c r="Y1275" i="13"/>
  <c r="Z1274" i="13"/>
  <c r="Y1276" i="13"/>
  <c r="Z1275" i="13"/>
  <c r="Y1277" i="13"/>
  <c r="Z1276" i="13"/>
  <c r="Y1278" i="13"/>
  <c r="Z1277" i="13"/>
  <c r="Y1279" i="13"/>
  <c r="Z1278" i="13"/>
  <c r="Y1280" i="13"/>
  <c r="Z1279" i="13"/>
  <c r="Y1281" i="13"/>
  <c r="Z1280" i="13"/>
  <c r="Y1282" i="13"/>
  <c r="Z1281" i="13"/>
  <c r="Y1283" i="13"/>
  <c r="Z1282" i="13"/>
  <c r="Z1283" i="13"/>
  <c r="Y1284" i="13"/>
  <c r="Y1285" i="13"/>
  <c r="Z1284" i="13"/>
  <c r="Y1286" i="13"/>
  <c r="Z1285" i="13"/>
  <c r="Y1287" i="13"/>
  <c r="Z1286" i="13"/>
  <c r="Y1288" i="13"/>
  <c r="Z1287" i="13"/>
  <c r="Y1289" i="13"/>
  <c r="Z1288" i="13"/>
  <c r="Y1290" i="13"/>
  <c r="Z1289" i="13"/>
  <c r="Y1291" i="13"/>
  <c r="Z1290" i="13"/>
  <c r="Y1292" i="13"/>
  <c r="Z1291" i="13"/>
  <c r="Z1292" i="13"/>
  <c r="Y1293" i="13"/>
  <c r="Y1294" i="13"/>
  <c r="Z1293" i="13"/>
  <c r="Y1295" i="13"/>
  <c r="Z1294" i="13"/>
  <c r="Y1296" i="13"/>
  <c r="Z1295" i="13"/>
  <c r="Y1297" i="13"/>
  <c r="Z1296" i="13"/>
  <c r="Y1298" i="13"/>
  <c r="Z1297" i="13"/>
  <c r="Y1299" i="13"/>
  <c r="Z1298" i="13"/>
  <c r="Z1299" i="13"/>
  <c r="Y1300" i="13"/>
  <c r="Y1301" i="13"/>
  <c r="Z1300" i="13"/>
  <c r="Y1302" i="13"/>
  <c r="Z1301" i="13"/>
  <c r="Y1303" i="13"/>
  <c r="Z1302" i="13"/>
  <c r="Z1303" i="13"/>
  <c r="Y1304" i="13"/>
  <c r="Y1305" i="13"/>
  <c r="Z1304" i="13"/>
  <c r="Y1306" i="13"/>
  <c r="Z1305" i="13"/>
  <c r="Y1307" i="13"/>
  <c r="Z1306" i="13"/>
  <c r="Y1308" i="13"/>
  <c r="Z1307" i="13"/>
  <c r="Z1308" i="13"/>
  <c r="Y1309" i="13"/>
  <c r="Y1310" i="13"/>
  <c r="Z1309" i="13"/>
  <c r="Y1311" i="13"/>
  <c r="Z1310" i="13"/>
  <c r="Y1312" i="13"/>
  <c r="Z1311" i="13"/>
  <c r="Y1313" i="13"/>
  <c r="Z1312" i="13"/>
  <c r="Y1314" i="13"/>
  <c r="Z1313" i="13"/>
  <c r="Y1315" i="13"/>
  <c r="Z1314" i="13"/>
  <c r="Y1316" i="13"/>
  <c r="Z1315" i="13"/>
  <c r="Y1317" i="13"/>
  <c r="Z1316" i="13"/>
  <c r="Y1318" i="13"/>
  <c r="Z1317" i="13"/>
  <c r="Y1319" i="13"/>
  <c r="Z1318" i="13"/>
  <c r="Y1320" i="13"/>
  <c r="Z1319" i="13"/>
  <c r="Y1321" i="13"/>
  <c r="Z1320" i="13"/>
  <c r="Y1322" i="13"/>
  <c r="Z1321" i="13"/>
  <c r="Y1323" i="13"/>
  <c r="Z1322" i="13"/>
  <c r="Y1324" i="13"/>
  <c r="Z1323" i="13"/>
  <c r="Y1325" i="13"/>
  <c r="Z1324" i="13"/>
  <c r="Z1325" i="13"/>
  <c r="Y1326" i="13"/>
  <c r="Y1327" i="13"/>
  <c r="Z1326" i="13"/>
  <c r="Y1328" i="13"/>
  <c r="Z1327" i="13"/>
  <c r="Y1329" i="13"/>
  <c r="Z1328" i="13"/>
  <c r="Y1330" i="13"/>
  <c r="Z1329" i="13"/>
  <c r="Y1331" i="13"/>
  <c r="Z1330" i="13"/>
  <c r="Y1332" i="13"/>
  <c r="Z1331" i="13"/>
  <c r="Y1333" i="13"/>
  <c r="Z1332" i="13"/>
  <c r="Y1334" i="13"/>
  <c r="Z1333" i="13"/>
  <c r="Y1335" i="13"/>
  <c r="Z1334" i="13"/>
  <c r="Z1335" i="13"/>
  <c r="Y1336" i="13"/>
  <c r="Y1337" i="13"/>
  <c r="Z1336" i="13"/>
  <c r="Y1338" i="13"/>
  <c r="Z1337" i="13"/>
  <c r="Y1339" i="13"/>
  <c r="Z1338" i="13"/>
  <c r="Y1340" i="13"/>
  <c r="Z1339" i="13"/>
  <c r="Y1341" i="13"/>
  <c r="Z1340" i="13"/>
  <c r="Z1341" i="13"/>
  <c r="Y1342" i="13"/>
  <c r="Y1343" i="13"/>
  <c r="Z1342" i="13"/>
  <c r="Y1344" i="13"/>
  <c r="Z1343" i="13"/>
  <c r="Y1345" i="13"/>
  <c r="Z1344" i="13"/>
  <c r="Y1346" i="13"/>
  <c r="Z1345" i="13"/>
  <c r="Y1347" i="13"/>
  <c r="Z1346" i="13"/>
  <c r="Y1348" i="13"/>
  <c r="Z1347" i="13"/>
  <c r="Y1349" i="13"/>
  <c r="Z1348" i="13"/>
  <c r="Y1350" i="13"/>
  <c r="Z1349" i="13"/>
  <c r="Y1351" i="13"/>
  <c r="Z1350" i="13"/>
  <c r="Z1351" i="13"/>
  <c r="Y1352" i="13"/>
  <c r="Y1353" i="13"/>
  <c r="Z1352" i="13"/>
  <c r="Y1354" i="13"/>
  <c r="Z1353" i="13"/>
  <c r="Y1355" i="13"/>
  <c r="Z1354" i="13"/>
  <c r="Y1356" i="13"/>
  <c r="Z1355" i="13"/>
  <c r="Y1357" i="13"/>
  <c r="Z1356" i="13"/>
  <c r="Y1358" i="13"/>
  <c r="Z1357" i="13"/>
  <c r="Y1359" i="13"/>
  <c r="Z1358" i="13"/>
  <c r="Y1360" i="13"/>
  <c r="Z1359" i="13"/>
  <c r="Y1361" i="13"/>
  <c r="Z1360" i="13"/>
  <c r="Y1362" i="13"/>
  <c r="Z1361" i="13"/>
  <c r="Y1363" i="13"/>
  <c r="Z1362" i="13"/>
  <c r="Y1364" i="13"/>
  <c r="Z1363" i="13"/>
  <c r="Y1365" i="13"/>
  <c r="Z1364" i="13"/>
  <c r="Y1366" i="13"/>
  <c r="Z1365" i="13"/>
  <c r="Y1367" i="13"/>
  <c r="Z1366" i="13"/>
  <c r="Y1368" i="13"/>
  <c r="Z1367" i="13"/>
  <c r="Z1368" i="13"/>
  <c r="Y1369" i="13"/>
  <c r="Y1370" i="13"/>
  <c r="Z1369" i="13"/>
  <c r="Y1371" i="13"/>
  <c r="Z1370" i="13"/>
  <c r="Y1372" i="13"/>
  <c r="Z1371" i="13"/>
  <c r="Y1373" i="13"/>
  <c r="Z1372" i="13"/>
  <c r="Y1374" i="13"/>
  <c r="Z1373" i="13"/>
  <c r="Y1375" i="13"/>
  <c r="Z1374" i="13"/>
  <c r="Y1376" i="13"/>
  <c r="Z1375" i="13"/>
  <c r="Y1377" i="13"/>
  <c r="Z1376" i="13"/>
  <c r="Z1377" i="13"/>
  <c r="Y1378" i="13"/>
  <c r="Y1379" i="13"/>
  <c r="Z1378" i="13"/>
  <c r="Y1380" i="13"/>
  <c r="Z1379" i="13"/>
  <c r="Y1381" i="13"/>
  <c r="Z1380" i="13"/>
  <c r="Y1382" i="13"/>
  <c r="Z1381" i="13"/>
  <c r="Y1383" i="13"/>
  <c r="Z1382" i="13"/>
  <c r="Y1384" i="13"/>
  <c r="Z1383" i="13"/>
  <c r="Z1384" i="13"/>
  <c r="Y1385" i="13"/>
  <c r="Y1386" i="13"/>
  <c r="Z1385" i="13"/>
  <c r="Y1387" i="13"/>
  <c r="Z1386" i="13"/>
  <c r="Y1388" i="13"/>
  <c r="Z1387" i="13"/>
  <c r="Y1389" i="13"/>
  <c r="Z1388" i="13"/>
  <c r="Y1390" i="13"/>
  <c r="Z1389" i="13"/>
  <c r="Y1391" i="13"/>
  <c r="Z1390" i="13"/>
  <c r="Y1392" i="13"/>
  <c r="Z1391" i="13"/>
  <c r="Y1393" i="13"/>
  <c r="Z1392" i="13"/>
  <c r="Y1394" i="13"/>
  <c r="Z1393" i="13"/>
  <c r="Y1395" i="13"/>
  <c r="Z1394" i="13"/>
  <c r="Z1395" i="13"/>
  <c r="Y1396" i="13"/>
  <c r="Y1397" i="13"/>
  <c r="Z1396" i="13"/>
  <c r="Y1398" i="13"/>
  <c r="Z1397" i="13"/>
  <c r="Y1399" i="13"/>
  <c r="Z1398" i="13"/>
  <c r="Y1400" i="13"/>
  <c r="Z1399" i="13"/>
  <c r="Y1401" i="13"/>
  <c r="Z1400" i="13"/>
  <c r="Y1402" i="13"/>
  <c r="Z1401" i="13"/>
  <c r="Y1403" i="13"/>
  <c r="Z1402" i="13"/>
  <c r="Y1404" i="13"/>
  <c r="Z1403" i="13"/>
  <c r="Z1404" i="13"/>
  <c r="Y1405" i="13"/>
  <c r="Y1406" i="13"/>
  <c r="Z1405" i="13"/>
  <c r="Y1407" i="13"/>
  <c r="Z1406" i="13"/>
  <c r="Y1408" i="13"/>
  <c r="Z1407" i="13"/>
  <c r="Z1408" i="13"/>
  <c r="Y1409" i="13"/>
  <c r="Y1410" i="13"/>
  <c r="Z1409" i="13"/>
  <c r="Y1411" i="13"/>
  <c r="Z1410" i="13"/>
  <c r="Y1412" i="13"/>
  <c r="Z1411" i="13"/>
  <c r="Y1413" i="13"/>
  <c r="Z1412" i="13"/>
  <c r="Z1413" i="13"/>
  <c r="Y1414" i="13"/>
  <c r="Y1415" i="13"/>
  <c r="Z1414" i="13"/>
  <c r="Y1416" i="13"/>
  <c r="Z1415" i="13"/>
  <c r="Z1416" i="13"/>
  <c r="Y1417" i="13"/>
  <c r="Y1418" i="13"/>
  <c r="Z1417" i="13"/>
  <c r="Y1419" i="13"/>
  <c r="Z1418" i="13"/>
  <c r="Y1420" i="13"/>
  <c r="Z1419" i="13"/>
  <c r="Y1421" i="13"/>
  <c r="Z1420" i="13"/>
  <c r="Y1422" i="13"/>
  <c r="Z1421" i="13"/>
  <c r="Y1423" i="13"/>
  <c r="Z1422" i="13"/>
  <c r="Y1424" i="13"/>
  <c r="Z1423" i="13"/>
  <c r="Y1425" i="13"/>
  <c r="Z1424" i="13"/>
  <c r="Y1426" i="13"/>
  <c r="Z1425" i="13"/>
  <c r="Y1427" i="13"/>
  <c r="Z1426" i="13"/>
  <c r="Z1427" i="13"/>
  <c r="Y1428" i="13"/>
  <c r="Y1429" i="13"/>
  <c r="Z1428" i="13"/>
  <c r="Y1430" i="13"/>
  <c r="Z1429" i="13"/>
  <c r="Y1431" i="13"/>
  <c r="Z1430" i="13"/>
  <c r="Y1432" i="13"/>
  <c r="Z1431" i="13"/>
  <c r="Y1433" i="13"/>
  <c r="Z1432" i="13"/>
  <c r="Y1434" i="13"/>
  <c r="Z1433" i="13"/>
  <c r="Y1435" i="13"/>
  <c r="Z1434" i="13"/>
  <c r="Y1436" i="13"/>
  <c r="Z1435" i="13"/>
  <c r="Z1436" i="13"/>
  <c r="Y1437" i="13"/>
  <c r="Y1438" i="13"/>
  <c r="Z1437" i="13"/>
  <c r="Y1439" i="13"/>
  <c r="Z1438" i="13"/>
  <c r="Y1440" i="13"/>
  <c r="Z1439" i="13"/>
  <c r="Y1441" i="13"/>
  <c r="Z1440" i="13"/>
  <c r="Y1442" i="13"/>
  <c r="Z1441" i="13"/>
  <c r="Y1443" i="13"/>
  <c r="Z1442" i="13"/>
  <c r="Y1444" i="13"/>
  <c r="Z1443" i="13"/>
  <c r="Y1445" i="13"/>
  <c r="Z1444" i="13"/>
  <c r="Z1445" i="13"/>
  <c r="Y1446" i="13"/>
  <c r="Y1447" i="13"/>
  <c r="Z1446" i="13"/>
  <c r="Y1448" i="13"/>
  <c r="Z1447" i="13"/>
  <c r="Y1449" i="13"/>
  <c r="Z1448" i="13"/>
  <c r="Y1450" i="13"/>
  <c r="Z1449" i="13"/>
  <c r="Y1451" i="13"/>
  <c r="Z1450" i="13"/>
  <c r="Y1452" i="13"/>
  <c r="Z1451" i="13"/>
  <c r="Y1453" i="13"/>
  <c r="Z1452" i="13"/>
  <c r="Y1454" i="13"/>
  <c r="Z1453" i="13"/>
  <c r="Y1455" i="13"/>
  <c r="Z1454" i="13"/>
  <c r="Y1456" i="13"/>
  <c r="Z1455" i="13"/>
  <c r="Y1457" i="13"/>
  <c r="Z1456" i="13"/>
  <c r="Y1458" i="13"/>
  <c r="Z1457" i="13"/>
  <c r="Y1459" i="13"/>
  <c r="Z1458" i="13"/>
  <c r="Z1459" i="13"/>
  <c r="Y1460" i="13"/>
  <c r="Y1461" i="13"/>
  <c r="Z1460" i="13"/>
  <c r="Y1462" i="13"/>
  <c r="Z1461" i="13"/>
  <c r="Y1463" i="13"/>
  <c r="Z1462" i="13"/>
  <c r="Y1464" i="13"/>
  <c r="Z1463" i="13"/>
  <c r="Y1465" i="13"/>
  <c r="Z1464" i="13"/>
  <c r="Y1466" i="13"/>
  <c r="Z1465" i="13"/>
  <c r="Y1467" i="13"/>
  <c r="Z1466" i="13"/>
  <c r="Z1467" i="13"/>
  <c r="Y1468" i="13"/>
  <c r="Z1468" i="13"/>
  <c r="Y1469" i="13"/>
  <c r="Y1470" i="13"/>
  <c r="Z1469" i="13"/>
  <c r="Y1471" i="13"/>
  <c r="Z1470" i="13"/>
  <c r="Y1472" i="13"/>
  <c r="Z1471" i="13"/>
  <c r="Y1473" i="13"/>
  <c r="Z1472" i="13"/>
  <c r="Y1474" i="13"/>
  <c r="Z1473" i="13"/>
  <c r="Y1475" i="13"/>
  <c r="Z1474" i="13"/>
  <c r="Z1475" i="13"/>
  <c r="Y1476" i="13"/>
  <c r="Y1477" i="13"/>
  <c r="Z1476" i="13"/>
  <c r="Z1477" i="13"/>
  <c r="Y1478" i="13"/>
  <c r="Y1479" i="13"/>
  <c r="Z1478" i="13"/>
  <c r="Y1480" i="13"/>
  <c r="Z1479" i="13"/>
  <c r="Y1481" i="13"/>
  <c r="Z1480" i="13"/>
  <c r="Z1481" i="13"/>
  <c r="Y1482" i="13"/>
  <c r="Y1483" i="13"/>
  <c r="Z1482" i="13"/>
  <c r="Y1484" i="13"/>
  <c r="Z1483" i="13"/>
  <c r="Y1485" i="13"/>
  <c r="Z1484" i="13"/>
  <c r="Y1486" i="13"/>
  <c r="Z1485" i="13"/>
  <c r="Y1487" i="13"/>
  <c r="Z1486" i="13"/>
  <c r="Y1488" i="13"/>
  <c r="Z1487" i="13"/>
  <c r="Y1489" i="13"/>
  <c r="Z1488" i="13"/>
  <c r="Z1489" i="13"/>
  <c r="Y1490" i="13"/>
  <c r="Y1491" i="13"/>
  <c r="Z1490" i="13"/>
  <c r="Z1491" i="13"/>
  <c r="Y1492" i="13"/>
  <c r="Y1493" i="13"/>
  <c r="Z1492" i="13"/>
  <c r="Y1494" i="13"/>
  <c r="Z1493" i="13"/>
  <c r="Y1495" i="13"/>
  <c r="Z1494" i="13"/>
  <c r="Y1496" i="13"/>
  <c r="Z1495" i="13"/>
  <c r="Y1497" i="13"/>
  <c r="Z1496" i="13"/>
  <c r="Y1498" i="13"/>
  <c r="Z1497" i="13"/>
  <c r="Y1499" i="13"/>
  <c r="Z1498" i="13"/>
  <c r="Y1500" i="13"/>
  <c r="Z1499" i="13"/>
  <c r="Z1500" i="13"/>
  <c r="Y1501" i="13"/>
  <c r="Y1502" i="13"/>
  <c r="Z1501" i="13"/>
  <c r="Y1503" i="13"/>
  <c r="Z1502" i="13"/>
  <c r="Y1504" i="13"/>
  <c r="Z1503" i="13"/>
  <c r="Y1505" i="13"/>
  <c r="Z1504" i="13"/>
  <c r="Y1506" i="13"/>
  <c r="Z1505" i="13"/>
  <c r="Y1507" i="13"/>
  <c r="Z1506" i="13"/>
  <c r="Y1508" i="13"/>
  <c r="Z1507" i="13"/>
  <c r="Y1509" i="13"/>
  <c r="Z1508" i="13"/>
  <c r="Z1509" i="13"/>
  <c r="Y1510" i="13"/>
  <c r="Y1511" i="13"/>
  <c r="Z1510" i="13"/>
  <c r="Y1512" i="13"/>
  <c r="Z1511" i="13"/>
  <c r="Y1513" i="13"/>
  <c r="Z1512" i="13"/>
  <c r="Y1514" i="13"/>
  <c r="Z1513" i="13"/>
  <c r="Y1515" i="13"/>
  <c r="Z1514" i="13"/>
  <c r="Y1516" i="13"/>
  <c r="Z1515" i="13"/>
  <c r="Y1517" i="13"/>
  <c r="Z1516" i="13"/>
  <c r="Y1518" i="13"/>
  <c r="Z1517" i="13"/>
  <c r="Y1519" i="13"/>
  <c r="Z1518" i="13"/>
  <c r="Y1520" i="13"/>
  <c r="Z1519" i="13"/>
  <c r="Y1521" i="13"/>
  <c r="Z1520" i="13"/>
  <c r="Y1522" i="13"/>
  <c r="Z1521" i="13"/>
  <c r="Y1523" i="13"/>
  <c r="Z1522" i="13"/>
  <c r="Z1523" i="13"/>
  <c r="Y1524" i="13"/>
  <c r="Y1525" i="13"/>
  <c r="Z1524" i="13"/>
  <c r="Y1526" i="13"/>
  <c r="Z1525" i="13"/>
  <c r="Y1527" i="13"/>
  <c r="Z1526" i="13"/>
  <c r="Y1528" i="13"/>
  <c r="Z1527" i="13"/>
  <c r="Y1529" i="13"/>
  <c r="Z1528" i="13"/>
  <c r="Y1530" i="13"/>
  <c r="Z1529" i="13"/>
  <c r="Y1531" i="13"/>
  <c r="Z1530" i="13"/>
  <c r="Y1532" i="13"/>
  <c r="Z1531" i="13"/>
  <c r="Z1532" i="13"/>
  <c r="Y1533" i="13"/>
  <c r="Y1534" i="13"/>
  <c r="Z1533" i="13"/>
  <c r="Y1535" i="13"/>
  <c r="Z1534" i="13"/>
  <c r="Y1536" i="13"/>
  <c r="Z1535" i="13"/>
  <c r="Y1537" i="13"/>
  <c r="Z1536" i="13"/>
  <c r="Y1538" i="13"/>
  <c r="Z1537" i="13"/>
  <c r="Y1539" i="13"/>
  <c r="Z1538" i="13"/>
  <c r="Y1540" i="13"/>
  <c r="Z1539" i="13"/>
  <c r="Z1540" i="13"/>
  <c r="Y1541" i="13"/>
  <c r="Z1541" i="13"/>
  <c r="Y1542" i="13"/>
  <c r="Y1543" i="13"/>
  <c r="Z1542" i="13"/>
  <c r="Y1544" i="13"/>
  <c r="Z1543" i="13"/>
  <c r="Y1545" i="13"/>
  <c r="Z1544" i="13"/>
  <c r="Y1546" i="13"/>
  <c r="Z1545" i="13"/>
  <c r="Y1547" i="13"/>
  <c r="Z1546" i="13"/>
  <c r="Y1548" i="13"/>
  <c r="Z1547" i="13"/>
  <c r="Y1549" i="13"/>
  <c r="Z1548" i="13"/>
  <c r="Y1550" i="13"/>
  <c r="Z1549" i="13"/>
  <c r="Y1551" i="13"/>
  <c r="Z1550" i="13"/>
  <c r="Y1552" i="13"/>
  <c r="Z1551" i="13"/>
  <c r="Y1553" i="13"/>
  <c r="Z1552" i="13"/>
  <c r="Y1554" i="13"/>
  <c r="Z1553" i="13"/>
  <c r="Z1554" i="13"/>
  <c r="Y1555" i="13"/>
  <c r="Z1555" i="13"/>
  <c r="Y1556" i="13"/>
  <c r="Y1557" i="13"/>
  <c r="Z1556" i="13"/>
  <c r="Y1558" i="13"/>
  <c r="Z1557" i="13"/>
  <c r="Y1559" i="13"/>
  <c r="Z1558" i="13"/>
  <c r="Y1560" i="13"/>
  <c r="Z1559" i="13"/>
  <c r="Y1561" i="13"/>
  <c r="Z1560" i="13"/>
  <c r="Y1562" i="13"/>
  <c r="Z1561" i="13"/>
  <c r="Y1563" i="13"/>
  <c r="Z1562" i="13"/>
  <c r="Y1564" i="13"/>
  <c r="Z1563" i="13"/>
  <c r="Z1564" i="13"/>
  <c r="Y1565" i="13"/>
  <c r="Y1566" i="13"/>
  <c r="Z1565" i="13"/>
  <c r="Y1567" i="13"/>
  <c r="Z1566" i="13"/>
  <c r="Y1568" i="13"/>
  <c r="Z1567" i="13"/>
  <c r="Y1569" i="13"/>
  <c r="Z1568" i="13"/>
  <c r="Y1570" i="13"/>
  <c r="Z1569" i="13"/>
  <c r="Y1571" i="13"/>
  <c r="Z1570" i="13"/>
  <c r="Z1571" i="13"/>
  <c r="Y1572" i="13"/>
  <c r="Y1573" i="13"/>
  <c r="Z1572" i="13"/>
  <c r="Z1573" i="13"/>
  <c r="Y1574" i="13"/>
  <c r="Y1575" i="13"/>
  <c r="Z1574" i="13"/>
  <c r="Y1576" i="13"/>
  <c r="Z1575" i="13"/>
  <c r="Y1577" i="13"/>
  <c r="Z1576" i="13"/>
  <c r="Y1578" i="13"/>
  <c r="Z1577" i="13"/>
  <c r="Y1579" i="13"/>
  <c r="Z1578" i="13"/>
  <c r="Y1580" i="13"/>
  <c r="Z1579" i="13"/>
  <c r="Y1581" i="13"/>
  <c r="Z1580" i="13"/>
  <c r="Y1582" i="13"/>
  <c r="Z1581" i="13"/>
  <c r="Y1583" i="13"/>
  <c r="Z1582" i="13"/>
  <c r="Y1584" i="13"/>
  <c r="Z1583" i="13"/>
  <c r="Y1585" i="13"/>
  <c r="Z1584" i="13"/>
  <c r="Y1586" i="13"/>
  <c r="Z1585" i="13"/>
  <c r="Y1587" i="13"/>
  <c r="Z1586" i="13"/>
  <c r="Z1587" i="13"/>
  <c r="Y1588" i="13"/>
  <c r="Y1589" i="13"/>
  <c r="Z1588" i="13"/>
  <c r="Z1589" i="13"/>
  <c r="Y1590" i="13"/>
  <c r="Y1591" i="13"/>
  <c r="Z1590" i="13"/>
  <c r="Y1592" i="13"/>
  <c r="Z1591" i="13"/>
  <c r="Y1593" i="13"/>
  <c r="Z1592" i="13"/>
  <c r="Y1594" i="13"/>
  <c r="Z1593" i="13"/>
  <c r="Y1595" i="13"/>
  <c r="Z1594" i="13"/>
  <c r="Z1595" i="13"/>
  <c r="Y1596" i="13"/>
  <c r="Z1596" i="13"/>
  <c r="Y1597" i="13"/>
  <c r="Y1598" i="13"/>
  <c r="Z1597" i="13"/>
  <c r="Y1599" i="13"/>
  <c r="Z1598" i="13"/>
  <c r="Y1600" i="13"/>
  <c r="Z1599" i="13"/>
  <c r="Y1601" i="13"/>
  <c r="Z1600" i="13"/>
  <c r="Y1602" i="13"/>
  <c r="Z1601" i="13"/>
  <c r="Y1603" i="13"/>
  <c r="Z1602" i="13"/>
  <c r="Y1604" i="13"/>
  <c r="Z1603" i="13"/>
  <c r="Y1605" i="13"/>
  <c r="Z1604" i="13"/>
  <c r="Z1605" i="13"/>
  <c r="Y1606" i="13"/>
  <c r="Y1607" i="13"/>
  <c r="Z1606" i="13"/>
  <c r="Y1608" i="13"/>
  <c r="Z1607" i="13"/>
  <c r="Y1609" i="13"/>
  <c r="Z1608" i="13"/>
  <c r="Y1610" i="13"/>
  <c r="Z1609" i="13"/>
  <c r="Y1611" i="13"/>
  <c r="Z1610" i="13"/>
  <c r="Y1612" i="13"/>
  <c r="Z1611" i="13"/>
  <c r="Y1613" i="13"/>
  <c r="Z1612" i="13"/>
  <c r="Z1613" i="13"/>
  <c r="Y1614" i="13"/>
  <c r="Y1615" i="13"/>
  <c r="Z1614" i="13"/>
  <c r="Y1616" i="13"/>
  <c r="Z1615" i="13"/>
  <c r="Y1617" i="13"/>
  <c r="Z1616" i="13"/>
  <c r="Y1618" i="13"/>
  <c r="Z1617" i="13"/>
  <c r="Y1619" i="13"/>
  <c r="Z1618" i="13"/>
  <c r="Z1619" i="13"/>
  <c r="Y1620" i="13"/>
  <c r="Y1621" i="13"/>
  <c r="Z1620" i="13"/>
  <c r="Y1622" i="13"/>
  <c r="Z1621" i="13"/>
  <c r="Y1623" i="13"/>
  <c r="Z1622" i="13"/>
  <c r="Y1624" i="13"/>
  <c r="Z1623" i="13"/>
  <c r="Y1625" i="13"/>
  <c r="Z1624" i="13"/>
  <c r="Y1626" i="13"/>
  <c r="Z1625" i="13"/>
  <c r="Y1627" i="13"/>
  <c r="Z1626" i="13"/>
  <c r="Y1628" i="13"/>
  <c r="Z1627" i="13"/>
  <c r="Z1628" i="13"/>
  <c r="Y1629" i="13"/>
  <c r="Y1630" i="13"/>
  <c r="Z1629" i="13"/>
  <c r="Y1631" i="13"/>
  <c r="Z1630" i="13"/>
  <c r="Y1632" i="13"/>
  <c r="Z1631" i="13"/>
  <c r="Y1633" i="13"/>
  <c r="Z1632" i="13"/>
  <c r="Y1634" i="13"/>
  <c r="Z1633" i="13"/>
  <c r="Y1635" i="13"/>
  <c r="Z1634" i="13"/>
  <c r="Z1635" i="13"/>
  <c r="Y1636" i="13"/>
  <c r="Y1637" i="13"/>
  <c r="Z1636" i="13"/>
  <c r="Z1637" i="13"/>
  <c r="Y1638" i="13"/>
  <c r="Y1639" i="13"/>
  <c r="Z1638" i="13"/>
  <c r="Y1640" i="13"/>
  <c r="Z1639" i="13"/>
  <c r="Y1641" i="13"/>
  <c r="Z1640" i="13"/>
  <c r="Y1642" i="13"/>
  <c r="Z1641" i="13"/>
  <c r="Y1643" i="13"/>
  <c r="Z1642" i="13"/>
  <c r="Y1644" i="13"/>
  <c r="Z1643" i="13"/>
  <c r="Z1644" i="13"/>
  <c r="Y1645" i="13"/>
  <c r="Y1646" i="13"/>
  <c r="Z1645" i="13"/>
  <c r="Y1647" i="13"/>
  <c r="Z1646" i="13"/>
  <c r="Y1648" i="13"/>
  <c r="Z1647" i="13"/>
  <c r="Y1649" i="13"/>
  <c r="Z1648" i="13"/>
  <c r="Y1650" i="13"/>
  <c r="Z1649" i="13"/>
  <c r="Y1651" i="13"/>
  <c r="Z1650" i="13"/>
  <c r="Z1651" i="13"/>
  <c r="Y1652" i="13"/>
  <c r="Y1653" i="13"/>
  <c r="Z1652" i="13"/>
  <c r="Z1653" i="13"/>
  <c r="Y1654" i="13"/>
  <c r="Y1655" i="13"/>
  <c r="Z1654" i="13"/>
  <c r="Y1656" i="13"/>
  <c r="Z1655" i="13"/>
  <c r="Y1657" i="13"/>
  <c r="Z1656" i="13"/>
  <c r="Y1658" i="13"/>
  <c r="Z1657" i="13"/>
  <c r="Y1659" i="13"/>
  <c r="Z1658" i="13"/>
  <c r="Z1659" i="13"/>
  <c r="Y1660" i="13"/>
  <c r="Z1660" i="13"/>
  <c r="Y1661" i="13"/>
  <c r="Y1662" i="13"/>
  <c r="Z1661" i="13"/>
  <c r="Y1663" i="13"/>
  <c r="Z1662" i="13"/>
  <c r="Y1664" i="13"/>
  <c r="Z1663" i="13"/>
  <c r="Y1665" i="13"/>
  <c r="Z1664" i="13"/>
  <c r="Y1666" i="13"/>
  <c r="Z1665" i="13"/>
  <c r="Y1667" i="13"/>
  <c r="Z1666" i="13"/>
  <c r="Y1668" i="13"/>
  <c r="Z1667" i="13"/>
  <c r="Z1668" i="13"/>
  <c r="Y1669" i="13"/>
  <c r="Z1669" i="13"/>
  <c r="Y1670" i="13"/>
  <c r="Y1671" i="13"/>
  <c r="Z1670" i="13"/>
  <c r="Y1672" i="13"/>
  <c r="Z1671" i="13"/>
  <c r="Y1673" i="13"/>
  <c r="Z1672" i="13"/>
  <c r="Z1673" i="13"/>
  <c r="Y1674" i="13"/>
  <c r="Y1675" i="13"/>
  <c r="Z1674" i="13"/>
  <c r="Y1676" i="13"/>
  <c r="Z1675" i="13"/>
  <c r="Y1677" i="13"/>
  <c r="Z1676" i="13"/>
  <c r="Z1677" i="13"/>
  <c r="Y1678" i="13"/>
  <c r="Y1679" i="13"/>
  <c r="Z1678" i="13"/>
  <c r="Y1680" i="13"/>
  <c r="Z1679" i="13"/>
  <c r="Y1681" i="13"/>
  <c r="Z1680" i="13"/>
  <c r="Y1682" i="13"/>
  <c r="Z1681" i="13"/>
  <c r="Y1683" i="13"/>
  <c r="Z1682" i="13"/>
  <c r="Z1683" i="13"/>
  <c r="Y1684" i="13"/>
  <c r="Y1685" i="13"/>
  <c r="Z1684" i="13"/>
  <c r="Y1686" i="13"/>
  <c r="Z1685" i="13"/>
  <c r="Y1687" i="13"/>
  <c r="Z1686" i="13"/>
  <c r="Y1688" i="13"/>
  <c r="Z1687" i="13"/>
  <c r="Y1689" i="13"/>
  <c r="Z1688" i="13"/>
  <c r="Y1690" i="13"/>
  <c r="Z1689" i="13"/>
  <c r="Y1691" i="13"/>
  <c r="Z1690" i="13"/>
  <c r="Y1692" i="13"/>
  <c r="Z1691" i="13"/>
  <c r="Z1692" i="13"/>
  <c r="Y1693" i="13"/>
  <c r="Y1694" i="13"/>
  <c r="Z1693" i="13"/>
  <c r="Y1695" i="13"/>
  <c r="Z1694" i="13"/>
  <c r="Y1696" i="13"/>
  <c r="Z1695" i="13"/>
  <c r="Y1697" i="13"/>
  <c r="Z1696" i="13"/>
  <c r="Y1698" i="13"/>
  <c r="Z1697" i="13"/>
  <c r="Y1699" i="13"/>
  <c r="Z1698" i="13"/>
  <c r="Z1699" i="13"/>
  <c r="Y1700" i="13"/>
  <c r="Y1701" i="13"/>
  <c r="Z1700" i="13"/>
  <c r="Z1701" i="13"/>
  <c r="Y1702" i="13"/>
  <c r="Y1703" i="13"/>
  <c r="Z1702" i="13"/>
  <c r="Y1704" i="13"/>
  <c r="Z1703" i="13"/>
  <c r="Y1705" i="13"/>
  <c r="Z1704" i="13"/>
  <c r="Y1706" i="13"/>
  <c r="Z1705" i="13"/>
  <c r="Y1707" i="13"/>
  <c r="Z1706" i="13"/>
  <c r="Y1708" i="13"/>
  <c r="Z1707" i="13"/>
  <c r="Y1709" i="13"/>
  <c r="Z1708" i="13"/>
  <c r="Y1710" i="13"/>
  <c r="Z1709" i="13"/>
  <c r="Y1711" i="13"/>
  <c r="Z1710" i="13"/>
  <c r="Y1712" i="13"/>
  <c r="Z1711" i="13"/>
  <c r="Y1713" i="13"/>
  <c r="Z1712" i="13"/>
  <c r="Y1714" i="13"/>
  <c r="Z1713" i="13"/>
  <c r="Y1715" i="13"/>
  <c r="Z1714" i="13"/>
  <c r="Z1715" i="13"/>
  <c r="Y1716" i="13"/>
  <c r="Y1717" i="13"/>
  <c r="Z1716" i="13"/>
  <c r="Z1717" i="13"/>
  <c r="Y1718" i="13"/>
  <c r="Y1719" i="13"/>
  <c r="Z1718" i="13"/>
  <c r="Y1720" i="13"/>
  <c r="Z1719" i="13"/>
  <c r="Y1721" i="13"/>
  <c r="Z1720" i="13"/>
  <c r="Y1722" i="13"/>
  <c r="Z1721" i="13"/>
  <c r="Y1723" i="13"/>
  <c r="Z1722" i="13"/>
  <c r="Y1724" i="13"/>
  <c r="Z1723" i="13"/>
  <c r="Y1725" i="13"/>
  <c r="Z1724" i="13"/>
  <c r="Y1726" i="13"/>
  <c r="Z1725" i="13"/>
  <c r="Y1727" i="13"/>
  <c r="Z1726" i="13"/>
  <c r="Y1728" i="13"/>
  <c r="Z1727" i="13"/>
  <c r="Y1729" i="13"/>
  <c r="Z1728" i="13"/>
  <c r="Y1730" i="13"/>
  <c r="Z1729" i="13"/>
  <c r="Y1731" i="13"/>
  <c r="Z1730" i="13"/>
  <c r="Y1732" i="13"/>
  <c r="Z1731" i="13"/>
  <c r="Y1733" i="13"/>
  <c r="Z1732" i="13"/>
  <c r="Y1734" i="13"/>
  <c r="Z1733" i="13"/>
  <c r="Y1735" i="13"/>
  <c r="Z1734" i="13"/>
  <c r="Y1736" i="13"/>
  <c r="Z1735" i="13"/>
  <c r="Y1737" i="13"/>
  <c r="Z1736" i="13"/>
  <c r="Y1738" i="13"/>
  <c r="Z1737" i="13"/>
  <c r="Y1739" i="13"/>
  <c r="Z1738" i="13"/>
  <c r="Y1740" i="13"/>
  <c r="Z1739" i="13"/>
  <c r="Y1741" i="13"/>
  <c r="Z1740" i="13"/>
  <c r="Y1742" i="13"/>
  <c r="Z1741" i="13"/>
  <c r="Y1743" i="13"/>
  <c r="Z1742" i="13"/>
  <c r="Z1743" i="13"/>
  <c r="Y1744" i="13"/>
  <c r="Y1745" i="13"/>
  <c r="Z1744" i="13"/>
  <c r="Y1746" i="13"/>
  <c r="Z1745" i="13"/>
  <c r="Y1747" i="13"/>
  <c r="Z1746" i="13"/>
  <c r="Y1748" i="13"/>
  <c r="Z1747" i="13"/>
  <c r="Y1749" i="13"/>
  <c r="Z1748" i="13"/>
  <c r="Y1750" i="13"/>
  <c r="Z1749" i="13"/>
  <c r="Y1751" i="13"/>
  <c r="Z1750" i="13"/>
  <c r="Y1752" i="13"/>
  <c r="Z1751" i="13"/>
  <c r="Y1753" i="13"/>
  <c r="Z1752" i="13"/>
  <c r="Z1753" i="13"/>
  <c r="Y1754" i="13"/>
  <c r="Y1755" i="13"/>
  <c r="Z1754" i="13"/>
  <c r="Y1756" i="13"/>
  <c r="Z1755" i="13"/>
  <c r="Y1757" i="13"/>
  <c r="Z1756" i="13"/>
  <c r="Y1758" i="13"/>
  <c r="Z1757" i="13"/>
  <c r="Y1759" i="13"/>
  <c r="Z1758" i="13"/>
  <c r="Y1760" i="13"/>
  <c r="Z1759" i="13"/>
  <c r="Y1761" i="13"/>
  <c r="Z1760" i="13"/>
  <c r="Y1762" i="13"/>
  <c r="Z1761" i="13"/>
  <c r="Y1763" i="13"/>
  <c r="Z1762" i="13"/>
  <c r="Y1764" i="13"/>
  <c r="Z1763" i="13"/>
  <c r="Y1765" i="13"/>
  <c r="Z1764" i="13"/>
  <c r="Y1766" i="13"/>
  <c r="Z1765" i="13"/>
  <c r="Y1767" i="13"/>
  <c r="Z1766" i="13"/>
  <c r="Y1768" i="13"/>
  <c r="Z1767" i="13"/>
  <c r="Y1769" i="13"/>
  <c r="Z1768" i="13"/>
  <c r="Y1770" i="13"/>
  <c r="Z1769" i="13"/>
  <c r="Y1771" i="13"/>
  <c r="Z1770" i="13"/>
  <c r="Y1772" i="13"/>
  <c r="Z1771" i="13"/>
  <c r="Y1773" i="13"/>
  <c r="Z1772" i="13"/>
  <c r="Y1774" i="13"/>
  <c r="Z1773" i="13"/>
  <c r="Y1775" i="13"/>
  <c r="Z1774" i="13"/>
  <c r="Y1776" i="13"/>
  <c r="Z1775" i="13"/>
  <c r="Y1777" i="13"/>
  <c r="Z1776" i="13"/>
  <c r="Y1778" i="13"/>
  <c r="Z1777" i="13"/>
  <c r="Y1779" i="13"/>
  <c r="Z1778" i="13"/>
  <c r="Y1780" i="13"/>
  <c r="Z1779" i="13"/>
  <c r="Y1781" i="13"/>
  <c r="Z1780" i="13"/>
  <c r="Y1782" i="13"/>
  <c r="Z1781" i="13"/>
  <c r="Y1783" i="13"/>
  <c r="Z1782" i="13"/>
  <c r="Y1784" i="13"/>
  <c r="Z1783" i="13"/>
  <c r="Y1785" i="13"/>
  <c r="Z1784" i="13"/>
  <c r="Y1786" i="13"/>
  <c r="Z1785" i="13"/>
  <c r="Z1786" i="13"/>
  <c r="Y1787" i="13"/>
  <c r="Y1788" i="13"/>
  <c r="Z1787" i="13"/>
  <c r="Y1789" i="13"/>
  <c r="Z1788" i="13"/>
  <c r="Y1790" i="13"/>
  <c r="Z1789" i="13"/>
  <c r="Y1791" i="13"/>
  <c r="Z1790" i="13"/>
  <c r="Y1792" i="13"/>
  <c r="Z1791" i="13"/>
  <c r="Y1793" i="13"/>
  <c r="Z1792" i="13"/>
  <c r="Y1794" i="13"/>
  <c r="Z1793" i="13"/>
  <c r="Y1795" i="13"/>
  <c r="Z1794" i="13"/>
  <c r="Z1795" i="13"/>
  <c r="Y1796" i="13"/>
  <c r="Y1797" i="13"/>
  <c r="Z1796" i="13"/>
  <c r="Y1798" i="13"/>
  <c r="Z1797" i="13"/>
  <c r="Y1799" i="13"/>
  <c r="Z1798" i="13"/>
  <c r="Y1800" i="13"/>
  <c r="Z1799" i="13"/>
  <c r="Y1801" i="13"/>
  <c r="Z1800" i="13"/>
  <c r="Y1802" i="13"/>
  <c r="Z1801" i="13"/>
  <c r="Y1803" i="13"/>
  <c r="Z1802" i="13"/>
  <c r="Y1804" i="13"/>
  <c r="Z1803" i="13"/>
  <c r="Y1805" i="13"/>
  <c r="Z1804" i="13"/>
  <c r="Y1806" i="13"/>
  <c r="Z1805" i="13"/>
  <c r="Y1807" i="13"/>
  <c r="Z1806" i="13"/>
  <c r="Y1808" i="13"/>
  <c r="Z1807" i="13"/>
  <c r="Y1809" i="13"/>
  <c r="Z1808" i="13"/>
  <c r="Y1810" i="13"/>
  <c r="Z1809" i="13"/>
  <c r="Y1811" i="13"/>
  <c r="Z1810" i="13"/>
  <c r="Y1812" i="13"/>
  <c r="Z1811" i="13"/>
  <c r="Y1813" i="13"/>
  <c r="Z1812" i="13"/>
  <c r="Y1814" i="13"/>
  <c r="Z1813" i="13"/>
  <c r="Y1815" i="13"/>
  <c r="Z1814" i="13"/>
  <c r="Y1816" i="13"/>
  <c r="Z1815" i="13"/>
  <c r="Y1817" i="13"/>
  <c r="Z1816" i="13"/>
  <c r="Y1818" i="13"/>
  <c r="Z1817" i="13"/>
  <c r="Y1819" i="13"/>
  <c r="Z1818" i="13"/>
  <c r="Y1820" i="13"/>
  <c r="Z1819" i="13"/>
  <c r="Y1821" i="13"/>
  <c r="Z1820" i="13"/>
  <c r="Y1822" i="13"/>
  <c r="Z1821" i="13"/>
  <c r="Y1823" i="13"/>
  <c r="Z1822" i="13"/>
  <c r="Y1824" i="13"/>
  <c r="Z1823" i="13"/>
  <c r="Y1825" i="13"/>
  <c r="Z1824" i="13"/>
  <c r="Y1826" i="13"/>
  <c r="Z1825" i="13"/>
  <c r="Y1827" i="13"/>
  <c r="Z1826" i="13"/>
  <c r="Y1828" i="13"/>
  <c r="Z1827" i="13"/>
  <c r="Y1829" i="13"/>
  <c r="Z1828" i="13"/>
  <c r="Z1829" i="13"/>
  <c r="Y1830" i="13"/>
  <c r="Y1831" i="13"/>
  <c r="Z1830" i="13"/>
  <c r="Y1832" i="13"/>
  <c r="Z1831" i="13"/>
  <c r="Y1833" i="13"/>
  <c r="Z1832" i="13"/>
  <c r="Y1834" i="13"/>
  <c r="Z1833" i="13"/>
  <c r="Y1835" i="13"/>
  <c r="Z1834" i="13"/>
  <c r="Y1836" i="13"/>
  <c r="Z1835" i="13"/>
  <c r="Y1837" i="13"/>
  <c r="Z1836" i="13"/>
  <c r="Y1838" i="13"/>
  <c r="Z1837" i="13"/>
  <c r="Z1838" i="13"/>
  <c r="Y1839" i="13"/>
  <c r="Y1840" i="13"/>
  <c r="Z1839" i="13"/>
  <c r="Y1841" i="13"/>
  <c r="Z1840" i="13"/>
  <c r="Y1842" i="13"/>
  <c r="Z1841" i="13"/>
  <c r="Y1843" i="13"/>
  <c r="Z1842" i="13"/>
  <c r="Y1844" i="13"/>
  <c r="Z1843" i="13"/>
  <c r="Y1845" i="13"/>
  <c r="Z1844" i="13"/>
  <c r="Y1846" i="13"/>
  <c r="Z1845" i="13"/>
  <c r="Y1847" i="13"/>
  <c r="Z1846" i="13"/>
  <c r="Y1848" i="13"/>
  <c r="Z1847" i="13"/>
  <c r="Y1849" i="13"/>
  <c r="Z1848" i="13"/>
  <c r="Y1850" i="13"/>
  <c r="Z1849" i="13"/>
  <c r="Y1851" i="13"/>
  <c r="Z1850" i="13"/>
  <c r="Y1852" i="13"/>
  <c r="Z1851" i="13"/>
  <c r="Y1853" i="13"/>
  <c r="Z1852" i="13"/>
  <c r="Y1854" i="13"/>
  <c r="Z1853" i="13"/>
  <c r="Y1855" i="13"/>
  <c r="Z1854" i="13"/>
  <c r="Y1856" i="13"/>
  <c r="Z1855" i="13"/>
  <c r="Y1857" i="13"/>
  <c r="Z1856" i="13"/>
  <c r="Y1858" i="13"/>
  <c r="Z1857" i="13"/>
  <c r="Y1859" i="13"/>
  <c r="Z1858" i="13"/>
  <c r="Y1860" i="13"/>
  <c r="Z1859" i="13"/>
  <c r="Y1861" i="13"/>
  <c r="Z1860" i="13"/>
  <c r="Y1862" i="13"/>
  <c r="Z1861" i="13"/>
  <c r="Y1863" i="13"/>
  <c r="Z1862" i="13"/>
  <c r="Y1864" i="13"/>
  <c r="Z1863" i="13"/>
  <c r="Y1865" i="13"/>
  <c r="Z1864" i="13"/>
  <c r="Y1866" i="13"/>
  <c r="Z1865" i="13"/>
  <c r="Y1867" i="13"/>
  <c r="Z1866" i="13"/>
  <c r="Y1868" i="13"/>
  <c r="Z1867" i="13"/>
  <c r="Y1869" i="13"/>
  <c r="Z1868" i="13"/>
  <c r="Y1870" i="13"/>
  <c r="Z1869" i="13"/>
  <c r="Y1871" i="13"/>
  <c r="Z1870" i="13"/>
  <c r="Z1871" i="13"/>
  <c r="Y1872" i="13"/>
  <c r="Y1873" i="13"/>
  <c r="Z1872" i="13"/>
  <c r="Y1874" i="13"/>
  <c r="Z1873" i="13"/>
  <c r="Y1875" i="13"/>
  <c r="Z1874" i="13"/>
  <c r="Y1876" i="13"/>
  <c r="Z1875" i="13"/>
  <c r="Y1877" i="13"/>
  <c r="Z1876" i="13"/>
  <c r="Y1878" i="13"/>
  <c r="Z1877" i="13"/>
  <c r="Y1879" i="13"/>
  <c r="Z1878" i="13"/>
  <c r="Y1880" i="13"/>
  <c r="Z1879" i="13"/>
  <c r="Y1881" i="13"/>
  <c r="Z1880" i="13"/>
  <c r="Z1881" i="13"/>
  <c r="Y1882" i="13"/>
  <c r="Y1883" i="13"/>
  <c r="Z1882" i="13"/>
  <c r="Y1884" i="13"/>
  <c r="Z1883" i="13"/>
  <c r="Y1885" i="13"/>
  <c r="Z1884" i="13"/>
  <c r="Y1886" i="13"/>
  <c r="Z1885" i="13"/>
  <c r="Y1887" i="13"/>
  <c r="Z1886" i="13"/>
  <c r="Z1887" i="13"/>
  <c r="Y1888" i="13"/>
  <c r="Y1889" i="13"/>
  <c r="Z1888" i="13"/>
  <c r="Y1890" i="13"/>
  <c r="Z1889" i="13"/>
  <c r="Y1891" i="13"/>
  <c r="Z1890" i="13"/>
  <c r="Y1892" i="13"/>
  <c r="Z1891" i="13"/>
  <c r="Y1893" i="13"/>
  <c r="Z1892" i="13"/>
  <c r="Y1894" i="13"/>
  <c r="Z1893" i="13"/>
  <c r="Y1895" i="13"/>
  <c r="Z1894" i="13"/>
  <c r="Y1896" i="13"/>
  <c r="Z1895" i="13"/>
  <c r="Y1897" i="13"/>
  <c r="Z1896" i="13"/>
  <c r="Z1897" i="13"/>
  <c r="Y1898" i="13"/>
  <c r="Y1899" i="13"/>
  <c r="Z1898" i="13"/>
  <c r="Y1900" i="13"/>
  <c r="Z1899" i="13"/>
  <c r="Y1901" i="13"/>
  <c r="Z1900" i="13"/>
  <c r="Y1902" i="13"/>
  <c r="Z1901" i="13"/>
  <c r="Y1903" i="13"/>
  <c r="Z1902" i="13"/>
  <c r="Y1904" i="13"/>
  <c r="Z1903" i="13"/>
  <c r="Y1905" i="13"/>
  <c r="Z1904" i="13"/>
  <c r="Y1906" i="13"/>
  <c r="Z1905" i="13"/>
  <c r="Y1907" i="13"/>
  <c r="Z1906" i="13"/>
  <c r="Y1908" i="13"/>
  <c r="Z1907" i="13"/>
  <c r="Y1909" i="13"/>
  <c r="Z1908" i="13"/>
  <c r="Y1910" i="13"/>
  <c r="Z1909" i="13"/>
  <c r="Y1911" i="13"/>
  <c r="Z1910" i="13"/>
  <c r="Y1912" i="13"/>
  <c r="Z1911" i="13"/>
  <c r="Y1913" i="13"/>
  <c r="Z1912" i="13"/>
  <c r="Y1914" i="13"/>
  <c r="Z1913" i="13"/>
  <c r="Z1914" i="13"/>
  <c r="Y1915" i="13"/>
  <c r="Y1916" i="13"/>
  <c r="Z1915" i="13"/>
  <c r="Y1917" i="13"/>
  <c r="Z1916" i="13"/>
  <c r="Y1918" i="13"/>
  <c r="Z1917" i="13"/>
  <c r="Y1919" i="13"/>
  <c r="Z1918" i="13"/>
  <c r="Y1920" i="13"/>
  <c r="Z1919" i="13"/>
  <c r="Y1921" i="13"/>
  <c r="Z1920" i="13"/>
  <c r="Y1922" i="13"/>
  <c r="Z1921" i="13"/>
  <c r="Y1923" i="13"/>
  <c r="Z1922" i="13"/>
  <c r="Z1923" i="13"/>
  <c r="Y1924" i="13"/>
  <c r="Y1925" i="13"/>
  <c r="Z1924" i="13"/>
  <c r="Y1926" i="13"/>
  <c r="Z1925" i="13"/>
  <c r="Y1927" i="13"/>
  <c r="Z1926" i="13"/>
  <c r="Y1928" i="13"/>
  <c r="Z1927" i="13"/>
  <c r="Y1929" i="13"/>
  <c r="Z1928" i="13"/>
  <c r="Y1930" i="13"/>
  <c r="Z1929" i="13"/>
  <c r="Z1930" i="13"/>
  <c r="Y1931" i="13"/>
  <c r="Y1932" i="13"/>
  <c r="Z1931" i="13"/>
  <c r="Y1933" i="13"/>
  <c r="Z1932" i="13"/>
  <c r="Y1934" i="13"/>
  <c r="Z1933" i="13"/>
  <c r="Y1935" i="13"/>
  <c r="Z1934" i="13"/>
  <c r="Y1936" i="13"/>
  <c r="Z1935" i="13"/>
  <c r="Y1937" i="13"/>
  <c r="Z1936" i="13"/>
  <c r="Y1938" i="13"/>
  <c r="Z1937" i="13"/>
  <c r="Y1939" i="13"/>
  <c r="Z1938" i="13"/>
  <c r="Z1939" i="13"/>
  <c r="Y1940" i="13"/>
  <c r="Y1941" i="13"/>
  <c r="Z1940" i="13"/>
  <c r="Y1942" i="13"/>
  <c r="Z1941" i="13"/>
  <c r="Y1943" i="13"/>
  <c r="Z1942" i="13"/>
  <c r="Y1944" i="13"/>
  <c r="Z1943" i="13"/>
  <c r="Y1945" i="13"/>
  <c r="Z1944" i="13"/>
  <c r="Y1946" i="13"/>
  <c r="Z1945" i="13"/>
  <c r="Y1947" i="13"/>
  <c r="Z1946" i="13"/>
  <c r="Y1948" i="13"/>
  <c r="Z1947" i="13"/>
  <c r="Y1949" i="13"/>
  <c r="Z1948" i="13"/>
  <c r="Y1950" i="13"/>
  <c r="Z1949" i="13"/>
  <c r="Y1951" i="13"/>
  <c r="Z1950" i="13"/>
  <c r="Y1952" i="13"/>
  <c r="Z1951" i="13"/>
  <c r="Y1953" i="13"/>
  <c r="Z1952" i="13"/>
  <c r="Y1954" i="13"/>
  <c r="Z1953" i="13"/>
  <c r="Y1955" i="13"/>
  <c r="Z1954" i="13"/>
  <c r="Y1956" i="13"/>
  <c r="Z1955" i="13"/>
  <c r="Y1957" i="13"/>
  <c r="Z1956" i="13"/>
  <c r="Z1957" i="13"/>
  <c r="Y1958" i="13"/>
  <c r="Y1959" i="13"/>
  <c r="Z1958" i="13"/>
  <c r="Y1960" i="13"/>
  <c r="Z1959" i="13"/>
  <c r="Y1961" i="13"/>
  <c r="Z1960" i="13"/>
  <c r="Y1962" i="13"/>
  <c r="Z1961" i="13"/>
  <c r="Y1963" i="13"/>
  <c r="Z1962" i="13"/>
  <c r="Y1964" i="13"/>
  <c r="Z1963" i="13"/>
  <c r="Y1965" i="13"/>
  <c r="Z1964" i="13"/>
  <c r="Y1966" i="13"/>
  <c r="Z1965" i="13"/>
  <c r="Z1966" i="13"/>
  <c r="Y1967" i="13"/>
  <c r="Y1968" i="13"/>
  <c r="Z1967" i="13"/>
  <c r="Y1969" i="13"/>
  <c r="Z1968" i="13"/>
  <c r="Y1970" i="13"/>
  <c r="Z1969" i="13"/>
  <c r="Y1971" i="13"/>
  <c r="Z1970" i="13"/>
  <c r="Y1972" i="13"/>
  <c r="Z1971" i="13"/>
  <c r="Y1973" i="13"/>
  <c r="Z1972" i="13"/>
  <c r="Z1973" i="13"/>
  <c r="Y1974" i="13"/>
  <c r="Y1975" i="13"/>
  <c r="Z1974" i="13"/>
  <c r="Y1976" i="13"/>
  <c r="Z1975" i="13"/>
  <c r="Y1977" i="13"/>
  <c r="Z1976" i="13"/>
  <c r="Y1978" i="13"/>
  <c r="Z1977" i="13"/>
  <c r="Y1979" i="13"/>
  <c r="Z1978" i="13"/>
  <c r="Y1980" i="13"/>
  <c r="Z1979" i="13"/>
  <c r="Y1981" i="13"/>
  <c r="Z1980" i="13"/>
  <c r="Y1982" i="13"/>
  <c r="Z1981" i="13"/>
  <c r="Z1982" i="13"/>
  <c r="Y1983" i="13"/>
  <c r="Y1984" i="13"/>
  <c r="Z1983" i="13"/>
  <c r="Y1985" i="13"/>
  <c r="Z1984" i="13"/>
  <c r="Y1986" i="13"/>
  <c r="Z1985" i="13"/>
  <c r="Y1987" i="13"/>
  <c r="Z1986" i="13"/>
  <c r="Y1988" i="13"/>
  <c r="Z1987" i="13"/>
  <c r="Z1988" i="13"/>
  <c r="Y1989" i="13"/>
  <c r="Y1990" i="13"/>
  <c r="Z1989" i="13"/>
  <c r="Y1991" i="13"/>
  <c r="Z1990" i="13"/>
  <c r="Y1992" i="13"/>
  <c r="Z1991" i="13"/>
  <c r="Y1993" i="13"/>
  <c r="Z1992" i="13"/>
  <c r="Y1994" i="13"/>
  <c r="Z1993" i="13"/>
  <c r="Y1995" i="13"/>
  <c r="Z1994" i="13"/>
  <c r="Y1996" i="13"/>
  <c r="Z1995" i="13"/>
  <c r="Y1997" i="13"/>
  <c r="Z1996" i="13"/>
  <c r="Y1998" i="13"/>
  <c r="Z1997" i="13"/>
  <c r="Y1999" i="13"/>
  <c r="Z1998" i="13"/>
  <c r="Z1999" i="13"/>
  <c r="Y2000" i="13"/>
  <c r="Y2001" i="13"/>
  <c r="Z2000" i="13"/>
  <c r="Y2002" i="13"/>
  <c r="Z2001" i="13"/>
  <c r="Y2003" i="13"/>
  <c r="Z2002" i="13"/>
  <c r="Y2004" i="13"/>
  <c r="Z2003" i="13"/>
  <c r="Y2005" i="13"/>
  <c r="Z2004" i="13"/>
  <c r="Y2006" i="13"/>
  <c r="Z2005" i="13"/>
  <c r="Y2007" i="13"/>
  <c r="Z2006" i="13"/>
  <c r="Y2008" i="13"/>
  <c r="Z2007" i="13"/>
  <c r="Y2009" i="13"/>
  <c r="Z2008" i="13"/>
  <c r="Y2010" i="13"/>
  <c r="Z2009" i="13"/>
  <c r="Y2011" i="13"/>
  <c r="Z2010" i="13"/>
  <c r="Y2012" i="13"/>
  <c r="Z2011" i="13"/>
  <c r="Y2013" i="13"/>
  <c r="Z2012" i="13"/>
  <c r="Y2014" i="13"/>
  <c r="Z2013" i="13"/>
  <c r="Y2015" i="13"/>
  <c r="Z2014" i="13"/>
  <c r="Z2015" i="13"/>
  <c r="Y2016" i="13"/>
  <c r="Y2017" i="13"/>
  <c r="Z2016" i="13"/>
  <c r="Y2018" i="13"/>
  <c r="Z2017" i="13"/>
  <c r="Y2019" i="13"/>
  <c r="Z2018" i="13"/>
  <c r="Y2020" i="13"/>
  <c r="Z2019" i="13"/>
  <c r="Y2021" i="13"/>
  <c r="Z2020" i="13"/>
  <c r="Y2022" i="13"/>
  <c r="Z2021" i="13"/>
  <c r="Y2023" i="13"/>
  <c r="Z2022" i="13"/>
  <c r="Y2024" i="13"/>
  <c r="Z2023" i="13"/>
  <c r="Y2025" i="13"/>
  <c r="Z2024" i="13"/>
  <c r="Z2025" i="13"/>
  <c r="Y2026" i="13"/>
  <c r="Y2027" i="13"/>
  <c r="Z2026" i="13"/>
  <c r="Y2028" i="13"/>
  <c r="Z2027" i="13"/>
  <c r="Y2029" i="13"/>
  <c r="Z2028" i="13"/>
  <c r="Y2030" i="13"/>
  <c r="Z2029" i="13"/>
  <c r="Z2030" i="13"/>
  <c r="Y2031" i="13"/>
  <c r="Y2032" i="13"/>
  <c r="Z2031" i="13"/>
  <c r="Y2033" i="13"/>
  <c r="Z2032" i="13"/>
  <c r="Y2034" i="13"/>
  <c r="Z2033" i="13"/>
  <c r="Y2035" i="13"/>
  <c r="Z2034" i="13"/>
  <c r="Y2036" i="13"/>
  <c r="Z2035" i="13"/>
  <c r="Y2037" i="13"/>
  <c r="Z2036" i="13"/>
  <c r="Y2038" i="13"/>
  <c r="Z2037" i="13"/>
  <c r="Y2039" i="13"/>
  <c r="Z2038" i="13"/>
  <c r="Y2040" i="13"/>
  <c r="Z2039" i="13"/>
  <c r="Y2041" i="13"/>
  <c r="Z2040" i="13"/>
  <c r="Y2042" i="13"/>
  <c r="Z2041" i="13"/>
  <c r="Z2042" i="13"/>
  <c r="Y2043" i="13"/>
  <c r="Y2044" i="13"/>
  <c r="Z2043" i="13"/>
  <c r="Y2045" i="13"/>
  <c r="Z2044" i="13"/>
  <c r="Y2046" i="13"/>
  <c r="Z2045" i="13"/>
  <c r="Y2047" i="13"/>
  <c r="Z2046" i="13"/>
  <c r="Y2048" i="13"/>
  <c r="Z2047" i="13"/>
  <c r="Y2049" i="13"/>
  <c r="Z2048" i="13"/>
  <c r="Y2050" i="13"/>
  <c r="Z2049" i="13"/>
  <c r="Y2051" i="13"/>
  <c r="Z2050" i="13"/>
  <c r="Z2051" i="13"/>
  <c r="Y2052" i="13"/>
  <c r="Y2053" i="13"/>
  <c r="Z2052" i="13"/>
  <c r="Y2054" i="13"/>
  <c r="Z2053" i="13"/>
  <c r="Y2055" i="13"/>
  <c r="Z2054" i="13"/>
  <c r="Y2056" i="13"/>
  <c r="Z2055" i="13"/>
  <c r="Y2057" i="13"/>
  <c r="Z2056" i="13"/>
  <c r="Y2058" i="13"/>
  <c r="Z2057" i="13"/>
  <c r="Z2058" i="13"/>
  <c r="Y2059" i="13"/>
  <c r="Y2060" i="13"/>
  <c r="Z2059" i="13"/>
  <c r="Y2061" i="13"/>
  <c r="Z2060" i="13"/>
  <c r="Y2062" i="13"/>
  <c r="Z2061" i="13"/>
  <c r="Y2063" i="13"/>
  <c r="Z2062" i="13"/>
  <c r="Y2064" i="13"/>
  <c r="Z2063" i="13"/>
  <c r="Y2065" i="13"/>
  <c r="Z2064" i="13"/>
  <c r="Y2066" i="13"/>
  <c r="Z2065" i="13"/>
  <c r="Y2067" i="13"/>
  <c r="Z2066" i="13"/>
  <c r="Z2067" i="13"/>
  <c r="Y2068" i="13"/>
  <c r="Y2069" i="13"/>
  <c r="Z2068" i="13"/>
  <c r="Y2070" i="13"/>
  <c r="Z2069" i="13"/>
  <c r="Y2071" i="13"/>
  <c r="Z2070" i="13"/>
  <c r="Y2072" i="13"/>
  <c r="Z2071" i="13"/>
  <c r="Y2073" i="13"/>
  <c r="Z2072" i="13"/>
  <c r="Y2074" i="13"/>
  <c r="Z2073" i="13"/>
  <c r="Y2075" i="13"/>
  <c r="Z2074" i="13"/>
  <c r="Y2076" i="13"/>
  <c r="Z2075" i="13"/>
  <c r="Y2077" i="13"/>
  <c r="Z2076" i="13"/>
  <c r="Y2078" i="13"/>
  <c r="Z2077" i="13"/>
  <c r="Y2079" i="13"/>
  <c r="Z2078" i="13"/>
  <c r="Y2080" i="13"/>
  <c r="Z2079" i="13"/>
  <c r="Y2081" i="13"/>
  <c r="Z2080" i="13"/>
  <c r="Y2082" i="13"/>
  <c r="Z2081" i="13"/>
  <c r="Y2083" i="13"/>
  <c r="Z2082" i="13"/>
  <c r="Y2084" i="13"/>
  <c r="Z2083" i="13"/>
  <c r="Y2085" i="13"/>
  <c r="Z2084" i="13"/>
  <c r="Z2085" i="13"/>
  <c r="Y2086" i="13"/>
  <c r="Y2087" i="13"/>
  <c r="Z2086" i="13"/>
  <c r="Y2088" i="13"/>
  <c r="Z2087" i="13"/>
  <c r="Y2089" i="13"/>
  <c r="Z2088" i="13"/>
  <c r="Y2090" i="13"/>
  <c r="Z2089" i="13"/>
  <c r="Y2091" i="13"/>
  <c r="Z2090" i="13"/>
  <c r="Y2092" i="13"/>
  <c r="Z2091" i="13"/>
  <c r="Y2093" i="13"/>
  <c r="Z2092" i="13"/>
  <c r="Y2094" i="13"/>
  <c r="Z2093" i="13"/>
  <c r="Z2094" i="13"/>
  <c r="Y2095" i="13"/>
  <c r="Y2096" i="13"/>
  <c r="Z2095" i="13"/>
  <c r="Y2097" i="13"/>
  <c r="Z2096" i="13"/>
  <c r="Y2098" i="13"/>
  <c r="Z2097" i="13"/>
  <c r="Y2099" i="13"/>
  <c r="Z2098" i="13"/>
  <c r="Y2100" i="13"/>
  <c r="Z2099" i="13"/>
  <c r="Y2101" i="13"/>
  <c r="Z2100" i="13"/>
  <c r="Y2102" i="13"/>
  <c r="Z2101" i="13"/>
  <c r="Y2103" i="13"/>
  <c r="Z2102" i="13"/>
  <c r="Y2104" i="13"/>
  <c r="Z2103" i="13"/>
  <c r="Y2105" i="13"/>
  <c r="Z2104" i="13"/>
  <c r="Y2106" i="13"/>
  <c r="Z2105" i="13"/>
  <c r="Y2107" i="13"/>
  <c r="Z2106" i="13"/>
  <c r="Y2108" i="13"/>
  <c r="Z2107" i="13"/>
  <c r="Y2109" i="13"/>
  <c r="Z2108" i="13"/>
  <c r="Y2110" i="13"/>
  <c r="Z2109" i="13"/>
  <c r="Y2111" i="13"/>
  <c r="Z2110" i="13"/>
  <c r="Y2112" i="13"/>
  <c r="Z2111" i="13"/>
  <c r="Y2113" i="13"/>
  <c r="Z2112" i="13"/>
  <c r="Y2114" i="13"/>
  <c r="Z2113" i="13"/>
  <c r="Y2115" i="13"/>
  <c r="Z2114" i="13"/>
  <c r="Y2116" i="13"/>
  <c r="Z2115" i="13"/>
  <c r="Y2117" i="13"/>
  <c r="Z2116" i="13"/>
  <c r="Y2118" i="13"/>
  <c r="Z2117" i="13"/>
  <c r="Y2119" i="13"/>
  <c r="Z2118" i="13"/>
  <c r="Y2120" i="13"/>
  <c r="Z2119" i="13"/>
  <c r="Y2121" i="13"/>
  <c r="Z2120" i="13"/>
  <c r="Y2122" i="13"/>
  <c r="Z2121" i="13"/>
  <c r="Y2123" i="13"/>
  <c r="Z2122" i="13"/>
  <c r="Y2124" i="13"/>
  <c r="Z2123" i="13"/>
  <c r="Y2125" i="13"/>
  <c r="Z2124" i="13"/>
  <c r="Y2126" i="13"/>
  <c r="Z2125" i="13"/>
  <c r="Y2127" i="13"/>
  <c r="Z2126" i="13"/>
  <c r="Z2127" i="13"/>
  <c r="Y2128" i="13"/>
  <c r="Y2129" i="13"/>
  <c r="Z2128" i="13"/>
  <c r="Y2130" i="13"/>
  <c r="Z2129" i="13"/>
  <c r="Y2131" i="13"/>
  <c r="Z2130" i="13"/>
  <c r="Y2132" i="13"/>
  <c r="Z2131" i="13"/>
  <c r="Y2133" i="13"/>
  <c r="Z2132" i="13"/>
  <c r="Y2134" i="13"/>
  <c r="Z2133" i="13"/>
  <c r="Y2135" i="13"/>
  <c r="Z2134" i="13"/>
  <c r="Y2136" i="13"/>
  <c r="Z2135" i="13"/>
  <c r="Y2137" i="13"/>
  <c r="Z2136" i="13"/>
  <c r="Z2137" i="13"/>
  <c r="Y2138" i="13"/>
  <c r="Y2139" i="13"/>
  <c r="Z2138" i="13"/>
  <c r="Y2140" i="13"/>
  <c r="Z2139" i="13"/>
  <c r="Y2141" i="13"/>
  <c r="Z2140" i="13"/>
  <c r="Y2142" i="13"/>
  <c r="Z2141" i="13"/>
  <c r="Y2143" i="13"/>
  <c r="Z2142" i="13"/>
  <c r="Y2144" i="13"/>
  <c r="Z2143" i="13"/>
  <c r="Y2145" i="13"/>
  <c r="Z2144" i="13"/>
  <c r="Y2146" i="13"/>
  <c r="Z2145" i="13"/>
  <c r="Y2147" i="13"/>
  <c r="Z2146" i="13"/>
  <c r="Y2148" i="13"/>
  <c r="Z2147" i="13"/>
  <c r="Y2149" i="13"/>
  <c r="Z2148" i="13"/>
  <c r="Y2150" i="13"/>
  <c r="Z2149" i="13"/>
  <c r="Y2151" i="13"/>
  <c r="Z2150" i="13"/>
  <c r="Y2152" i="13"/>
  <c r="Z2151" i="13"/>
  <c r="Y2153" i="13"/>
  <c r="Z2152" i="13"/>
  <c r="Z2153" i="13"/>
  <c r="Y2154" i="13"/>
  <c r="Y2155" i="13"/>
  <c r="Z2154" i="13"/>
  <c r="Y2156" i="13"/>
  <c r="Z2155" i="13"/>
  <c r="Y2157" i="13"/>
  <c r="Z2156" i="13"/>
  <c r="Y2158" i="13"/>
  <c r="Z2157" i="13"/>
  <c r="Y2159" i="13"/>
  <c r="Z2158" i="13"/>
  <c r="Y2160" i="13"/>
  <c r="Z2159" i="13"/>
  <c r="Y2161" i="13"/>
  <c r="Z2160" i="13"/>
  <c r="Y2162" i="13"/>
  <c r="Z2161" i="13"/>
  <c r="Y2163" i="13"/>
  <c r="Z2162" i="13"/>
  <c r="Y2164" i="13"/>
  <c r="Z2163" i="13"/>
  <c r="Y2165" i="13"/>
  <c r="Z2164" i="13"/>
  <c r="Z2165" i="13"/>
  <c r="Y2166" i="13"/>
  <c r="Y2167" i="13"/>
  <c r="Z2166" i="13"/>
  <c r="Y2168" i="13"/>
  <c r="Z2167" i="13"/>
  <c r="Y2169" i="13"/>
  <c r="Z2168" i="13"/>
  <c r="Y2170" i="13"/>
  <c r="Z2169" i="13"/>
  <c r="Z2170" i="13"/>
  <c r="Y2171" i="13"/>
  <c r="Y2172" i="13"/>
  <c r="Z2171" i="13"/>
  <c r="Y2173" i="13"/>
  <c r="Z2172" i="13"/>
  <c r="Y2174" i="13"/>
  <c r="Z2173" i="13"/>
  <c r="Y2175" i="13"/>
  <c r="Z2174" i="13"/>
  <c r="Y2176" i="13"/>
  <c r="Z2175" i="13"/>
  <c r="Y2177" i="13"/>
  <c r="Z2176" i="13"/>
  <c r="Y2178" i="13"/>
  <c r="Z2177" i="13"/>
  <c r="Y2179" i="13"/>
  <c r="Z2178" i="13"/>
  <c r="Z2179" i="13"/>
  <c r="Y2180" i="13"/>
  <c r="Y2181" i="13"/>
  <c r="Z2180" i="13"/>
  <c r="Y2182" i="13"/>
  <c r="Z2181" i="13"/>
  <c r="Y2183" i="13"/>
  <c r="Z2182" i="13"/>
  <c r="Y2184" i="13"/>
  <c r="Z2183" i="13"/>
  <c r="Y2185" i="13"/>
  <c r="Z2184" i="13"/>
  <c r="Y2186" i="13"/>
  <c r="Z2185" i="13"/>
  <c r="Y2187" i="13"/>
  <c r="Z2186" i="13"/>
  <c r="Y2188" i="13"/>
  <c r="Z2187" i="13"/>
  <c r="Y2189" i="13"/>
  <c r="Z2188" i="13"/>
  <c r="Y2190" i="13"/>
  <c r="Z2189" i="13"/>
  <c r="Y2191" i="13"/>
  <c r="Z2190" i="13"/>
  <c r="Y2192" i="13"/>
  <c r="Z2191" i="13"/>
  <c r="Y2193" i="13"/>
  <c r="Z2192" i="13"/>
  <c r="Y2194" i="13"/>
  <c r="Z2193" i="13"/>
  <c r="Y2195" i="13"/>
  <c r="Z2194" i="13"/>
  <c r="Z2195" i="13"/>
  <c r="Y2196" i="13"/>
  <c r="Y2197" i="13"/>
  <c r="Z2196" i="13"/>
  <c r="Y2198" i="13"/>
  <c r="Z2197" i="13"/>
  <c r="Y2199" i="13"/>
  <c r="Z2198" i="13"/>
  <c r="Y2200" i="13"/>
  <c r="Z2199" i="13"/>
  <c r="Y2201" i="13"/>
  <c r="Z2200" i="13"/>
  <c r="Y2202" i="13"/>
  <c r="Z2201" i="13"/>
  <c r="Y2203" i="13"/>
  <c r="Z2202" i="13"/>
  <c r="Y2204" i="13"/>
  <c r="Z2203" i="13"/>
  <c r="Y2205" i="13"/>
  <c r="Z2204" i="13"/>
  <c r="Y2206" i="13"/>
  <c r="Z2205" i="13"/>
  <c r="Y2207" i="13"/>
  <c r="Z2206" i="13"/>
  <c r="Y2208" i="13"/>
  <c r="Z2207" i="13"/>
  <c r="Y2209" i="13"/>
  <c r="Z2208" i="13"/>
  <c r="Y2210" i="13"/>
  <c r="Z2209" i="13"/>
  <c r="Y2211" i="13"/>
  <c r="Z2210" i="13"/>
  <c r="Y2212" i="13"/>
  <c r="Z2211" i="13"/>
  <c r="Y2213" i="13"/>
  <c r="Z2212" i="13"/>
  <c r="Z2213" i="13"/>
  <c r="Y2214" i="13"/>
  <c r="Y2215" i="13"/>
  <c r="Z2214" i="13"/>
  <c r="Y2216" i="13"/>
  <c r="Z2215" i="13"/>
  <c r="Y2217" i="13"/>
  <c r="Z2216" i="13"/>
  <c r="Y2218" i="13"/>
  <c r="Z2217" i="13"/>
  <c r="Y2219" i="13"/>
  <c r="Z2218" i="13"/>
  <c r="Y2220" i="13"/>
  <c r="Z2219" i="13"/>
  <c r="Y2221" i="13"/>
  <c r="Z2220" i="13"/>
  <c r="Y2222" i="13"/>
  <c r="Z2221" i="13"/>
  <c r="Z2222" i="13"/>
  <c r="Y2223" i="13"/>
  <c r="Y2224" i="13"/>
  <c r="Z2223" i="13"/>
  <c r="Y2225" i="13"/>
  <c r="Z2224" i="13"/>
  <c r="Y2226" i="13"/>
  <c r="Z2225" i="13"/>
  <c r="Y2227" i="13"/>
  <c r="Z2226" i="13"/>
  <c r="Y2228" i="13"/>
  <c r="Z2227" i="13"/>
  <c r="Y2229" i="13"/>
  <c r="Z2228" i="13"/>
  <c r="Z2229" i="13"/>
  <c r="Y2230" i="13"/>
  <c r="Y2231" i="13"/>
  <c r="Z2230" i="13"/>
  <c r="Y2232" i="13"/>
  <c r="Z2231" i="13"/>
  <c r="Y2233" i="13"/>
  <c r="Z2232" i="13"/>
  <c r="Y2234" i="13"/>
  <c r="Z2233" i="13"/>
  <c r="Y2235" i="13"/>
  <c r="Z2234" i="13"/>
  <c r="Y2236" i="13"/>
  <c r="Z2235" i="13"/>
  <c r="Y2237" i="13"/>
  <c r="Z2236" i="13"/>
  <c r="Y2238" i="13"/>
  <c r="Z2237" i="13"/>
  <c r="Y2239" i="13"/>
  <c r="Z2238" i="13"/>
  <c r="Y2240" i="13"/>
  <c r="Z2239" i="13"/>
  <c r="Y2241" i="13"/>
  <c r="Z2240" i="13"/>
  <c r="Y2242" i="13"/>
  <c r="Z2241" i="13"/>
  <c r="Y2243" i="13"/>
  <c r="Z2242" i="13"/>
  <c r="Y2244" i="13"/>
  <c r="Z2243" i="13"/>
  <c r="Y2245" i="13"/>
  <c r="Z2244" i="13"/>
  <c r="Y2246" i="13"/>
  <c r="Z2245" i="13"/>
  <c r="Y2247" i="13"/>
  <c r="Z2246" i="13"/>
  <c r="Y2248" i="13"/>
  <c r="Z2247" i="13"/>
  <c r="Y2249" i="13"/>
  <c r="Z2248" i="13"/>
  <c r="Y2250" i="13"/>
  <c r="Z2249" i="13"/>
  <c r="Y2251" i="13"/>
  <c r="Z2250" i="13"/>
  <c r="Y2252" i="13"/>
  <c r="Z2251" i="13"/>
  <c r="Y2253" i="13"/>
  <c r="Z2252" i="13"/>
  <c r="Y2254" i="13"/>
  <c r="Z2253" i="13"/>
  <c r="Y2255" i="13"/>
  <c r="Z2254" i="13"/>
  <c r="Z2255" i="13"/>
  <c r="Y2256" i="13"/>
  <c r="Y2257" i="13"/>
  <c r="Z2256" i="13"/>
  <c r="Y2258" i="13"/>
  <c r="Z2257" i="13"/>
  <c r="Y2259" i="13"/>
  <c r="Z2258" i="13"/>
  <c r="Y2260" i="13"/>
  <c r="Z2259" i="13"/>
  <c r="Y2261" i="13"/>
  <c r="Z2260" i="13"/>
  <c r="Y2262" i="13"/>
  <c r="Z2261" i="13"/>
  <c r="Y2263" i="13"/>
  <c r="Z2262" i="13"/>
  <c r="Y2264" i="13"/>
  <c r="Z2263" i="13"/>
  <c r="Y2265" i="13"/>
  <c r="Z2264" i="13"/>
  <c r="Z2265" i="13"/>
  <c r="Y2266" i="13"/>
  <c r="Y2267" i="13"/>
  <c r="Z2266" i="13"/>
  <c r="Y2268" i="13"/>
  <c r="Z2267" i="13"/>
  <c r="Y2269" i="13"/>
  <c r="Z2268" i="13"/>
  <c r="Y2270" i="13"/>
  <c r="Z2269" i="13"/>
  <c r="Y2271" i="13"/>
  <c r="Z2270" i="13"/>
  <c r="Y2272" i="13"/>
  <c r="Z2271" i="13"/>
  <c r="Y2273" i="13"/>
  <c r="Z2272" i="13"/>
  <c r="Y2274" i="13"/>
  <c r="Z2273" i="13"/>
  <c r="Y2275" i="13"/>
  <c r="Z2274" i="13"/>
  <c r="Y2276" i="13"/>
  <c r="Z2275" i="13"/>
  <c r="Y2277" i="13"/>
  <c r="Z2276" i="13"/>
  <c r="Y2278" i="13"/>
  <c r="Z2277" i="13"/>
  <c r="Y2279" i="13"/>
  <c r="Z2278" i="13"/>
  <c r="Y2280" i="13"/>
  <c r="Z2279" i="13"/>
  <c r="Y2281" i="13"/>
  <c r="Z2280" i="13"/>
  <c r="Y2282" i="13"/>
  <c r="Z2281" i="13"/>
  <c r="Y2283" i="13"/>
  <c r="Z2282" i="13"/>
  <c r="Y2284" i="13"/>
  <c r="Z2283" i="13"/>
  <c r="Y2285" i="13"/>
  <c r="Z2284" i="13"/>
  <c r="Y2286" i="13"/>
  <c r="Z2285" i="13"/>
  <c r="Y2287" i="13"/>
  <c r="Z2286" i="13"/>
  <c r="Y2288" i="13"/>
  <c r="Z2287" i="13"/>
  <c r="Y2289" i="13"/>
  <c r="Z2288" i="13"/>
  <c r="Y2290" i="13"/>
  <c r="Z2289" i="13"/>
  <c r="Y2291" i="13"/>
  <c r="Z2290" i="13"/>
  <c r="Y2292" i="13"/>
  <c r="Z2291" i="13"/>
  <c r="Y2293" i="13"/>
  <c r="Z2292" i="13"/>
  <c r="Z2293" i="13"/>
  <c r="Y2294" i="13"/>
  <c r="Y2295" i="13"/>
  <c r="Z2294" i="13"/>
  <c r="Y2296" i="13"/>
  <c r="Z2295" i="13"/>
  <c r="Y2297" i="13"/>
  <c r="Z2296" i="13"/>
  <c r="Y2298" i="13"/>
  <c r="Z2297" i="13"/>
  <c r="Z2298" i="13"/>
  <c r="Y2299" i="13"/>
  <c r="Y2300" i="13"/>
  <c r="Z2299" i="13"/>
  <c r="Y2301" i="13"/>
  <c r="Z2300" i="13"/>
  <c r="Y2302" i="13"/>
  <c r="Z2301" i="13"/>
  <c r="Y2303" i="13"/>
  <c r="Z2302" i="13"/>
  <c r="Y2304" i="13"/>
  <c r="Z2303" i="13"/>
  <c r="Y2305" i="13"/>
  <c r="Z2304" i="13"/>
  <c r="Y2306" i="13"/>
  <c r="Z2305" i="13"/>
  <c r="Y2307" i="13"/>
  <c r="Z2306" i="13"/>
  <c r="Z2307" i="13"/>
  <c r="Y2308" i="13"/>
  <c r="Y2309" i="13"/>
  <c r="Z2308" i="13"/>
  <c r="Y2310" i="13"/>
  <c r="Z2309" i="13"/>
  <c r="Y2311" i="13"/>
  <c r="Z2310" i="13"/>
  <c r="Y2312" i="13"/>
  <c r="Z2311" i="13"/>
  <c r="Y2313" i="13"/>
  <c r="Z2312" i="13"/>
  <c r="Y2314" i="13"/>
  <c r="Z2313" i="13"/>
  <c r="Y2315" i="13"/>
  <c r="Z2314" i="13"/>
  <c r="Y2316" i="13"/>
  <c r="Z2315" i="13"/>
  <c r="Y2317" i="13"/>
  <c r="Z2316" i="13"/>
  <c r="Y2318" i="13"/>
  <c r="Z2317" i="13"/>
  <c r="Y2319" i="13"/>
  <c r="Z2318" i="13"/>
  <c r="Y2320" i="13"/>
  <c r="Z2319" i="13"/>
  <c r="Y2321" i="13"/>
  <c r="Z2320" i="13"/>
  <c r="Y2322" i="13"/>
  <c r="Z2321" i="13"/>
  <c r="Y2323" i="13"/>
  <c r="Z2322" i="13"/>
  <c r="Y2324" i="13"/>
  <c r="Z2323" i="13"/>
  <c r="Y2325" i="13"/>
  <c r="Z2324" i="13"/>
  <c r="Y2326" i="13"/>
  <c r="Z2325" i="13"/>
  <c r="Y2327" i="13"/>
  <c r="Z2326" i="13"/>
  <c r="Y2328" i="13"/>
  <c r="Z2327" i="13"/>
  <c r="Y2329" i="13"/>
  <c r="Z2328" i="13"/>
  <c r="Y2330" i="13"/>
  <c r="Z2329" i="13"/>
  <c r="Y2331" i="13"/>
  <c r="Z2330" i="13"/>
  <c r="Y2332" i="13"/>
  <c r="Z2331" i="13"/>
  <c r="Y2333" i="13"/>
  <c r="Z2332" i="13"/>
  <c r="Y2334" i="13"/>
  <c r="Z2333" i="13"/>
  <c r="Y2335" i="13"/>
  <c r="Z2334" i="13"/>
  <c r="Z2335" i="13"/>
  <c r="Y2336" i="13"/>
  <c r="Y2337" i="13"/>
  <c r="Z2336" i="13"/>
  <c r="Y2338" i="13"/>
  <c r="Z2337" i="13"/>
  <c r="Y2339" i="13"/>
  <c r="Z2338" i="13"/>
  <c r="Y2340" i="13"/>
  <c r="Z2339" i="13"/>
  <c r="Y2341" i="13"/>
  <c r="Z2340" i="13"/>
  <c r="Z2341" i="13"/>
  <c r="Y2342" i="13"/>
  <c r="Y2343" i="13"/>
  <c r="Z2342" i="13"/>
  <c r="Y2344" i="13"/>
  <c r="Z2343" i="13"/>
  <c r="Y2345" i="13"/>
  <c r="Z2344" i="13"/>
  <c r="Y2346" i="13"/>
  <c r="Z2345" i="13"/>
  <c r="Y2347" i="13"/>
  <c r="Z2346" i="13"/>
  <c r="Y2348" i="13"/>
  <c r="Z2347" i="13"/>
  <c r="Y2349" i="13"/>
  <c r="Z2348" i="13"/>
  <c r="Y2350" i="13"/>
  <c r="Z2349" i="13"/>
  <c r="Z2350" i="13"/>
  <c r="Y2351" i="13"/>
  <c r="Y2352" i="13"/>
  <c r="Z2351" i="13"/>
  <c r="Y2353" i="13"/>
  <c r="Z2352" i="13"/>
  <c r="Y2354" i="13"/>
  <c r="Z2353" i="13"/>
  <c r="Y2355" i="13"/>
  <c r="Z2354" i="13"/>
  <c r="Y2356" i="13"/>
  <c r="Z2355" i="13"/>
  <c r="Y2357" i="13"/>
  <c r="Z2356" i="13"/>
  <c r="Z2357" i="13"/>
  <c r="Y2358" i="13"/>
  <c r="Y2359" i="13"/>
  <c r="Z2358" i="13"/>
  <c r="Y2360" i="13"/>
  <c r="Z2359" i="13"/>
  <c r="Y2361" i="13"/>
  <c r="Z2360" i="13"/>
  <c r="Y2362" i="13"/>
  <c r="Z2361" i="13"/>
  <c r="Y2363" i="13"/>
  <c r="Z2362" i="13"/>
  <c r="Y2364" i="13"/>
  <c r="Z2363" i="13"/>
  <c r="Y2365" i="13"/>
  <c r="Z2364" i="13"/>
  <c r="Y2366" i="13"/>
  <c r="Z2365" i="13"/>
  <c r="Z2366" i="13"/>
  <c r="Y2367" i="13"/>
  <c r="Y2368" i="13"/>
  <c r="Z2367" i="13"/>
  <c r="Y2369" i="13"/>
  <c r="Z2368" i="13"/>
  <c r="Y2370" i="13"/>
  <c r="Z2369" i="13"/>
  <c r="Y2371" i="13"/>
  <c r="Z2370" i="13"/>
  <c r="Y2372" i="13"/>
  <c r="Z2371" i="13"/>
  <c r="Y2373" i="13"/>
  <c r="Z2372" i="13"/>
  <c r="Y2374" i="13"/>
  <c r="Z2373" i="13"/>
  <c r="Y2375" i="13"/>
  <c r="Z2374" i="13"/>
  <c r="Y2376" i="13"/>
  <c r="Z2375" i="13"/>
  <c r="Y2377" i="13"/>
  <c r="Z2376" i="13"/>
  <c r="Y2378" i="13"/>
  <c r="Z2377" i="13"/>
  <c r="Z2378" i="13"/>
  <c r="Y2379" i="13"/>
  <c r="Y2380" i="13"/>
  <c r="Z2379" i="13"/>
  <c r="Y2381" i="13"/>
  <c r="Z2380" i="13"/>
  <c r="Y2382" i="13"/>
  <c r="Z2381" i="13"/>
  <c r="Y2383" i="13"/>
  <c r="Z2382" i="13"/>
  <c r="Z2383" i="13"/>
  <c r="Y2384" i="13"/>
  <c r="Y2385" i="13"/>
  <c r="Z2384" i="13"/>
  <c r="Y2386" i="13"/>
  <c r="Z2385" i="13"/>
  <c r="Y2387" i="13"/>
  <c r="Z2386" i="13"/>
  <c r="Z2387" i="13"/>
  <c r="Y2388" i="13"/>
  <c r="Y2389" i="13"/>
  <c r="Z2388" i="13"/>
  <c r="Y2390" i="13"/>
  <c r="Z2389" i="13"/>
  <c r="Y2391" i="13"/>
  <c r="Z2390" i="13"/>
  <c r="Y2392" i="13"/>
  <c r="Z2391" i="13"/>
  <c r="Y2393" i="13"/>
  <c r="Z2392" i="13"/>
  <c r="Z2393" i="13"/>
  <c r="Y2394" i="13"/>
  <c r="Y2395" i="13"/>
  <c r="Z2394" i="13"/>
  <c r="Y2396" i="13"/>
  <c r="Z2395" i="13"/>
  <c r="Y2397" i="13"/>
  <c r="Z2396" i="13"/>
  <c r="Y2398" i="13"/>
  <c r="Z2397" i="13"/>
  <c r="Y2399" i="13"/>
  <c r="Z2398" i="13"/>
  <c r="Z2399" i="13"/>
  <c r="Y2400" i="13"/>
  <c r="Y2401" i="13"/>
  <c r="Z2400" i="13"/>
  <c r="Y2402" i="13"/>
  <c r="Z2401" i="13"/>
  <c r="Y2403" i="13"/>
  <c r="Z2402" i="13"/>
  <c r="Y2404" i="13"/>
  <c r="Z2403" i="13"/>
  <c r="Y2405" i="13"/>
  <c r="Z2404" i="13"/>
  <c r="Y2406" i="13"/>
  <c r="Z2405" i="13"/>
  <c r="Y2407" i="13"/>
  <c r="Z2406" i="13"/>
  <c r="Y2408" i="13"/>
  <c r="Z2407" i="13"/>
  <c r="Y2409" i="13"/>
  <c r="Z2408" i="13"/>
  <c r="Y2410" i="13"/>
  <c r="Z2409" i="13"/>
  <c r="Y2411" i="13"/>
  <c r="Z2410" i="13"/>
  <c r="Y2412" i="13"/>
  <c r="Z2411" i="13"/>
  <c r="Y2413" i="13"/>
  <c r="Z2412" i="13"/>
  <c r="Y2414" i="13"/>
  <c r="Z2413" i="13"/>
  <c r="Y2415" i="13"/>
  <c r="Z2414" i="13"/>
  <c r="Y2416" i="13"/>
  <c r="Z2415" i="13"/>
  <c r="Y2417" i="13"/>
  <c r="Z2416" i="13"/>
  <c r="Y2418" i="13"/>
  <c r="Z2417" i="13"/>
  <c r="Y2419" i="13"/>
  <c r="Z2418" i="13"/>
  <c r="Y2420" i="13"/>
  <c r="Z2419" i="13"/>
  <c r="Y2421" i="13"/>
  <c r="Z2420" i="13"/>
  <c r="Z2421" i="13"/>
  <c r="Y2422" i="13"/>
  <c r="Y2423" i="13"/>
  <c r="Z2422" i="13"/>
  <c r="Y2424" i="13"/>
  <c r="Z2423" i="13"/>
  <c r="Y2425" i="13"/>
  <c r="Z2424" i="13"/>
  <c r="Y2426" i="13"/>
  <c r="Z2425" i="13"/>
  <c r="Z2426" i="13"/>
  <c r="Y2427" i="13"/>
  <c r="Y2428" i="13"/>
  <c r="Z2427" i="13"/>
  <c r="Y2429" i="13"/>
  <c r="Z2428" i="13"/>
  <c r="Y2430" i="13"/>
  <c r="Z2429" i="13"/>
  <c r="Z2430" i="13"/>
  <c r="Y2431" i="13"/>
  <c r="Y2432" i="13"/>
  <c r="Z2431" i="13"/>
  <c r="Y2433" i="13"/>
  <c r="Z2432" i="13"/>
  <c r="Y2434" i="13"/>
  <c r="Z2433" i="13"/>
  <c r="Y2435" i="13"/>
  <c r="Z2434" i="13"/>
  <c r="Z2435" i="13"/>
  <c r="Y2436" i="13"/>
  <c r="Y2437" i="13"/>
  <c r="Z2436" i="13"/>
  <c r="Y2438" i="13"/>
  <c r="Z2437" i="13"/>
  <c r="Y2439" i="13"/>
  <c r="Z2438" i="13"/>
  <c r="Y2440" i="13"/>
  <c r="Z2439" i="13"/>
  <c r="Y2441" i="13"/>
  <c r="Z2440" i="13"/>
  <c r="Y2442" i="13"/>
  <c r="Z2441" i="13"/>
  <c r="Y2443" i="13"/>
  <c r="Z2442" i="13"/>
  <c r="Y2444" i="13"/>
  <c r="Z2443" i="13"/>
  <c r="Y2445" i="13"/>
  <c r="Z2444" i="13"/>
  <c r="Y2446" i="13"/>
  <c r="Z2445" i="13"/>
  <c r="Y2447" i="13"/>
  <c r="Z2446" i="13"/>
  <c r="Z2447" i="13"/>
  <c r="Y2448" i="13"/>
  <c r="Y2449" i="13"/>
  <c r="Z2448" i="13"/>
  <c r="Y2450" i="13"/>
  <c r="Z2449" i="13"/>
  <c r="Y2451" i="13"/>
  <c r="Z2450" i="13"/>
  <c r="Y2452" i="13"/>
  <c r="Z2451" i="13"/>
  <c r="Y2453" i="13"/>
  <c r="Z2452" i="13"/>
  <c r="Y2454" i="13"/>
  <c r="Z2453" i="13"/>
  <c r="Y2455" i="13"/>
  <c r="Z2454" i="13"/>
  <c r="Y2456" i="13"/>
  <c r="Z2455" i="13"/>
  <c r="Y2457" i="13"/>
  <c r="Z2456" i="13"/>
  <c r="Y2458" i="13"/>
  <c r="Z2457" i="13"/>
  <c r="Y2459" i="13"/>
  <c r="Z2458" i="13"/>
  <c r="Y2460" i="13"/>
  <c r="Z2459" i="13"/>
  <c r="Y2461" i="13"/>
  <c r="Z2460" i="13"/>
  <c r="Y2462" i="13"/>
  <c r="Z2461" i="13"/>
  <c r="Y2463" i="13"/>
  <c r="Z2462" i="13"/>
  <c r="Y2464" i="13"/>
  <c r="Z2463" i="13"/>
  <c r="Y2465" i="13"/>
  <c r="Z2464" i="13"/>
  <c r="Y2466" i="13"/>
  <c r="Z2465" i="13"/>
  <c r="Y2467" i="13"/>
  <c r="Z2466" i="13"/>
  <c r="Y2468" i="13"/>
  <c r="Z2467" i="13"/>
  <c r="Y2469" i="13"/>
  <c r="Z2468" i="13"/>
  <c r="Z2469" i="13"/>
  <c r="Y2470" i="13"/>
  <c r="Y2471" i="13"/>
  <c r="Z2470" i="13"/>
  <c r="Y2472" i="13"/>
  <c r="Z2471" i="13"/>
  <c r="Y2473" i="13"/>
  <c r="Z2472" i="13"/>
  <c r="Y2474" i="13"/>
  <c r="Z2473" i="13"/>
  <c r="Y2475" i="13"/>
  <c r="Z2474" i="13"/>
  <c r="Y2476" i="13"/>
  <c r="Z2475" i="13"/>
  <c r="Y2477" i="13"/>
  <c r="Z2476" i="13"/>
  <c r="Y2478" i="13"/>
  <c r="Z2477" i="13"/>
  <c r="Z2478" i="13"/>
  <c r="Y2479" i="13"/>
  <c r="Y2480" i="13"/>
  <c r="Z2479" i="13"/>
  <c r="Y2481" i="13"/>
  <c r="Z2480" i="13"/>
  <c r="Y2482" i="13"/>
  <c r="Z2481" i="13"/>
  <c r="Y2483" i="13"/>
  <c r="Z2482" i="13"/>
  <c r="Y2484" i="13"/>
  <c r="Z2483" i="13"/>
  <c r="Y2485" i="13"/>
  <c r="Z2484" i="13"/>
  <c r="Y2486" i="13"/>
  <c r="Z2485" i="13"/>
  <c r="Y2487" i="13"/>
  <c r="Z2486" i="13"/>
  <c r="Y2488" i="13"/>
  <c r="Z2487" i="13"/>
  <c r="Y2489" i="13"/>
  <c r="Z2488" i="13"/>
  <c r="Y2490" i="13"/>
  <c r="Z2489" i="13"/>
  <c r="Y2491" i="13"/>
  <c r="Z2490" i="13"/>
  <c r="Y2492" i="13"/>
  <c r="Z2491" i="13"/>
  <c r="Y2493" i="13"/>
  <c r="Z2492" i="13"/>
  <c r="Y2494" i="13"/>
  <c r="Z2493" i="13"/>
  <c r="Z2494" i="13"/>
  <c r="Y2495" i="13"/>
  <c r="Y2496" i="13"/>
  <c r="Z2495" i="13"/>
  <c r="Y2497" i="13"/>
  <c r="Z2496" i="13"/>
  <c r="Y2498" i="13"/>
  <c r="Z2497" i="13"/>
  <c r="Z2498" i="13"/>
  <c r="Y2499" i="13"/>
  <c r="Y2500" i="13"/>
  <c r="Z2499" i="13"/>
  <c r="Y2501" i="13"/>
  <c r="Z2500" i="13"/>
  <c r="Y2502" i="13"/>
  <c r="Z2501" i="13"/>
  <c r="Y2503" i="13"/>
  <c r="Z2502" i="13"/>
  <c r="Y2504" i="13"/>
  <c r="Z2503" i="13"/>
  <c r="Y2505" i="13"/>
  <c r="Z2504" i="13"/>
  <c r="Z2505" i="13"/>
  <c r="Y2506" i="13"/>
  <c r="Y2507" i="13"/>
  <c r="Z2506" i="13"/>
  <c r="Y2508" i="13"/>
  <c r="Z2507" i="13"/>
  <c r="Y2509" i="13"/>
  <c r="Z2508" i="13"/>
  <c r="Z2509" i="13"/>
  <c r="Y2510" i="13"/>
  <c r="Y2511" i="13"/>
  <c r="Z2510" i="13"/>
  <c r="Y2512" i="13"/>
  <c r="Z2511" i="13"/>
  <c r="Y2513" i="13"/>
  <c r="Z2512" i="13"/>
  <c r="Z2513" i="13"/>
  <c r="Y2514" i="13"/>
  <c r="Z2514" i="13"/>
  <c r="Y2515" i="13"/>
  <c r="Y2516" i="13"/>
  <c r="Z2515" i="13"/>
  <c r="Y2517" i="13"/>
  <c r="Z2516" i="13"/>
  <c r="Z2517" i="13"/>
  <c r="Y2518" i="13"/>
  <c r="Y2519" i="13"/>
  <c r="Z2518" i="13"/>
  <c r="Y2520" i="13"/>
  <c r="Z2519" i="13"/>
  <c r="Y2521" i="13"/>
  <c r="Z2520" i="13"/>
  <c r="Y2522" i="13"/>
  <c r="Z2521" i="13"/>
  <c r="Y2523" i="13"/>
  <c r="Z2522" i="13"/>
  <c r="Z2523" i="13"/>
  <c r="Y2524" i="13"/>
  <c r="Y2525" i="13"/>
  <c r="Z2524" i="13"/>
  <c r="Y2526" i="13"/>
  <c r="Z2525" i="13"/>
  <c r="Y2527" i="13"/>
  <c r="Z2526" i="13"/>
  <c r="Y2528" i="13"/>
  <c r="Z2527" i="13"/>
  <c r="Y2529" i="13"/>
  <c r="Z2528" i="13"/>
  <c r="Y2530" i="13"/>
  <c r="Z2529" i="13"/>
  <c r="Y2531" i="13"/>
  <c r="Z2530" i="13"/>
  <c r="Z2531" i="13"/>
  <c r="Y2532" i="13"/>
  <c r="Y2533" i="13"/>
  <c r="Z2532" i="13"/>
  <c r="Y2534" i="13"/>
  <c r="Z2533" i="13"/>
  <c r="Y2535" i="13"/>
  <c r="Z2534" i="13"/>
  <c r="Y2536" i="13"/>
  <c r="Z2535" i="13"/>
  <c r="Y2537" i="13"/>
  <c r="Z2536" i="13"/>
  <c r="Z2537" i="13"/>
  <c r="Y2538" i="13"/>
  <c r="Z2538" i="13"/>
  <c r="Y2539" i="13"/>
  <c r="Z2539" i="13"/>
  <c r="Y2540" i="13"/>
  <c r="Y2541" i="13"/>
  <c r="Z2540" i="13"/>
  <c r="Z2541" i="13"/>
  <c r="Y2542" i="13"/>
  <c r="Y2543" i="13"/>
  <c r="Z2542" i="13"/>
  <c r="Y2544" i="13"/>
  <c r="Z2543" i="13"/>
  <c r="Y2545" i="13"/>
  <c r="Z2544" i="13"/>
  <c r="Z2545" i="13"/>
  <c r="Y2546" i="13"/>
  <c r="Z2546" i="13"/>
  <c r="Y2547" i="13"/>
  <c r="Y2548" i="13"/>
  <c r="Z2547" i="13"/>
  <c r="Y2549" i="13"/>
  <c r="Z2548" i="13"/>
  <c r="Y2550" i="13"/>
  <c r="Z2549" i="13"/>
  <c r="Z2550" i="13"/>
  <c r="Y2551" i="13"/>
  <c r="Y2552" i="13"/>
  <c r="Z2551" i="13"/>
  <c r="Y2553" i="13"/>
  <c r="Z2552" i="13"/>
  <c r="Y2554" i="13"/>
  <c r="Z2553" i="13"/>
  <c r="Y2555" i="13"/>
  <c r="Z2554" i="13"/>
  <c r="Z2555" i="13"/>
  <c r="Y2556" i="13"/>
  <c r="Y2557" i="13"/>
  <c r="Z2556" i="13"/>
  <c r="Y2558" i="13"/>
  <c r="Z2557" i="13"/>
  <c r="Y2559" i="13"/>
  <c r="Z2558" i="13"/>
  <c r="Y2560" i="13"/>
  <c r="Z2559" i="13"/>
  <c r="Y2561" i="13"/>
  <c r="Z2560" i="13"/>
  <c r="Y2562" i="13"/>
  <c r="Z2561" i="13"/>
  <c r="Y2563" i="13"/>
  <c r="Z2562" i="13"/>
  <c r="Z2563" i="13"/>
  <c r="Y2564" i="13"/>
  <c r="Y2565" i="13"/>
  <c r="Z2564" i="13"/>
  <c r="Y2566" i="13"/>
  <c r="Z2565" i="13"/>
  <c r="Z2566" i="13"/>
  <c r="Y2567" i="13"/>
  <c r="Y2568" i="13"/>
  <c r="Z2567" i="13"/>
  <c r="Y2569" i="13"/>
  <c r="Z2568" i="13"/>
  <c r="Z2569" i="13"/>
  <c r="Y2570" i="13"/>
  <c r="Y2571" i="13"/>
  <c r="Z2570" i="13"/>
  <c r="Y2572" i="13"/>
  <c r="Z2571" i="13"/>
  <c r="Y2573" i="13"/>
  <c r="Z2572" i="13"/>
  <c r="Y2574" i="13"/>
  <c r="Z2573" i="13"/>
  <c r="Y2575" i="13"/>
  <c r="Z2574" i="13"/>
  <c r="Z2575" i="13"/>
  <c r="Y2576" i="13"/>
  <c r="Y2577" i="13"/>
  <c r="Z2576" i="13"/>
  <c r="Y2578" i="13"/>
  <c r="Z2577" i="13"/>
  <c r="Z2578" i="13"/>
  <c r="Y2579" i="13"/>
  <c r="Y2580" i="13"/>
  <c r="Z2579" i="13"/>
  <c r="Y2581" i="13"/>
  <c r="Z2580" i="13"/>
  <c r="Y2582" i="13"/>
  <c r="Z2581" i="13"/>
  <c r="Y2583" i="13"/>
  <c r="Z2582" i="13"/>
  <c r="Y2584" i="13"/>
  <c r="Z2583" i="13"/>
  <c r="Y2585" i="13"/>
  <c r="Z2584" i="13"/>
  <c r="Y2586" i="13"/>
  <c r="Z2585" i="13"/>
  <c r="Y2587" i="13"/>
  <c r="Z2586" i="13"/>
  <c r="Z2587" i="13"/>
  <c r="Y2588" i="13"/>
  <c r="Y2589" i="13"/>
  <c r="Z2588" i="13"/>
  <c r="Y2590" i="13"/>
  <c r="Z2589" i="13"/>
  <c r="Y2591" i="13"/>
  <c r="Z2590" i="13"/>
  <c r="Y2592" i="13"/>
  <c r="Z2591" i="13"/>
  <c r="Y2593" i="13"/>
  <c r="Z2592" i="13"/>
  <c r="Y2594" i="13"/>
  <c r="Z2593" i="13"/>
  <c r="Z2594" i="13"/>
  <c r="Y2595" i="13"/>
  <c r="Y2596" i="13"/>
  <c r="Z2595" i="13"/>
  <c r="Y2597" i="13"/>
  <c r="Z2596" i="13"/>
  <c r="Y2598" i="13"/>
  <c r="Z2597" i="13"/>
  <c r="Y2599" i="13"/>
  <c r="Z2598" i="13"/>
  <c r="Y2600" i="13"/>
  <c r="Z2599" i="13"/>
  <c r="Y2601" i="13"/>
  <c r="Z2600" i="13"/>
  <c r="Z2601" i="13"/>
  <c r="Y2602" i="13"/>
  <c r="Y2603" i="13"/>
  <c r="Z2602" i="13"/>
  <c r="Y2604" i="13"/>
  <c r="Z2603" i="13"/>
  <c r="Y2605" i="13"/>
  <c r="Z2604" i="13"/>
  <c r="Z2605" i="13"/>
  <c r="Y2606" i="13"/>
  <c r="Y2607" i="13"/>
  <c r="Z2606" i="13"/>
  <c r="Y2608" i="13"/>
  <c r="Z2607" i="13"/>
  <c r="Y2609" i="13"/>
  <c r="Z2608" i="13"/>
  <c r="Y2610" i="13"/>
  <c r="Z2609" i="13"/>
  <c r="Z2610" i="13"/>
  <c r="Y2611" i="13"/>
  <c r="Y2612" i="13"/>
  <c r="Z2611" i="13"/>
  <c r="Y2613" i="13"/>
  <c r="Z2612" i="13"/>
  <c r="Y2614" i="13"/>
  <c r="Z2613" i="13"/>
  <c r="Z2614" i="13"/>
  <c r="Y2615" i="13"/>
  <c r="Y2616" i="13"/>
  <c r="Z2615" i="13"/>
  <c r="Y2617" i="13"/>
  <c r="Z2616" i="13"/>
  <c r="Y2618" i="13"/>
  <c r="Z2617" i="13"/>
  <c r="Z2618" i="13"/>
  <c r="Y2619" i="13"/>
  <c r="Z2619" i="13"/>
  <c r="Y2620" i="13"/>
  <c r="Y2621" i="13"/>
  <c r="Z2620" i="13"/>
  <c r="Y2622" i="13"/>
  <c r="Z2621" i="13"/>
  <c r="Y2623" i="13"/>
  <c r="Z2622" i="13"/>
  <c r="Y2624" i="13"/>
  <c r="Z2623" i="13"/>
  <c r="Y2625" i="13"/>
  <c r="Z2624" i="13"/>
  <c r="Y2626" i="13"/>
  <c r="Z2625" i="13"/>
  <c r="Z2626" i="13"/>
  <c r="Y2627" i="13"/>
  <c r="Y2628" i="13"/>
  <c r="Z2627" i="13"/>
  <c r="Y2629" i="13"/>
  <c r="Z2628" i="13"/>
  <c r="Y2630" i="13"/>
  <c r="Z2629" i="13"/>
  <c r="Y2631" i="13"/>
  <c r="Z2630" i="13"/>
  <c r="Y2632" i="13"/>
  <c r="Z2631" i="13"/>
  <c r="Y2633" i="13"/>
  <c r="Z2632" i="13"/>
  <c r="Z2633" i="13"/>
  <c r="Y2634" i="13"/>
  <c r="Y2635" i="13"/>
  <c r="Z2634" i="13"/>
  <c r="Y2636" i="13"/>
  <c r="Z2635" i="13"/>
  <c r="Y2637" i="13"/>
  <c r="Z2636" i="13"/>
  <c r="Y2638" i="13"/>
  <c r="Z2637" i="13"/>
  <c r="Y2639" i="13"/>
  <c r="Z2638" i="13"/>
  <c r="Z2639" i="13"/>
  <c r="Y2640" i="13"/>
  <c r="Y2641" i="13"/>
  <c r="Z2640" i="13"/>
  <c r="Z2641" i="13"/>
  <c r="Y2642" i="13"/>
  <c r="Z2642" i="13"/>
  <c r="Y2643" i="13"/>
  <c r="Y2644" i="13"/>
  <c r="Z2643" i="13"/>
  <c r="Y2645" i="13"/>
  <c r="Z2644" i="13"/>
  <c r="Z2645" i="13"/>
  <c r="Y2646" i="13"/>
  <c r="Y2647" i="13"/>
  <c r="Z2646" i="13"/>
  <c r="Y2648" i="13"/>
  <c r="Z2647" i="13"/>
  <c r="Y2649" i="13"/>
  <c r="Z2648" i="13"/>
  <c r="Z2649" i="13"/>
  <c r="Y2650" i="13"/>
  <c r="Y2651" i="13"/>
  <c r="Z2650" i="13"/>
  <c r="Z2651" i="13"/>
  <c r="Y2652" i="13"/>
  <c r="Y2653" i="13"/>
  <c r="Z2652" i="13"/>
  <c r="Y2654" i="13"/>
  <c r="Z2653" i="13"/>
  <c r="Y2655" i="13"/>
  <c r="Z2654" i="13"/>
  <c r="Y2656" i="13"/>
  <c r="Z2655" i="13"/>
  <c r="Y2657" i="13"/>
  <c r="Z2656" i="13"/>
  <c r="Y2658" i="13"/>
  <c r="Z2657" i="13"/>
  <c r="Y2659" i="13"/>
  <c r="Z2658" i="13"/>
  <c r="Y2660" i="13"/>
  <c r="Z2659" i="13"/>
  <c r="Y2661" i="13"/>
  <c r="Z2660" i="13"/>
  <c r="Y2662" i="13"/>
  <c r="Z2661" i="13"/>
  <c r="Y2663" i="13"/>
  <c r="Z2662" i="13"/>
  <c r="Z2663" i="13"/>
  <c r="Y2664" i="13"/>
  <c r="Y2665" i="13"/>
  <c r="Z2664" i="13"/>
  <c r="Z2665" i="13"/>
  <c r="Y2666" i="13"/>
  <c r="Y2667" i="13"/>
  <c r="Z2666" i="13"/>
  <c r="Z2667" i="13"/>
  <c r="Y2668" i="13"/>
  <c r="Y2669" i="13"/>
  <c r="Z2668" i="13"/>
  <c r="Y2670" i="13"/>
  <c r="Z2669" i="13"/>
  <c r="Y2671" i="13"/>
  <c r="Z2670" i="13"/>
  <c r="Y2672" i="13"/>
  <c r="Z2671" i="13"/>
  <c r="Y2673" i="13"/>
  <c r="Z2672" i="13"/>
  <c r="Z2673" i="13"/>
  <c r="Y2674" i="13"/>
  <c r="Z2674" i="13"/>
  <c r="Y2675" i="13"/>
  <c r="Y2676" i="13"/>
  <c r="Z2675" i="13"/>
  <c r="Y2677" i="13"/>
  <c r="Z2676" i="13"/>
  <c r="Y2678" i="13"/>
  <c r="Z2677" i="13"/>
  <c r="Y2679" i="13"/>
  <c r="Z2678" i="13"/>
  <c r="Y2680" i="13"/>
  <c r="Z2679" i="13"/>
  <c r="Y2681" i="13"/>
  <c r="Z2680" i="13"/>
  <c r="Y2682" i="13"/>
  <c r="Z2681" i="13"/>
  <c r="Y2683" i="13"/>
  <c r="Z2682" i="13"/>
  <c r="Z2683" i="13"/>
  <c r="Y2684" i="13"/>
  <c r="Y2685" i="13"/>
  <c r="Z2684" i="13"/>
  <c r="Z2685" i="13"/>
  <c r="Y2686" i="13"/>
  <c r="Y2687" i="13"/>
  <c r="Z2686" i="13"/>
  <c r="Z2687" i="13"/>
  <c r="Y2688" i="13"/>
  <c r="Y2689" i="13"/>
  <c r="Z2688" i="13"/>
  <c r="Y2690" i="13"/>
  <c r="Z2689" i="13"/>
  <c r="Z2690" i="13"/>
  <c r="Y2691" i="13"/>
  <c r="Z2691" i="13"/>
  <c r="Y2692" i="13"/>
  <c r="Y2693" i="13"/>
  <c r="Z2692" i="13"/>
  <c r="Y2694" i="13"/>
  <c r="Z2693" i="13"/>
  <c r="Z2694" i="13"/>
  <c r="Y2695" i="13"/>
  <c r="Y2696" i="13"/>
  <c r="Z2695" i="13"/>
  <c r="Y2697" i="13"/>
  <c r="Z2696" i="13"/>
  <c r="Z2697" i="13"/>
  <c r="Y2698" i="13"/>
  <c r="Y2699" i="13"/>
  <c r="Z2698" i="13"/>
  <c r="Y2700" i="13"/>
  <c r="Z2699" i="13"/>
  <c r="Y2701" i="13"/>
  <c r="Z2700" i="13"/>
  <c r="Y2702" i="13"/>
  <c r="Z2701" i="13"/>
  <c r="Y2703" i="13"/>
  <c r="Z2702" i="13"/>
  <c r="Y2704" i="13"/>
  <c r="Z2703" i="13"/>
  <c r="Y2705" i="13"/>
  <c r="Z2704" i="13"/>
  <c r="Y2706" i="13"/>
  <c r="Z2705" i="13"/>
  <c r="Z2706" i="13"/>
  <c r="Y2707" i="13"/>
  <c r="Y2708" i="13"/>
  <c r="Z2707" i="13"/>
  <c r="Y2709" i="13"/>
  <c r="Z2708" i="13"/>
  <c r="Y2710" i="13"/>
  <c r="Z2709" i="13"/>
  <c r="Y2711" i="13"/>
  <c r="Z2710" i="13"/>
  <c r="Y2712" i="13"/>
  <c r="Z2711" i="13"/>
  <c r="Y2713" i="13"/>
  <c r="Z2712" i="13"/>
  <c r="Y2714" i="13"/>
  <c r="Z2713" i="13"/>
  <c r="Z2714" i="13"/>
  <c r="Y2715" i="13"/>
  <c r="Z2715" i="13"/>
  <c r="Y2716" i="13"/>
  <c r="Y2717" i="13"/>
  <c r="Z2716" i="13"/>
  <c r="Y2718" i="13"/>
  <c r="Z2717" i="13"/>
  <c r="Y2719" i="13"/>
  <c r="Z2718" i="13"/>
  <c r="Y2720" i="13"/>
  <c r="Z2719" i="13"/>
  <c r="Y2721" i="13"/>
  <c r="Z2720" i="13"/>
  <c r="Y2722" i="13"/>
  <c r="Z2721" i="13"/>
  <c r="Z2722" i="13"/>
  <c r="Y2723" i="13"/>
  <c r="Y2724" i="13"/>
  <c r="Z2723" i="13"/>
  <c r="Y2725" i="13"/>
  <c r="Z2724" i="13"/>
  <c r="Y2726" i="13"/>
  <c r="Z2725" i="13"/>
  <c r="Y2727" i="13"/>
  <c r="Z2726" i="13"/>
  <c r="Y2728" i="13"/>
  <c r="Z2727" i="13"/>
  <c r="Y2729" i="13"/>
  <c r="Z2728" i="13"/>
  <c r="Z2729" i="13"/>
  <c r="Y2730" i="13"/>
  <c r="Y2731" i="13"/>
  <c r="Z2730" i="13"/>
  <c r="Y2732" i="13"/>
  <c r="Z2731" i="13"/>
  <c r="Y2733" i="13"/>
  <c r="Z2732" i="13"/>
  <c r="Y2734" i="13"/>
  <c r="Z2733" i="13"/>
  <c r="Y2735" i="13"/>
  <c r="Z2734" i="13"/>
  <c r="Y2736" i="13"/>
  <c r="Z2735" i="13"/>
  <c r="Y2737" i="13"/>
  <c r="Z2736" i="13"/>
  <c r="Y2738" i="13"/>
  <c r="Z2737" i="13"/>
  <c r="Z2738" i="13"/>
  <c r="Y2739" i="13"/>
  <c r="Y2740" i="13"/>
  <c r="Z2739" i="13"/>
  <c r="Y2741" i="13"/>
  <c r="Z2740" i="13"/>
  <c r="Y2742" i="13"/>
  <c r="Z2741" i="13"/>
  <c r="Z2742" i="13"/>
  <c r="Y2743" i="13"/>
  <c r="Y2744" i="13"/>
  <c r="Z2743" i="13"/>
  <c r="Y2745" i="13"/>
  <c r="Z2744" i="13"/>
  <c r="Y2746" i="13"/>
  <c r="Z2745" i="13"/>
  <c r="Z2746" i="13"/>
  <c r="Y2747" i="13"/>
  <c r="Z2747" i="13"/>
  <c r="Y2748" i="13"/>
  <c r="Y2749" i="13"/>
  <c r="Z2748" i="13"/>
  <c r="Y2750" i="13"/>
  <c r="Z2749" i="13"/>
  <c r="Z2750" i="13"/>
  <c r="Y2751" i="13"/>
  <c r="Y2752" i="13"/>
  <c r="Z2751" i="13"/>
  <c r="Y2753" i="13"/>
  <c r="Z2752" i="13"/>
  <c r="Y2754" i="13"/>
  <c r="Z2753" i="13"/>
  <c r="Y2755" i="13"/>
  <c r="Z2754" i="13"/>
  <c r="Y2756" i="13"/>
  <c r="Z2755" i="13"/>
  <c r="Y2757" i="13"/>
  <c r="Z2756" i="13"/>
  <c r="Y2758" i="13"/>
  <c r="Z2757" i="13"/>
  <c r="Y2759" i="13"/>
  <c r="Z2758" i="13"/>
  <c r="Y2760" i="13"/>
  <c r="Z2759" i="13"/>
  <c r="Y2761" i="13"/>
  <c r="Z2760" i="13"/>
  <c r="Z2761" i="13"/>
  <c r="Y2762" i="13"/>
  <c r="Y2763" i="13"/>
  <c r="Z2762" i="13"/>
  <c r="Z2763" i="13"/>
  <c r="Y2764" i="13"/>
  <c r="Y2765" i="13"/>
  <c r="Z2764" i="13"/>
  <c r="Y2766" i="13"/>
  <c r="Z2765" i="13"/>
  <c r="Y2767" i="13"/>
  <c r="Z2766" i="13"/>
  <c r="Y2768" i="13"/>
  <c r="Z2767" i="13"/>
  <c r="Y2769" i="13"/>
  <c r="Z2768" i="13"/>
  <c r="Z2769" i="13"/>
  <c r="Y2770" i="13"/>
  <c r="Z2770" i="13"/>
  <c r="Y2771" i="13"/>
  <c r="Y2772" i="13"/>
  <c r="Z2771" i="13"/>
  <c r="Y2773" i="13"/>
  <c r="Z2772" i="13"/>
  <c r="Z2773" i="13"/>
  <c r="Y2774" i="13"/>
  <c r="Y2775" i="13"/>
  <c r="Z2774" i="13"/>
  <c r="Y2776" i="13"/>
  <c r="Z2775" i="13"/>
  <c r="Y2777" i="13"/>
  <c r="Z2776" i="13"/>
  <c r="Z2777" i="13"/>
  <c r="Y2778" i="13"/>
  <c r="Y2779" i="13"/>
  <c r="Z2778" i="13"/>
  <c r="Z2779" i="13"/>
  <c r="Y2780" i="13"/>
  <c r="Y2781" i="13"/>
  <c r="Z2780" i="13"/>
  <c r="Y2782" i="13"/>
  <c r="Z2781" i="13"/>
  <c r="Z2782" i="13"/>
  <c r="Y2783" i="13"/>
  <c r="Y2784" i="13"/>
  <c r="Z2783" i="13"/>
  <c r="Y2785" i="13"/>
  <c r="Z2784" i="13"/>
  <c r="Y2786" i="13"/>
  <c r="Z2785" i="13"/>
  <c r="Y2787" i="13"/>
  <c r="Z2786" i="13"/>
  <c r="Z2787" i="13"/>
  <c r="Y2788" i="13"/>
  <c r="Y2789" i="13"/>
  <c r="Z2788" i="13"/>
  <c r="Y2790" i="13"/>
  <c r="Z2789" i="13"/>
  <c r="Y2791" i="13"/>
  <c r="Z2790" i="13"/>
  <c r="Z2791" i="13"/>
  <c r="Y2792" i="13"/>
  <c r="Y2793" i="13"/>
  <c r="Z2792" i="13"/>
  <c r="Z2793" i="13"/>
  <c r="Y2794" i="13"/>
  <c r="Y2795" i="13"/>
  <c r="Z2794" i="13"/>
  <c r="Z2795" i="13"/>
  <c r="Y2796" i="13"/>
  <c r="Y2797" i="13"/>
  <c r="Z2796" i="13"/>
  <c r="Y2798" i="13"/>
  <c r="Z2797" i="13"/>
  <c r="Y2799" i="13"/>
  <c r="Z2798" i="13"/>
  <c r="Y2800" i="13"/>
  <c r="Z2799" i="13"/>
  <c r="Y2801" i="13"/>
  <c r="Z2800" i="13"/>
  <c r="Y2802" i="13"/>
  <c r="Z2801" i="13"/>
  <c r="Y2803" i="13"/>
  <c r="Z2802" i="13"/>
  <c r="Z2803" i="13"/>
  <c r="Y2804" i="13"/>
  <c r="Y2805" i="13"/>
  <c r="Z2804" i="13"/>
  <c r="Y2806" i="13"/>
  <c r="Z2805" i="13"/>
  <c r="Y2807" i="13"/>
  <c r="Z2806" i="13"/>
  <c r="Y2808" i="13"/>
  <c r="Z2807" i="13"/>
  <c r="Y2809" i="13"/>
  <c r="Z2808" i="13"/>
  <c r="Z2809" i="13"/>
  <c r="Y2810" i="13"/>
  <c r="Y2811" i="13"/>
  <c r="Z2810" i="13"/>
  <c r="Y2812" i="13"/>
  <c r="Z2811" i="13"/>
  <c r="Y2813" i="13"/>
  <c r="Z2812" i="13"/>
  <c r="Y2814" i="13"/>
  <c r="Z2813" i="13"/>
  <c r="Y2815" i="13"/>
  <c r="Z2814" i="13"/>
  <c r="Y2816" i="13"/>
  <c r="Z2815" i="13"/>
  <c r="Y2817" i="13"/>
  <c r="Z2816" i="13"/>
  <c r="Y2818" i="13"/>
  <c r="Z2817" i="13"/>
  <c r="Y2819" i="13"/>
  <c r="Z2818" i="13"/>
  <c r="Y2820" i="13"/>
  <c r="Z2819" i="13"/>
  <c r="Y2821" i="13"/>
  <c r="Z2820" i="13"/>
  <c r="Y2822" i="13"/>
  <c r="Z2821" i="13"/>
  <c r="Y2823" i="13"/>
  <c r="Z2822" i="13"/>
  <c r="Y2824" i="13"/>
  <c r="Z2823" i="13"/>
  <c r="Y2825" i="13"/>
  <c r="Z2824" i="13"/>
  <c r="Y2826" i="13"/>
  <c r="Z2825" i="13"/>
  <c r="Y2827" i="13"/>
  <c r="Z2826" i="13"/>
  <c r="Z2827" i="13"/>
  <c r="Y2828" i="13"/>
  <c r="Y2829" i="13"/>
  <c r="Z2828" i="13"/>
  <c r="Z2829" i="13"/>
  <c r="Y2830" i="13"/>
  <c r="Y2831" i="13"/>
  <c r="Z2830" i="13"/>
  <c r="Y2832" i="13"/>
  <c r="Z2831" i="13"/>
  <c r="Y2833" i="13"/>
  <c r="Z2832" i="13"/>
  <c r="Y2834" i="13"/>
  <c r="Z2833" i="13"/>
  <c r="Y2835" i="13"/>
  <c r="Z2834" i="13"/>
  <c r="Y2836" i="13"/>
  <c r="Z2835" i="13"/>
  <c r="Y2837" i="13"/>
  <c r="Z2836" i="13"/>
  <c r="Y2838" i="13"/>
  <c r="Z2837" i="13"/>
  <c r="Y2839" i="13"/>
  <c r="Z2838" i="13"/>
  <c r="Y2840" i="13"/>
  <c r="Z2839" i="13"/>
  <c r="Y2841" i="13"/>
  <c r="Z2840" i="13"/>
  <c r="Z2841" i="13"/>
  <c r="Y2842" i="13"/>
  <c r="Y2843" i="13"/>
  <c r="Z2842" i="13"/>
  <c r="Y2844" i="13"/>
  <c r="Z2843" i="13"/>
  <c r="Y2845" i="13"/>
  <c r="Z2844" i="13"/>
  <c r="Z2845" i="13"/>
  <c r="Y2846" i="13"/>
  <c r="Y2847" i="13"/>
  <c r="Z2846" i="13"/>
  <c r="Y2848" i="13"/>
  <c r="Z2847" i="13"/>
  <c r="Y2849" i="13"/>
  <c r="Z2848" i="13"/>
  <c r="Y2850" i="13"/>
  <c r="Z2849" i="13"/>
  <c r="Y2851" i="13"/>
  <c r="Z2850" i="13"/>
  <c r="Y2852" i="13"/>
  <c r="Z2851" i="13"/>
  <c r="Z2852" i="13"/>
  <c r="Y2853" i="13"/>
  <c r="Y2854" i="13"/>
  <c r="Z2853" i="13"/>
  <c r="Y2855" i="13"/>
  <c r="Z2854" i="13"/>
  <c r="Y2856" i="13"/>
  <c r="Z2855" i="13"/>
  <c r="Y2857" i="13"/>
  <c r="Z2856" i="13"/>
  <c r="Y2858" i="13"/>
  <c r="Z2857" i="13"/>
  <c r="Y2859" i="13"/>
  <c r="Z2858" i="13"/>
  <c r="Z2859" i="13"/>
  <c r="Y2860" i="13"/>
  <c r="Y2861" i="13"/>
  <c r="Z2860" i="13"/>
  <c r="Z2861" i="13"/>
  <c r="Y2862" i="13"/>
  <c r="Y2863" i="13"/>
  <c r="Z2862" i="13"/>
  <c r="Y2864" i="13"/>
  <c r="Z2863" i="13"/>
  <c r="Y2865" i="13"/>
  <c r="Z2864" i="13"/>
  <c r="Y2866" i="13"/>
  <c r="Z2865" i="13"/>
  <c r="Y2867" i="13"/>
  <c r="Z2866" i="13"/>
  <c r="Y2868" i="13"/>
  <c r="Z2867" i="13"/>
  <c r="Y2869" i="13"/>
  <c r="Z2868" i="13"/>
  <c r="Y2870" i="13"/>
  <c r="Z2869" i="13"/>
  <c r="Y2871" i="13"/>
  <c r="Z2870" i="13"/>
  <c r="Y2872" i="13"/>
  <c r="Z2871" i="13"/>
  <c r="Z2872" i="13"/>
  <c r="Y2873" i="13"/>
  <c r="Y2874" i="13"/>
  <c r="Z2873" i="13"/>
  <c r="Y2875" i="13"/>
  <c r="Z2874" i="13"/>
  <c r="Y2876" i="13"/>
  <c r="Z2875" i="13"/>
  <c r="Y2877" i="13"/>
  <c r="Z2876" i="13"/>
  <c r="Y2878" i="13"/>
  <c r="Z2877" i="13"/>
  <c r="Y2879" i="13"/>
  <c r="Z2878" i="13"/>
  <c r="Y2880" i="13"/>
  <c r="Z2879" i="13"/>
  <c r="Y2881" i="13"/>
  <c r="Z2880" i="13"/>
  <c r="Y2882" i="13"/>
  <c r="Z2881" i="13"/>
  <c r="Y2883" i="13"/>
  <c r="Z2882" i="13"/>
  <c r="Z2883" i="13"/>
  <c r="Y2884" i="13"/>
  <c r="Y2885" i="13"/>
  <c r="Z2884" i="13"/>
  <c r="Y2886" i="13"/>
  <c r="Z2885" i="13"/>
  <c r="Y2887" i="13"/>
  <c r="Z2886" i="13"/>
  <c r="Y2888" i="13"/>
  <c r="Z2887" i="13"/>
  <c r="Z2888" i="13"/>
  <c r="Y2889" i="13"/>
  <c r="Y2890" i="13"/>
  <c r="Z2889" i="13"/>
  <c r="Y2891" i="13"/>
  <c r="Z2890" i="13"/>
  <c r="Z2891" i="13"/>
  <c r="Y2892" i="13"/>
  <c r="Y2893" i="13"/>
  <c r="Z2892" i="13"/>
  <c r="Y2894" i="13"/>
  <c r="Z2893" i="13"/>
  <c r="Y2895" i="13"/>
  <c r="Z2894" i="13"/>
  <c r="Y2896" i="13"/>
  <c r="Z2895" i="13"/>
  <c r="Y2897" i="13"/>
  <c r="Z2896" i="13"/>
  <c r="Y2898" i="13"/>
  <c r="Z2897" i="13"/>
  <c r="Y2899" i="13"/>
  <c r="Z2898" i="13"/>
  <c r="Y2900" i="13"/>
  <c r="Z2899" i="13"/>
  <c r="Y2901" i="13"/>
  <c r="Z2900" i="13"/>
  <c r="Y2902" i="13"/>
  <c r="Z2901" i="13"/>
  <c r="Y2903" i="13"/>
  <c r="Z2902" i="13"/>
  <c r="Y2904" i="13"/>
  <c r="Z2903" i="13"/>
  <c r="Y2905" i="13"/>
  <c r="Z2904" i="13"/>
  <c r="Y2906" i="13"/>
  <c r="Z2905" i="13"/>
  <c r="Y2907" i="13"/>
  <c r="Z2906" i="13"/>
  <c r="Y2908" i="13"/>
  <c r="Z2907" i="13"/>
  <c r="Y2909" i="13"/>
  <c r="Z2908" i="13"/>
  <c r="Y2910" i="13"/>
  <c r="Z2909" i="13"/>
  <c r="Y2911" i="13"/>
  <c r="Z2910" i="13"/>
  <c r="Y2912" i="13"/>
  <c r="Z2911" i="13"/>
  <c r="Y2913" i="13"/>
  <c r="Z2912" i="13"/>
  <c r="Y2914" i="13"/>
  <c r="Z2913" i="13"/>
  <c r="Y2915" i="13"/>
  <c r="Z2914" i="13"/>
  <c r="Z2915" i="13"/>
  <c r="Y2916" i="13"/>
  <c r="Y2917" i="13"/>
  <c r="Z2916" i="13"/>
  <c r="Y2918" i="13"/>
  <c r="Z2917" i="13"/>
  <c r="Y2919" i="13"/>
  <c r="Z2918" i="13"/>
  <c r="Y2920" i="13"/>
  <c r="Z2919" i="13"/>
  <c r="Y2921" i="13"/>
  <c r="Z2920" i="13"/>
  <c r="Y2922" i="13"/>
  <c r="Z2921" i="13"/>
  <c r="Y2923" i="13"/>
  <c r="Z2922" i="13"/>
  <c r="Z2923" i="13"/>
  <c r="Y2924" i="13"/>
  <c r="Y2925" i="13"/>
  <c r="Z2924" i="13"/>
  <c r="Y2926" i="13"/>
  <c r="Z2925" i="13"/>
  <c r="Y2927" i="13"/>
  <c r="Z2926" i="13"/>
  <c r="Y2928" i="13"/>
  <c r="Z2927" i="13"/>
  <c r="Z2928" i="13"/>
  <c r="Y2929" i="13"/>
  <c r="Y2930" i="13"/>
  <c r="Z2929" i="13"/>
  <c r="Y2931" i="13"/>
  <c r="Z2930" i="13"/>
  <c r="Y2932" i="13"/>
  <c r="Z2931" i="13"/>
  <c r="Y2933" i="13"/>
  <c r="Z2932" i="13"/>
  <c r="Y2934" i="13"/>
  <c r="Z2933" i="13"/>
  <c r="Y2935" i="13"/>
  <c r="Z2934" i="13"/>
  <c r="Y2936" i="13"/>
  <c r="Z2935" i="13"/>
  <c r="Z2936" i="13"/>
  <c r="Y2937" i="13"/>
  <c r="Y2938" i="13"/>
  <c r="Z2937" i="13"/>
  <c r="Y2939" i="13"/>
  <c r="Z2938" i="13"/>
  <c r="Z2939" i="13"/>
  <c r="Y2940" i="13"/>
  <c r="Y2941" i="13"/>
  <c r="Z2940" i="13"/>
  <c r="Y2942" i="13"/>
  <c r="Z2941" i="13"/>
  <c r="Y2943" i="13"/>
  <c r="Z2942" i="13"/>
  <c r="Y2944" i="13"/>
  <c r="Z2943" i="13"/>
  <c r="Y2945" i="13"/>
  <c r="Z2944" i="13"/>
  <c r="Y2946" i="13"/>
  <c r="Z2945" i="13"/>
  <c r="Y2947" i="13"/>
  <c r="Z2946" i="13"/>
  <c r="Y2948" i="13"/>
  <c r="Z2947" i="13"/>
  <c r="Y2949" i="13"/>
  <c r="Z2948" i="13"/>
  <c r="Y2950" i="13"/>
  <c r="Z2949" i="13"/>
  <c r="Y2951" i="13"/>
  <c r="Z2950" i="13"/>
  <c r="Y2952" i="13"/>
  <c r="Z2951" i="13"/>
  <c r="Z2952" i="13"/>
  <c r="Y2953" i="13"/>
  <c r="Y2954" i="13"/>
  <c r="Z2953" i="13"/>
  <c r="Y2955" i="13"/>
  <c r="Z2954" i="13"/>
  <c r="Z2955" i="13"/>
  <c r="Y2956" i="13"/>
  <c r="Y2957" i="13"/>
  <c r="Z2956" i="13"/>
  <c r="Y2958" i="13"/>
  <c r="Z2957" i="13"/>
  <c r="Y2959" i="13"/>
  <c r="Z2958" i="13"/>
  <c r="Z2959" i="13"/>
  <c r="Y2960" i="13"/>
  <c r="Y2961" i="13"/>
  <c r="Z2960" i="13"/>
  <c r="Y2962" i="13"/>
  <c r="Z2961" i="13"/>
  <c r="Y2963" i="13"/>
  <c r="Z2962" i="13"/>
  <c r="Y2964" i="13"/>
  <c r="Z2963" i="13"/>
  <c r="Y2965" i="13"/>
  <c r="Z2964" i="13"/>
  <c r="Y2966" i="13"/>
  <c r="Z2965" i="13"/>
  <c r="Y2967" i="13"/>
  <c r="Z2966" i="13"/>
  <c r="Y2968" i="13"/>
  <c r="Z2967" i="13"/>
  <c r="Y2969" i="13"/>
  <c r="Z2968" i="13"/>
  <c r="Z2969" i="13"/>
  <c r="Y2970" i="13"/>
  <c r="Y2971" i="13"/>
  <c r="Z2970" i="13"/>
  <c r="Y2972" i="13"/>
  <c r="Z2971" i="13"/>
  <c r="Y2973" i="13"/>
  <c r="Z2972" i="13"/>
  <c r="Y2974" i="13"/>
  <c r="Z2973" i="13"/>
  <c r="Y2975" i="13"/>
  <c r="Z2974" i="13"/>
  <c r="Y2976" i="13"/>
  <c r="Z2975" i="13"/>
  <c r="Y2977" i="13"/>
  <c r="Z2976" i="13"/>
  <c r="Y2978" i="13"/>
  <c r="Z2977" i="13"/>
  <c r="Y2979" i="13"/>
  <c r="Z2978" i="13"/>
  <c r="Z2979" i="13"/>
  <c r="Y2980" i="13"/>
  <c r="Y2981" i="13"/>
  <c r="Z2980" i="13"/>
  <c r="Y2982" i="13"/>
  <c r="Z2981" i="13"/>
  <c r="Y2983" i="13"/>
  <c r="Z2982" i="13"/>
  <c r="Y2984" i="13"/>
  <c r="Z2983" i="13"/>
  <c r="Z2984" i="13"/>
  <c r="Y2985" i="13"/>
  <c r="Y2986" i="13"/>
  <c r="Z2985" i="13"/>
  <c r="Y2987" i="13"/>
  <c r="Z2986" i="13"/>
  <c r="Y2988" i="13"/>
  <c r="Z2987" i="13"/>
  <c r="Y2989" i="13"/>
  <c r="Z2988" i="13"/>
  <c r="Y2990" i="13"/>
  <c r="Z2989" i="13"/>
  <c r="Y2991" i="13"/>
  <c r="Z2990" i="13"/>
  <c r="Y2992" i="13"/>
  <c r="Z2991" i="13"/>
  <c r="Y2993" i="13"/>
  <c r="Z2992" i="13"/>
  <c r="Y2994" i="13"/>
  <c r="Z2993" i="13"/>
  <c r="Y2995" i="13"/>
  <c r="Z2994" i="13"/>
  <c r="Y2996" i="13"/>
  <c r="Z2995" i="13"/>
  <c r="Y2997" i="13"/>
  <c r="Z2996" i="13"/>
  <c r="Y2998" i="13"/>
  <c r="Z2997" i="13"/>
  <c r="Y2999" i="13"/>
  <c r="Z2998" i="13"/>
  <c r="Y3000" i="13"/>
  <c r="Z2999" i="13"/>
  <c r="Y3001" i="13"/>
  <c r="Z3000" i="13"/>
  <c r="Y3002" i="13"/>
  <c r="Z3001" i="13"/>
  <c r="Y3003" i="13"/>
  <c r="Z3002" i="13"/>
  <c r="Y3004" i="13"/>
  <c r="Z3003" i="13"/>
  <c r="Y3005" i="13"/>
  <c r="Z3004" i="13"/>
  <c r="Z3005" i="13"/>
  <c r="Y3006" i="13"/>
  <c r="Y3007" i="13"/>
  <c r="Z3006" i="13"/>
  <c r="Y3008" i="13"/>
  <c r="Z3007" i="13"/>
  <c r="Y3009" i="13"/>
  <c r="Z3008" i="13"/>
  <c r="Y3010" i="13"/>
  <c r="Z3009" i="13"/>
  <c r="Y3011" i="13"/>
  <c r="Z3010" i="13"/>
  <c r="Z3011" i="13"/>
  <c r="Y3012" i="13"/>
  <c r="Y3013" i="13"/>
  <c r="Z3012" i="13"/>
  <c r="Z3013" i="13"/>
  <c r="Y3014" i="13"/>
  <c r="Y3015" i="13"/>
  <c r="Z3014" i="13"/>
  <c r="Y3016" i="13"/>
  <c r="Z3015" i="13"/>
  <c r="Y3017" i="13"/>
  <c r="Z3016" i="13"/>
  <c r="Y3018" i="13"/>
  <c r="Z3017" i="13"/>
  <c r="Y3019" i="13"/>
  <c r="Z3018" i="13"/>
  <c r="Y3020" i="13"/>
  <c r="Z3019" i="13"/>
  <c r="Y3021" i="13"/>
  <c r="Z3020" i="13"/>
  <c r="Z3021" i="13"/>
  <c r="Y3022" i="13"/>
  <c r="Y3023" i="13"/>
  <c r="Z3022" i="13"/>
  <c r="Y3024" i="13"/>
  <c r="Z3023" i="13"/>
  <c r="Y3025" i="13"/>
  <c r="Z3024" i="13"/>
  <c r="Y3026" i="13"/>
  <c r="Z3025" i="13"/>
  <c r="Y3027" i="13"/>
  <c r="Z3026" i="13"/>
  <c r="Y3028" i="13"/>
  <c r="Z3027" i="13"/>
  <c r="Y3029" i="13"/>
  <c r="Z3028" i="13"/>
  <c r="Z3029" i="13"/>
  <c r="Y3030" i="13"/>
  <c r="Y3031" i="13"/>
  <c r="Z3030" i="13"/>
  <c r="Y3032" i="13"/>
  <c r="Z3031" i="13"/>
  <c r="Y3033" i="13"/>
  <c r="Z3032" i="13"/>
  <c r="Z3033" i="13"/>
  <c r="Y3034" i="13"/>
  <c r="Y3035" i="13"/>
  <c r="Z3034" i="13"/>
  <c r="Y3036" i="13"/>
  <c r="Z3035" i="13"/>
  <c r="Y3037" i="13"/>
  <c r="Z3036" i="13"/>
  <c r="Y3038" i="13"/>
  <c r="Z3037" i="13"/>
  <c r="Y3039" i="13"/>
  <c r="Z3038" i="13"/>
  <c r="Y3040" i="13"/>
  <c r="Z3039" i="13"/>
  <c r="Y3041" i="13"/>
  <c r="Z3040" i="13"/>
  <c r="Y3042" i="13"/>
  <c r="Z3041" i="13"/>
  <c r="Y3043" i="13"/>
  <c r="Z3042" i="13"/>
  <c r="Y3044" i="13"/>
  <c r="Z3043" i="13"/>
  <c r="Y3045" i="13"/>
  <c r="Z3044" i="13"/>
  <c r="Y3046" i="13"/>
  <c r="Z3045" i="13"/>
  <c r="Y3047" i="13"/>
  <c r="Z3046" i="13"/>
  <c r="Y3048" i="13"/>
  <c r="Z3047" i="13"/>
  <c r="Y3049" i="13"/>
  <c r="Z3048" i="13"/>
  <c r="Y3050" i="13"/>
  <c r="Z3049" i="13"/>
  <c r="Y3051" i="13"/>
  <c r="Z3050" i="13"/>
  <c r="Y3052" i="13"/>
  <c r="Z3051" i="13"/>
  <c r="Y3053" i="13"/>
  <c r="Z3052" i="13"/>
  <c r="Y3054" i="13"/>
  <c r="Z3053" i="13"/>
  <c r="Y3055" i="13"/>
  <c r="Z3054" i="13"/>
  <c r="Y3056" i="13"/>
  <c r="Z3055" i="13"/>
  <c r="Y3057" i="13"/>
  <c r="Z3056" i="13"/>
  <c r="Y3058" i="13"/>
  <c r="Z3057" i="13"/>
  <c r="Y3059" i="13"/>
  <c r="Z3058" i="13"/>
  <c r="Y3060" i="13"/>
  <c r="Z3059" i="13"/>
  <c r="Y3061" i="13"/>
  <c r="Z3060" i="13"/>
  <c r="Z3061" i="13"/>
  <c r="Y3062" i="13"/>
  <c r="Y3063" i="13"/>
  <c r="Z3062" i="13"/>
  <c r="Y3064" i="13"/>
  <c r="Z3063" i="13"/>
  <c r="Z3064" i="13"/>
  <c r="Y3065" i="13"/>
  <c r="Y3066" i="13"/>
  <c r="Z3065" i="13"/>
  <c r="Y3067" i="13"/>
  <c r="Z3066" i="13"/>
  <c r="Y3068" i="13"/>
  <c r="Z3067" i="13"/>
  <c r="Y3069" i="13"/>
  <c r="Z3068" i="13"/>
  <c r="Y3070" i="13"/>
  <c r="Z3069" i="13"/>
  <c r="Y3071" i="13"/>
  <c r="Z3070" i="13"/>
  <c r="Y3072" i="13"/>
  <c r="Z3071" i="13"/>
  <c r="Z3072" i="13"/>
  <c r="Y3073" i="13"/>
  <c r="Y3074" i="13"/>
  <c r="Z3073" i="13"/>
  <c r="Y3075" i="13"/>
  <c r="Z3074" i="13"/>
  <c r="Y3076" i="13"/>
  <c r="Z3075" i="13"/>
  <c r="Y3077" i="13"/>
  <c r="Z3076" i="13"/>
  <c r="Y3078" i="13"/>
  <c r="Z3077" i="13"/>
  <c r="Y3079" i="13"/>
  <c r="Z3078" i="13"/>
  <c r="Y3080" i="13"/>
  <c r="Z3079" i="13"/>
  <c r="Y3081" i="13"/>
  <c r="Z3080" i="13"/>
  <c r="Y3082" i="13"/>
  <c r="Z3081" i="13"/>
  <c r="Y3083" i="13"/>
  <c r="Z3082" i="13"/>
  <c r="Y3084" i="13"/>
  <c r="Z3083" i="13"/>
  <c r="Y3085" i="13"/>
  <c r="Z3084" i="13"/>
  <c r="Z3085" i="13"/>
  <c r="Y3086" i="13"/>
  <c r="Y3087" i="13"/>
  <c r="Z3086" i="13"/>
  <c r="Y3088" i="13"/>
  <c r="Z3087" i="13"/>
  <c r="Z3088" i="13"/>
  <c r="Y3089" i="13"/>
  <c r="Y3090" i="13"/>
  <c r="Z3089" i="13"/>
  <c r="Y3091" i="13"/>
  <c r="Z3090" i="13"/>
  <c r="Y3092" i="13"/>
  <c r="Z3091" i="13"/>
  <c r="Y3093" i="13"/>
  <c r="Z3092" i="13"/>
  <c r="Z3093" i="13"/>
  <c r="Y3094" i="13"/>
  <c r="Y3095" i="13"/>
  <c r="Z3094" i="13"/>
  <c r="Y3096" i="13"/>
  <c r="Z3095" i="13"/>
  <c r="Y3097" i="13"/>
  <c r="Z3096" i="13"/>
  <c r="Y3098" i="13"/>
  <c r="Z3097" i="13"/>
  <c r="Y3099" i="13"/>
  <c r="Z3098" i="13"/>
  <c r="Y3100" i="13"/>
  <c r="Z3099" i="13"/>
  <c r="Y3101" i="13"/>
  <c r="Z3100" i="13"/>
  <c r="Y3102" i="13"/>
  <c r="Z3101" i="13"/>
  <c r="Y3103" i="13"/>
  <c r="Z3102" i="13"/>
  <c r="Y3104" i="13"/>
  <c r="Z3103" i="13"/>
  <c r="Z3104" i="13"/>
  <c r="Y3105" i="13"/>
  <c r="Y3106" i="13"/>
  <c r="Z3105" i="13"/>
  <c r="Y3107" i="13"/>
  <c r="Z3106" i="13"/>
  <c r="Z3107" i="13"/>
  <c r="Y3108" i="13"/>
  <c r="Z3108" i="13"/>
  <c r="Y3109" i="13"/>
  <c r="Z3109" i="13"/>
  <c r="Y3110" i="13"/>
  <c r="Y3111" i="13"/>
  <c r="Z3110" i="13"/>
  <c r="Y3112" i="13"/>
  <c r="Z3111" i="13"/>
  <c r="Z3112" i="13"/>
  <c r="Y3113" i="13"/>
  <c r="Y3114" i="13"/>
  <c r="Z3113" i="13"/>
  <c r="Y3115" i="13"/>
  <c r="Z3114" i="13"/>
  <c r="Y3116" i="13"/>
  <c r="Z3115" i="13"/>
  <c r="Y3117" i="13"/>
  <c r="Z3116" i="13"/>
  <c r="Y3118" i="13"/>
  <c r="Z3117" i="13"/>
  <c r="Y3119" i="13"/>
  <c r="Z3118" i="13"/>
  <c r="Y3120" i="13"/>
  <c r="Z3119" i="13"/>
  <c r="Z3120" i="13"/>
  <c r="Y3121" i="13"/>
  <c r="Y3122" i="13"/>
  <c r="Z3121" i="13"/>
  <c r="Y3123" i="13"/>
  <c r="Z3122" i="13"/>
  <c r="Y3124" i="13"/>
  <c r="Z3123" i="13"/>
  <c r="Y3125" i="13"/>
  <c r="Z3124" i="13"/>
  <c r="Z3125" i="13"/>
  <c r="Y3126" i="13"/>
  <c r="Y3127" i="13"/>
  <c r="Z3126" i="13"/>
  <c r="Y3128" i="13"/>
  <c r="Z3127" i="13"/>
  <c r="Z3128" i="13"/>
  <c r="Y3129" i="13"/>
  <c r="Z3129" i="13"/>
  <c r="Y3130" i="13"/>
  <c r="Y3131" i="13"/>
  <c r="Z3130" i="13"/>
  <c r="Y3132" i="13"/>
  <c r="Z3131" i="13"/>
  <c r="Y3133" i="13"/>
  <c r="Z3132" i="13"/>
  <c r="Y3134" i="13"/>
  <c r="Z3133" i="13"/>
  <c r="Y3135" i="13"/>
  <c r="Z3134" i="13"/>
  <c r="Y3136" i="13"/>
  <c r="Z3135" i="13"/>
  <c r="Y3137" i="13"/>
  <c r="Z3136" i="13"/>
  <c r="Y3138" i="13"/>
  <c r="Z3137" i="13"/>
  <c r="Y3139" i="13"/>
  <c r="Z3138" i="13"/>
  <c r="Z3139" i="13"/>
  <c r="Y3140" i="13"/>
  <c r="Y3141" i="13"/>
  <c r="Z3140" i="13"/>
  <c r="Y3142" i="13"/>
  <c r="Z3141" i="13"/>
  <c r="Y3143" i="13"/>
  <c r="Z3142" i="13"/>
  <c r="Y3144" i="13"/>
  <c r="Z3143" i="13"/>
  <c r="Y3145" i="13"/>
  <c r="Z3144" i="13"/>
  <c r="Y3146" i="13"/>
  <c r="Z3145" i="13"/>
  <c r="Y3147" i="13"/>
  <c r="Z3146" i="13"/>
  <c r="Y3148" i="13"/>
  <c r="Z3147" i="13"/>
  <c r="Y3149" i="13"/>
  <c r="Z3148" i="13"/>
  <c r="Y3150" i="13"/>
  <c r="Z3149" i="13"/>
  <c r="Y3151" i="13"/>
  <c r="Z3150" i="13"/>
  <c r="Z3151" i="13"/>
  <c r="Y3152" i="13"/>
  <c r="Y3153" i="13"/>
  <c r="Z3152" i="13"/>
  <c r="Y3154" i="13"/>
  <c r="Z3153" i="13"/>
  <c r="Y3155" i="13"/>
  <c r="Z3154" i="13"/>
  <c r="Z3155" i="13"/>
  <c r="Y3156" i="13"/>
  <c r="Y3157" i="13"/>
  <c r="Z3156" i="13"/>
  <c r="Z3157" i="13"/>
  <c r="Y3158" i="13"/>
  <c r="Y3159" i="13"/>
  <c r="Z3158" i="13"/>
  <c r="Y3160" i="13"/>
  <c r="Z3159" i="13"/>
  <c r="Y3161" i="13"/>
  <c r="Z3160" i="13"/>
  <c r="Y3162" i="13"/>
  <c r="Z3161" i="13"/>
  <c r="Y3163" i="13"/>
  <c r="Z3162" i="13"/>
  <c r="Z3163" i="13"/>
  <c r="Y3164" i="13"/>
  <c r="Y3165" i="13"/>
  <c r="Z3164" i="13"/>
  <c r="Z3165" i="13"/>
  <c r="Y3166" i="13"/>
  <c r="Y3167" i="13"/>
  <c r="Z3166" i="13"/>
  <c r="Y3168" i="13"/>
  <c r="Z3167" i="13"/>
  <c r="Y3169" i="13"/>
  <c r="Z3168" i="13"/>
  <c r="Y3170" i="13"/>
  <c r="Z3169" i="13"/>
  <c r="Y3171" i="13"/>
  <c r="Z3170" i="13"/>
  <c r="Y3172" i="13"/>
  <c r="Z3171" i="13"/>
  <c r="Y3173" i="13"/>
  <c r="Z3172" i="13"/>
  <c r="Y3174" i="13"/>
  <c r="Z3173" i="13"/>
  <c r="Y3175" i="13"/>
  <c r="Z3174" i="13"/>
  <c r="Y3176" i="13"/>
  <c r="Z3175" i="13"/>
  <c r="Y3177" i="13"/>
  <c r="Z3176" i="13"/>
  <c r="Y3178" i="13"/>
  <c r="Z3177" i="13"/>
  <c r="Y3179" i="13"/>
  <c r="Z3178" i="13"/>
  <c r="Y3180" i="13"/>
  <c r="Z3179" i="13"/>
  <c r="Z3180" i="13"/>
  <c r="Y3181" i="13"/>
  <c r="Z3181" i="13"/>
  <c r="Y3182" i="13"/>
  <c r="Y3183" i="13"/>
  <c r="Z3182" i="13"/>
  <c r="Z3183" i="13"/>
  <c r="Y3184" i="13"/>
  <c r="Y3185" i="13"/>
  <c r="Z3184" i="13"/>
  <c r="Y3186" i="13"/>
  <c r="Z3185" i="13"/>
  <c r="Y3187" i="13"/>
  <c r="Z3186" i="13"/>
  <c r="Y3188" i="13"/>
  <c r="Z3187" i="13"/>
  <c r="Y3189" i="13"/>
  <c r="Z3188" i="13"/>
  <c r="Z3189" i="13"/>
  <c r="Y3190" i="13"/>
  <c r="Y3191" i="13"/>
  <c r="Z3190" i="13"/>
  <c r="Y3192" i="13"/>
  <c r="Z3191" i="13"/>
  <c r="Z3192" i="13"/>
  <c r="Y3193" i="13"/>
  <c r="Y3194" i="13"/>
  <c r="Z3193" i="13"/>
  <c r="Y3195" i="13"/>
  <c r="Z3194" i="13"/>
  <c r="Z3195" i="13"/>
  <c r="Y3196" i="13"/>
  <c r="Y3197" i="13"/>
  <c r="Z3196" i="13"/>
  <c r="Y3198" i="13"/>
  <c r="Z3197" i="13"/>
  <c r="Y3199" i="13"/>
  <c r="Z3198" i="13"/>
  <c r="Y3200" i="13"/>
  <c r="Z3199" i="13"/>
  <c r="Y3201" i="13"/>
  <c r="Z3200" i="13"/>
  <c r="Y3202" i="13"/>
  <c r="Z3201" i="13"/>
  <c r="Y3203" i="13"/>
  <c r="Z3202" i="13"/>
  <c r="Y3204" i="13"/>
  <c r="Z3203" i="13"/>
  <c r="Y3205" i="13"/>
  <c r="Z3204" i="13"/>
  <c r="Z3205" i="13"/>
  <c r="Y3206" i="13"/>
  <c r="Y3207" i="13"/>
  <c r="Z3206" i="13"/>
  <c r="Y3208" i="13"/>
  <c r="Z3207" i="13"/>
  <c r="Z3208" i="13"/>
  <c r="Y3209" i="13"/>
  <c r="Y3210" i="13"/>
  <c r="Z3209" i="13"/>
  <c r="Y3211" i="13"/>
  <c r="Z3210" i="13"/>
  <c r="Y3212" i="13"/>
  <c r="Z3211" i="13"/>
  <c r="Y3213" i="13"/>
  <c r="Z3212" i="13"/>
  <c r="Y3214" i="13"/>
  <c r="Z3213" i="13"/>
  <c r="Y3215" i="13"/>
  <c r="Z3214" i="13"/>
  <c r="Y3216" i="13"/>
  <c r="Z3215" i="13"/>
  <c r="Y3217" i="13"/>
  <c r="Z3216" i="13"/>
  <c r="Y3218" i="13"/>
  <c r="Z3217" i="13"/>
  <c r="Y3219" i="13"/>
  <c r="Z3218" i="13"/>
  <c r="Y3220" i="13"/>
  <c r="Z3219" i="13"/>
  <c r="Y3221" i="13"/>
  <c r="Z3220" i="13"/>
  <c r="Z3221" i="13"/>
  <c r="Y3222" i="13"/>
  <c r="Y3223" i="13"/>
  <c r="Z3222" i="13"/>
  <c r="Y3224" i="13"/>
  <c r="Z3223" i="13"/>
  <c r="Y3225" i="13"/>
  <c r="Z3224" i="13"/>
  <c r="Z3225" i="13"/>
  <c r="Y3226" i="13"/>
  <c r="Y3227" i="13"/>
  <c r="Z3226" i="13"/>
  <c r="Y3228" i="13"/>
  <c r="Z3227" i="13"/>
  <c r="Y3229" i="13"/>
  <c r="Z3228" i="13"/>
  <c r="Y3230" i="13"/>
  <c r="Z3229" i="13"/>
  <c r="Y3231" i="13"/>
  <c r="Z3230" i="13"/>
  <c r="Y3232" i="13"/>
  <c r="Z3231" i="13"/>
  <c r="Y3233" i="13"/>
  <c r="Z3232" i="13"/>
  <c r="Y3234" i="13"/>
  <c r="Z3233" i="13"/>
  <c r="Y3235" i="13"/>
  <c r="Z3234" i="13"/>
  <c r="Z3235" i="13"/>
  <c r="Y3236" i="13"/>
  <c r="Z3236" i="13"/>
  <c r="Y3237" i="13"/>
  <c r="Y3238" i="13"/>
  <c r="Z3237" i="13"/>
  <c r="Y3239" i="13"/>
  <c r="Z3238" i="13"/>
  <c r="Y3240" i="13"/>
  <c r="Z3239" i="13"/>
  <c r="Z3240" i="13"/>
  <c r="Y3241" i="13"/>
  <c r="Y3242" i="13"/>
  <c r="Z3241" i="13"/>
  <c r="Y3243" i="13"/>
  <c r="Z3242" i="13"/>
  <c r="Y3244" i="13"/>
  <c r="Z3243" i="13"/>
  <c r="Y3245" i="13"/>
  <c r="Z3244" i="13"/>
  <c r="Y3246" i="13"/>
  <c r="Z3245" i="13"/>
  <c r="Y3247" i="13"/>
  <c r="Z3246" i="13"/>
  <c r="Y3248" i="13"/>
  <c r="Z3247" i="13"/>
  <c r="Y3249" i="13"/>
  <c r="Z3248" i="13"/>
  <c r="Y3250" i="13"/>
  <c r="Z3249" i="13"/>
  <c r="Y3251" i="13"/>
  <c r="Z3250" i="13"/>
  <c r="Y3252" i="13"/>
  <c r="Z3251" i="13"/>
  <c r="Y3253" i="13"/>
  <c r="Z3252" i="13"/>
  <c r="Z3253" i="13"/>
  <c r="Y3254" i="13"/>
  <c r="Y3255" i="13"/>
  <c r="Z3254" i="13"/>
  <c r="Y3256" i="13"/>
  <c r="Z3255" i="13"/>
  <c r="Y3257" i="13"/>
  <c r="Z3256" i="13"/>
  <c r="Y3258" i="13"/>
  <c r="Z3257" i="13"/>
  <c r="Y3259" i="13"/>
  <c r="Z3258" i="13"/>
  <c r="Y3260" i="13"/>
  <c r="Z3259" i="13"/>
  <c r="Y3261" i="13"/>
  <c r="Z3260" i="13"/>
  <c r="Y3262" i="13"/>
  <c r="Z3261" i="13"/>
  <c r="Y3263" i="13"/>
  <c r="Z3262" i="13"/>
  <c r="Y3264" i="13"/>
  <c r="Z3263" i="13"/>
  <c r="Y3265" i="13"/>
  <c r="Z3264" i="13"/>
  <c r="Y3266" i="13"/>
  <c r="Z3265" i="13"/>
  <c r="Y3267" i="13"/>
  <c r="Z3266" i="13"/>
  <c r="Y3268" i="13"/>
  <c r="Z3267" i="13"/>
  <c r="Y3269" i="13"/>
  <c r="Z3268" i="13"/>
  <c r="Y3270" i="13"/>
  <c r="Z3269" i="13"/>
  <c r="Y3271" i="13"/>
  <c r="Z3270" i="13"/>
  <c r="Y3272" i="13"/>
  <c r="Z3271" i="13"/>
  <c r="Y3273" i="13"/>
  <c r="Z3272" i="13"/>
  <c r="Y3274" i="13"/>
  <c r="Z3273" i="13"/>
  <c r="Y3275" i="13"/>
  <c r="Z3274" i="13"/>
  <c r="Y3276" i="13"/>
  <c r="Z3275" i="13"/>
  <c r="Y3277" i="13"/>
  <c r="Z3276" i="13"/>
  <c r="Y3278" i="13"/>
  <c r="Z3277" i="13"/>
  <c r="Y3279" i="13"/>
  <c r="Z3278" i="13"/>
  <c r="Y3280" i="13"/>
  <c r="Z3279" i="13"/>
  <c r="Z3280" i="13"/>
  <c r="Y3281" i="13"/>
  <c r="Y3282" i="13"/>
  <c r="Z3281" i="13"/>
  <c r="Y3283" i="13"/>
  <c r="Z3282" i="13"/>
  <c r="Y3284" i="13"/>
  <c r="Z3283" i="13"/>
  <c r="Y3285" i="13"/>
  <c r="Z3284" i="13"/>
  <c r="Z3285" i="13"/>
  <c r="Y3286" i="13"/>
  <c r="Y3287" i="13"/>
  <c r="Z3286" i="13"/>
  <c r="Y3288" i="13"/>
  <c r="Z3287" i="13"/>
  <c r="Y3289" i="13"/>
  <c r="Z3288" i="13"/>
  <c r="Y3290" i="13"/>
  <c r="Z3289" i="13"/>
  <c r="Y3291" i="13"/>
  <c r="Z3290" i="13"/>
  <c r="Z3291" i="13"/>
  <c r="Y3292" i="13"/>
  <c r="Y3293" i="13"/>
  <c r="Z3292" i="13"/>
  <c r="Y3294" i="13"/>
  <c r="Z3293" i="13"/>
  <c r="Y3295" i="13"/>
  <c r="Z3294" i="13"/>
  <c r="Y3296" i="13"/>
  <c r="Z3295" i="13"/>
  <c r="Y3297" i="13"/>
  <c r="Z3296" i="13"/>
  <c r="Y3298" i="13"/>
  <c r="Z3297" i="13"/>
  <c r="Y3299" i="13"/>
  <c r="Z3298" i="13"/>
  <c r="Y3300" i="13"/>
  <c r="Z3299" i="13"/>
  <c r="Z3300" i="13"/>
  <c r="Y3301" i="13"/>
  <c r="Y3302" i="13"/>
  <c r="Z3301" i="13"/>
  <c r="Y3303" i="13"/>
  <c r="Z3302" i="13"/>
  <c r="Y3304" i="13"/>
  <c r="Z3303" i="13"/>
  <c r="Y3305" i="13"/>
  <c r="Z3304" i="13"/>
  <c r="Y3306" i="13"/>
  <c r="Z3305" i="13"/>
  <c r="Y3307" i="13"/>
  <c r="Z3306" i="13"/>
  <c r="Y3308" i="13"/>
  <c r="Z3307" i="13"/>
  <c r="Y3309" i="13"/>
  <c r="Z3308" i="13"/>
  <c r="Y3310" i="13"/>
  <c r="Z3309" i="13"/>
  <c r="Y3311" i="13"/>
  <c r="Z3310" i="13"/>
  <c r="Y3312" i="13"/>
  <c r="Z3311" i="13"/>
  <c r="Y3313" i="13"/>
  <c r="Z3312" i="13"/>
  <c r="Y3314" i="13"/>
  <c r="Z3313" i="13"/>
  <c r="Y3315" i="13"/>
  <c r="Z3314" i="13"/>
  <c r="Y3316" i="13"/>
  <c r="Z3315" i="13"/>
  <c r="Y3317" i="13"/>
  <c r="Z3316" i="13"/>
  <c r="Y3318" i="13"/>
  <c r="Z3317" i="13"/>
  <c r="Y3319" i="13"/>
  <c r="Z3318" i="13"/>
  <c r="Y3320" i="13"/>
  <c r="Z3319" i="13"/>
  <c r="Y3321" i="13"/>
  <c r="Z3320" i="13"/>
  <c r="Y3322" i="13"/>
  <c r="Z3321" i="13"/>
  <c r="Y3323" i="13"/>
  <c r="Z3322" i="13"/>
  <c r="Z3323" i="13"/>
  <c r="Y3324" i="13"/>
  <c r="Y3325" i="13"/>
  <c r="Z3324" i="13"/>
  <c r="Y3326" i="13"/>
  <c r="Z3325" i="13"/>
  <c r="Y3327" i="13"/>
  <c r="Z3326" i="13"/>
  <c r="Y3328" i="13"/>
  <c r="Z3327" i="13"/>
  <c r="Y3329" i="13"/>
  <c r="Z3328" i="13"/>
  <c r="Z3329" i="13"/>
  <c r="Y3330" i="13"/>
  <c r="Y3331" i="13"/>
  <c r="Z3330" i="13"/>
  <c r="Z3331" i="13"/>
  <c r="Y3332" i="13"/>
  <c r="Z3332" i="13"/>
  <c r="Y3333" i="13"/>
  <c r="Z3333" i="13"/>
  <c r="Y3334" i="13"/>
  <c r="Y3335" i="13"/>
  <c r="Z3334" i="13"/>
  <c r="Y3336" i="13"/>
  <c r="Z3335" i="13"/>
  <c r="Y3337" i="13"/>
  <c r="Z3336" i="13"/>
  <c r="Y3338" i="13"/>
  <c r="Z3337" i="13"/>
  <c r="Y3339" i="13"/>
  <c r="Z3338" i="13"/>
  <c r="Y3340" i="13"/>
  <c r="Z3339" i="13"/>
  <c r="Y3341" i="13"/>
  <c r="Z3340" i="13"/>
  <c r="Y3342" i="13"/>
  <c r="Z3341" i="13"/>
  <c r="Y3343" i="13"/>
  <c r="Z3342" i="13"/>
  <c r="Y3344" i="13"/>
  <c r="Z3343" i="13"/>
  <c r="Z3344" i="13"/>
  <c r="Y3345" i="13"/>
  <c r="Y3346" i="13"/>
  <c r="Z3345" i="13"/>
  <c r="Y3347" i="13"/>
  <c r="Z3346" i="13"/>
  <c r="Z3347" i="13"/>
  <c r="Y3348" i="13"/>
  <c r="Y3349" i="13"/>
  <c r="Z3348" i="13"/>
  <c r="Y3350" i="13"/>
  <c r="Z3349" i="13"/>
  <c r="Y3351" i="13"/>
  <c r="Z3350" i="13"/>
  <c r="Y3352" i="13"/>
  <c r="Z3351" i="13"/>
  <c r="Y3353" i="13"/>
  <c r="Z3352" i="13"/>
  <c r="Z3353" i="13"/>
  <c r="Y3354" i="13"/>
  <c r="Y3355" i="13"/>
  <c r="Z3354" i="13"/>
  <c r="Z3355" i="13"/>
  <c r="Y3356" i="13"/>
  <c r="Y3357" i="13"/>
  <c r="Z3356" i="13"/>
  <c r="Y3358" i="13"/>
  <c r="Z3357" i="13"/>
  <c r="Y3359" i="13"/>
  <c r="Z3358" i="13"/>
  <c r="Z3359" i="13"/>
  <c r="Y3360" i="13"/>
  <c r="Y3361" i="13"/>
  <c r="Z3360" i="13"/>
  <c r="Y3362" i="13"/>
  <c r="Z3361" i="13"/>
  <c r="Y3363" i="13"/>
  <c r="Z3362" i="13"/>
  <c r="Y3364" i="13"/>
  <c r="Z3363" i="13"/>
  <c r="Y3365" i="13"/>
  <c r="Z3364" i="13"/>
  <c r="Z3365" i="13"/>
  <c r="Y3366" i="13"/>
  <c r="Y3367" i="13"/>
  <c r="Z3366" i="13"/>
  <c r="Y3368" i="13"/>
  <c r="Z3367" i="13"/>
  <c r="Y3369" i="13"/>
  <c r="Z3368" i="13"/>
  <c r="Y3370" i="13"/>
  <c r="Z3369" i="13"/>
  <c r="Y3371" i="13"/>
  <c r="Z3370" i="13"/>
  <c r="Y3372" i="13"/>
  <c r="Z3371" i="13"/>
  <c r="Y3373" i="13"/>
  <c r="Z3372" i="13"/>
  <c r="Y3374" i="13"/>
  <c r="Z3373" i="13"/>
  <c r="Y3375" i="13"/>
  <c r="Z3374" i="13"/>
  <c r="Z3375" i="13"/>
  <c r="Y3376" i="13"/>
  <c r="Z3376" i="13"/>
  <c r="Y3377" i="13"/>
  <c r="Y3378" i="13"/>
  <c r="Z3377" i="13"/>
  <c r="Y3379" i="13"/>
  <c r="Z3378" i="13"/>
  <c r="Y3380" i="13"/>
  <c r="Z3379" i="13"/>
  <c r="Y3381" i="13"/>
  <c r="Z3380" i="13"/>
  <c r="Y3382" i="13"/>
  <c r="Z3381" i="13"/>
  <c r="Y3383" i="13"/>
  <c r="Z3382" i="13"/>
  <c r="Y3384" i="13"/>
  <c r="Z3383" i="13"/>
  <c r="Y3385" i="13"/>
  <c r="Z3384" i="13"/>
  <c r="Z3385" i="13"/>
  <c r="Y3386" i="13"/>
  <c r="Y3387" i="13"/>
  <c r="Z3386" i="13"/>
  <c r="Z3387" i="13"/>
  <c r="Y3388" i="13"/>
  <c r="Y3389" i="13"/>
  <c r="Z3388" i="13"/>
  <c r="Y3390" i="13"/>
  <c r="Z3389" i="13"/>
  <c r="Y3391" i="13"/>
  <c r="Z3390" i="13"/>
  <c r="Y3392" i="13"/>
  <c r="Z3391" i="13"/>
  <c r="Y3393" i="13"/>
  <c r="Z3392" i="13"/>
  <c r="Y3394" i="13"/>
  <c r="Z3393" i="13"/>
  <c r="Y3395" i="13"/>
  <c r="Z3394" i="13"/>
  <c r="Z3395" i="13"/>
  <c r="Y3396" i="13"/>
  <c r="Y3397" i="13"/>
  <c r="Z3396" i="13"/>
  <c r="Z3397" i="13"/>
  <c r="Y3398" i="13"/>
  <c r="Y3399" i="13"/>
  <c r="Z3398" i="13"/>
  <c r="Y3400" i="13"/>
  <c r="Z3399" i="13"/>
  <c r="Y3401" i="13"/>
  <c r="Z3400" i="13"/>
  <c r="Y3402" i="13"/>
  <c r="Z3401" i="13"/>
  <c r="Y3403" i="13"/>
  <c r="Z3402" i="13"/>
  <c r="Y3404" i="13"/>
  <c r="Z3403" i="13"/>
  <c r="Y3405" i="13"/>
  <c r="Z3404" i="13"/>
  <c r="Y3406" i="13"/>
  <c r="Z3405" i="13"/>
  <c r="Y3407" i="13"/>
  <c r="Z3406" i="13"/>
  <c r="Y3408" i="13"/>
  <c r="Z3407" i="13"/>
  <c r="Z3408" i="13"/>
  <c r="Y3409" i="13"/>
  <c r="Y3410" i="13"/>
  <c r="Z3409" i="13"/>
  <c r="Y3411" i="13"/>
  <c r="Z3410" i="13"/>
  <c r="Y3412" i="13"/>
  <c r="Z3411" i="13"/>
  <c r="Y3413" i="13"/>
  <c r="Z3412" i="13"/>
  <c r="Y3414" i="13"/>
  <c r="Z3413" i="13"/>
  <c r="Y3415" i="13"/>
  <c r="Z3414" i="13"/>
  <c r="Y3416" i="13"/>
  <c r="Z3415" i="13"/>
  <c r="Y3417" i="13"/>
  <c r="Z3416" i="13"/>
  <c r="Y3418" i="13"/>
  <c r="Z3417" i="13"/>
  <c r="Y3419" i="13"/>
  <c r="Z3418" i="13"/>
  <c r="Z3419" i="13"/>
  <c r="Y3420" i="13"/>
  <c r="Y3421" i="13"/>
  <c r="Z3420" i="13"/>
  <c r="Z3421" i="13"/>
  <c r="Y3422" i="13"/>
  <c r="Z3422" i="13"/>
  <c r="Y3423" i="13"/>
  <c r="Y3424" i="13"/>
  <c r="Z3423" i="13"/>
  <c r="Y3425" i="13"/>
  <c r="Z3424" i="13"/>
  <c r="Y3426" i="13"/>
  <c r="Z3425" i="13"/>
  <c r="Y3427" i="13"/>
  <c r="Z3426" i="13"/>
  <c r="Y3428" i="13"/>
  <c r="Z3427" i="13"/>
  <c r="Z3428" i="13"/>
  <c r="Y3429" i="13"/>
  <c r="Z3429" i="13"/>
  <c r="Y3430" i="13"/>
  <c r="Y3431" i="13"/>
  <c r="Z3430" i="13"/>
  <c r="Y3432" i="13"/>
  <c r="Z3431" i="13"/>
  <c r="Z3432" i="13"/>
  <c r="Y3433" i="13"/>
  <c r="Z3433" i="13"/>
  <c r="Y3434" i="13"/>
  <c r="Y3435" i="13"/>
  <c r="Z3434" i="13"/>
  <c r="Z3435" i="13"/>
  <c r="Y3436" i="13"/>
  <c r="Y3437" i="13"/>
  <c r="Z3436" i="13"/>
  <c r="Y3438" i="13"/>
  <c r="Z3437" i="13"/>
  <c r="Y3439" i="13"/>
  <c r="Z3438" i="13"/>
  <c r="Y3440" i="13"/>
  <c r="Z3439" i="13"/>
  <c r="Z3440" i="13"/>
  <c r="Y3441" i="13"/>
  <c r="Y3442" i="13"/>
  <c r="Z3441" i="13"/>
  <c r="Y3443" i="13"/>
  <c r="Z3442" i="13"/>
  <c r="Y3444" i="13"/>
  <c r="Z3443" i="13"/>
  <c r="Z3444" i="13"/>
  <c r="Y3445" i="13"/>
  <c r="Y3446" i="13"/>
  <c r="Z3445" i="13"/>
  <c r="Y3447" i="13"/>
  <c r="Z3446" i="13"/>
  <c r="Y3448" i="13"/>
  <c r="Z3447" i="13"/>
  <c r="Y3449" i="13"/>
  <c r="Z3448" i="13"/>
  <c r="Y3450" i="13"/>
  <c r="Z3449" i="13"/>
  <c r="Y3451" i="13"/>
  <c r="Z3450" i="13"/>
  <c r="Z3451" i="13"/>
  <c r="Y3452" i="13"/>
  <c r="Y3453" i="13"/>
  <c r="Z3452" i="13"/>
  <c r="Y3454" i="13"/>
  <c r="Z3453" i="13"/>
  <c r="Y3455" i="13"/>
  <c r="Z3454" i="13"/>
  <c r="Y3456" i="13"/>
  <c r="Z3455" i="13"/>
  <c r="Y3457" i="13"/>
  <c r="Z3456" i="13"/>
  <c r="Y3458" i="13"/>
  <c r="Z3457" i="13"/>
  <c r="Y3459" i="13"/>
  <c r="Z3458" i="13"/>
  <c r="Z3459" i="13"/>
  <c r="Y3460" i="13"/>
  <c r="Z3460" i="13"/>
  <c r="Y3461" i="13"/>
  <c r="Z3461" i="13"/>
  <c r="Y3462" i="13"/>
  <c r="Y3463" i="13"/>
  <c r="Z3462" i="13"/>
  <c r="Y3464" i="13"/>
  <c r="Z3463" i="13"/>
  <c r="Y3465" i="13"/>
  <c r="Z3464" i="13"/>
  <c r="Z3465" i="13"/>
  <c r="Y3466" i="13"/>
  <c r="Y3467" i="13"/>
  <c r="Z3466" i="13"/>
  <c r="Z3467" i="13"/>
  <c r="Y3468" i="13"/>
  <c r="Y3469" i="13"/>
  <c r="Z3468" i="13"/>
  <c r="Z3469" i="13"/>
  <c r="Y3470" i="13"/>
  <c r="Y3471" i="13"/>
  <c r="Z3470" i="13"/>
  <c r="Y3472" i="13"/>
  <c r="Z3471" i="13"/>
  <c r="Z3472" i="13"/>
  <c r="Y3473" i="13"/>
  <c r="Y3474" i="13"/>
  <c r="Z3473" i="13"/>
  <c r="Y3475" i="13"/>
  <c r="Z3474" i="13"/>
  <c r="Y3476" i="13"/>
  <c r="Z3475" i="13"/>
  <c r="Y3477" i="13"/>
  <c r="Z3476" i="13"/>
  <c r="Y3478" i="13"/>
  <c r="Z3477" i="13"/>
  <c r="Y3479" i="13"/>
  <c r="Z3478" i="13"/>
  <c r="Y3480" i="13"/>
  <c r="Z3479" i="13"/>
  <c r="Y3481" i="13"/>
  <c r="Z3480" i="13"/>
  <c r="Z3481" i="13"/>
  <c r="Y3482" i="13"/>
  <c r="Y3483" i="13"/>
  <c r="Z3482" i="13"/>
  <c r="Z3483" i="13"/>
  <c r="Y3484" i="13"/>
  <c r="Y3485" i="13"/>
  <c r="Z3484" i="13"/>
  <c r="Z3485" i="13"/>
  <c r="Y3486" i="13"/>
  <c r="Z3486" i="13"/>
  <c r="Y3487" i="13"/>
  <c r="Y3488" i="13"/>
  <c r="Z3487" i="13"/>
  <c r="Y3489" i="13"/>
  <c r="Z3488" i="13"/>
  <c r="Y3490" i="13"/>
  <c r="Z3489" i="13"/>
  <c r="Y3491" i="13"/>
  <c r="Z3490" i="13"/>
  <c r="Y3492" i="13"/>
  <c r="Z3491" i="13"/>
  <c r="Z3492" i="13"/>
  <c r="Y3493" i="13"/>
  <c r="Z3493" i="13"/>
  <c r="Y3494" i="13"/>
  <c r="Y3495" i="13"/>
  <c r="Z3494" i="13"/>
  <c r="Y3496" i="13"/>
  <c r="Z3495" i="13"/>
  <c r="Y3497" i="13"/>
  <c r="Z3496" i="13"/>
  <c r="Z3497" i="13"/>
  <c r="Y3498" i="13"/>
  <c r="Y3499" i="13"/>
  <c r="Z3498" i="13"/>
  <c r="Z3499" i="13"/>
  <c r="Y3500" i="13"/>
  <c r="Y3501" i="13"/>
  <c r="Z3500" i="13"/>
  <c r="Y3502" i="13"/>
  <c r="Z3501" i="13"/>
  <c r="Y3503" i="13"/>
  <c r="Z3502" i="13"/>
  <c r="Y3504" i="13"/>
  <c r="Z3503" i="13"/>
  <c r="Z3504" i="13"/>
  <c r="Y3505" i="13"/>
  <c r="Y3506" i="13"/>
  <c r="Z3505" i="13"/>
  <c r="Y3507" i="13"/>
  <c r="Z3506" i="13"/>
  <c r="Y3508" i="13"/>
  <c r="Z3507" i="13"/>
  <c r="Y3509" i="13"/>
  <c r="Z3508" i="13"/>
  <c r="Y3510" i="13"/>
  <c r="Z3509" i="13"/>
  <c r="Y3511" i="13"/>
  <c r="Z3510" i="13"/>
  <c r="Y3512" i="13"/>
  <c r="Z3511" i="13"/>
  <c r="Y3513" i="13"/>
  <c r="Z3512" i="13"/>
  <c r="Y3514" i="13"/>
  <c r="Z3513" i="13"/>
  <c r="Y3515" i="13"/>
  <c r="Z3514" i="13"/>
  <c r="Z3515" i="13"/>
  <c r="Y3516" i="13"/>
  <c r="Y3517" i="13"/>
  <c r="Z3516" i="13"/>
  <c r="Z3517" i="13"/>
  <c r="Y3518" i="13"/>
  <c r="Y3519" i="13"/>
  <c r="Z3518" i="13"/>
  <c r="Y3520" i="13"/>
  <c r="Z3519" i="13"/>
  <c r="Y3521" i="13"/>
  <c r="Z3520" i="13"/>
  <c r="Y3522" i="13"/>
  <c r="Z3521" i="13"/>
  <c r="Y3523" i="13"/>
  <c r="Z3522" i="13"/>
  <c r="Y3524" i="13"/>
  <c r="Z3523" i="13"/>
  <c r="Z3524" i="13"/>
  <c r="Y3525" i="13"/>
  <c r="Z3525" i="13"/>
  <c r="Y3526" i="13"/>
  <c r="Y3527" i="13"/>
  <c r="Z3526" i="13"/>
  <c r="Y3528" i="13"/>
  <c r="Z3527" i="13"/>
  <c r="Y3529" i="13"/>
  <c r="Z3528" i="13"/>
  <c r="Y3530" i="13"/>
  <c r="Z3529" i="13"/>
  <c r="Y3531" i="13"/>
  <c r="Z3530" i="13"/>
  <c r="Z3531" i="13"/>
  <c r="Y3532" i="13"/>
  <c r="Y3533" i="13"/>
  <c r="Z3532" i="13"/>
  <c r="Z3533" i="13"/>
  <c r="Y3534" i="13"/>
  <c r="Y3535" i="13"/>
  <c r="Z3534" i="13"/>
  <c r="Z3535" i="13"/>
  <c r="Y3536" i="13"/>
  <c r="Z3536" i="13"/>
  <c r="Y3537" i="13"/>
  <c r="Y3538" i="13"/>
  <c r="Z3537" i="13"/>
  <c r="Y3539" i="13"/>
  <c r="Z3538" i="13"/>
  <c r="Y3540" i="13"/>
  <c r="Z3539" i="13"/>
  <c r="Y3541" i="13"/>
  <c r="Z3540" i="13"/>
  <c r="Z3541" i="13"/>
  <c r="Y3542" i="13"/>
  <c r="Y3543" i="13"/>
  <c r="Z3542" i="13"/>
  <c r="Y3544" i="13"/>
  <c r="Z3543" i="13"/>
  <c r="Z3544" i="13"/>
  <c r="Y3545" i="13"/>
  <c r="Y3546" i="13"/>
  <c r="Z3545" i="13"/>
  <c r="Y3547" i="13"/>
  <c r="Z3546" i="13"/>
  <c r="Z3547" i="13"/>
  <c r="Y3548" i="13"/>
  <c r="Y3549" i="13"/>
  <c r="Z3548" i="13"/>
  <c r="Z3549" i="13"/>
  <c r="Y3550" i="13"/>
  <c r="Y3551" i="13"/>
  <c r="Z3550" i="13"/>
  <c r="Y3552" i="13"/>
  <c r="Z3551" i="13"/>
  <c r="AA19" i="13" a="1"/>
  <c r="Z3552" i="13"/>
  <c r="AB19" i="13" s="1" a="1"/>
  <c r="AB432" i="13" l="1"/>
  <c r="AB241" i="13"/>
  <c r="AB855" i="13"/>
  <c r="AB1372" i="13"/>
  <c r="AB1942" i="13"/>
  <c r="AB1439" i="13"/>
  <c r="AB2019" i="13"/>
  <c r="AB2034" i="13"/>
  <c r="AB3459" i="13"/>
  <c r="AB641" i="13"/>
  <c r="AB635" i="13"/>
  <c r="AB350" i="13"/>
  <c r="AB2918" i="13"/>
  <c r="AB2254" i="13"/>
  <c r="AB2545" i="13"/>
  <c r="AB1797" i="13"/>
  <c r="AB2429" i="13"/>
  <c r="AB2686" i="13"/>
  <c r="AB936" i="13"/>
  <c r="AB2350" i="13"/>
  <c r="AB1994" i="13"/>
  <c r="AB1262" i="13"/>
  <c r="AB3233" i="13"/>
  <c r="AB2409" i="13"/>
  <c r="AB3222" i="13"/>
  <c r="AB1618" i="13"/>
  <c r="AB2475" i="13"/>
  <c r="AB3297" i="13"/>
  <c r="AB147" i="13"/>
  <c r="AB80" i="13"/>
  <c r="AB1198" i="13"/>
  <c r="AB680" i="13"/>
  <c r="AB1104" i="13"/>
  <c r="AB439" i="13"/>
  <c r="AB1443" i="13"/>
  <c r="AB1040" i="13"/>
  <c r="AB1684" i="13"/>
  <c r="AB1783" i="13"/>
  <c r="AB1122" i="13"/>
  <c r="AB2381" i="13"/>
  <c r="AB1528" i="13"/>
  <c r="AB667" i="13"/>
  <c r="AB3060" i="13"/>
  <c r="AB109" i="13"/>
  <c r="AB3071" i="13"/>
  <c r="AB2649" i="13"/>
  <c r="AB1321" i="13"/>
  <c r="AB1478" i="13"/>
  <c r="AB1130" i="13"/>
  <c r="AB2563" i="13"/>
  <c r="AB1101" i="13"/>
  <c r="AB2828" i="13"/>
  <c r="AB2565" i="13"/>
  <c r="AB2184" i="13"/>
  <c r="AB885" i="13"/>
  <c r="AB1645" i="13"/>
  <c r="AB1490" i="13"/>
  <c r="AB732" i="13"/>
  <c r="AB1259" i="13"/>
  <c r="AB2559" i="13"/>
  <c r="AB2718" i="13"/>
  <c r="AB2135" i="13"/>
  <c r="AB2237" i="13"/>
  <c r="AB1215" i="13"/>
  <c r="AB770" i="13"/>
  <c r="AB2069" i="13"/>
  <c r="AB2980" i="13"/>
  <c r="AB1714" i="13"/>
  <c r="AB1991" i="13"/>
  <c r="AB393" i="13"/>
  <c r="AB2800" i="13"/>
  <c r="AB2847" i="13"/>
  <c r="AB2448" i="13"/>
  <c r="AB2146" i="13"/>
  <c r="AB3207" i="13"/>
  <c r="AB2821" i="13"/>
  <c r="AB1218" i="13"/>
  <c r="AB2309" i="13"/>
  <c r="AB2006" i="13"/>
  <c r="AB1612" i="13"/>
  <c r="AB3391" i="13"/>
  <c r="AB671" i="13"/>
  <c r="AB2347" i="13"/>
  <c r="AB676" i="13"/>
  <c r="AB3061" i="13"/>
  <c r="AB3505" i="13"/>
  <c r="AB3326" i="13"/>
  <c r="AB256" i="13"/>
  <c r="AB3159" i="13"/>
  <c r="AB360" i="13"/>
  <c r="AB3181" i="13"/>
  <c r="AB2846" i="13"/>
  <c r="AB2810" i="13"/>
  <c r="AB422" i="13"/>
  <c r="AB86" i="13"/>
  <c r="AB1488" i="13"/>
  <c r="AB1099" i="13"/>
  <c r="AB3283" i="13"/>
  <c r="AB1774" i="13"/>
  <c r="AB2153" i="13"/>
  <c r="AB930" i="13"/>
  <c r="AB1613" i="13"/>
  <c r="AB1973" i="13"/>
  <c r="AB1526" i="13"/>
  <c r="AB192" i="13"/>
  <c r="AB415" i="13"/>
  <c r="AB3422" i="13"/>
  <c r="AB1344" i="13"/>
  <c r="AB2287" i="13"/>
  <c r="AB428" i="13"/>
  <c r="AB1279" i="13"/>
  <c r="AB596" i="13"/>
  <c r="AB1270" i="13"/>
  <c r="AB1949" i="13"/>
  <c r="AB1195" i="13"/>
  <c r="AB1360" i="13"/>
  <c r="AB981" i="13"/>
  <c r="AB1330" i="13"/>
  <c r="AB1010" i="13"/>
  <c r="AB998" i="13"/>
  <c r="AB780" i="13"/>
  <c r="AB2569" i="13"/>
  <c r="AB1984" i="13"/>
  <c r="AB2632" i="13"/>
  <c r="AB396" i="13"/>
  <c r="AB1367" i="13"/>
  <c r="AB279" i="13"/>
  <c r="AB118" i="13"/>
  <c r="AB1667" i="13"/>
  <c r="AB497" i="13"/>
  <c r="AB3055" i="13"/>
  <c r="AB2296" i="13"/>
  <c r="AB1426" i="13"/>
  <c r="AB438" i="13"/>
  <c r="AB3216" i="13"/>
  <c r="AB3267" i="13"/>
  <c r="AB2173" i="13"/>
  <c r="AB1868" i="13"/>
  <c r="AB365" i="13"/>
  <c r="AB1579" i="13"/>
  <c r="AB2814" i="13"/>
  <c r="AB2574" i="13"/>
  <c r="AB2943" i="13"/>
  <c r="AB185" i="13"/>
  <c r="AB1617" i="13"/>
  <c r="AB2752" i="13"/>
  <c r="AB3456" i="13"/>
  <c r="AB491" i="13"/>
  <c r="AB1244" i="13"/>
  <c r="AB183" i="13"/>
  <c r="AB2644" i="13"/>
  <c r="AB1280" i="13"/>
  <c r="AB1103" i="13"/>
  <c r="AB477" i="13"/>
  <c r="AB1603" i="13"/>
  <c r="AB2027" i="13"/>
  <c r="AB1267" i="13"/>
  <c r="AB2265" i="13"/>
  <c r="AB1429" i="13"/>
  <c r="AB2177" i="13"/>
  <c r="AB2238" i="13"/>
  <c r="AB2122" i="13"/>
  <c r="AB2463" i="13"/>
  <c r="AB2214" i="13"/>
  <c r="AB818" i="13"/>
  <c r="AB1775" i="13"/>
  <c r="AB620" i="13"/>
  <c r="AB2198" i="13"/>
  <c r="AB1297" i="13"/>
  <c r="AB650" i="13"/>
  <c r="AB1213" i="13"/>
  <c r="AB471" i="13"/>
  <c r="AB2619" i="13"/>
  <c r="AB112" i="13"/>
  <c r="AB3280" i="13"/>
  <c r="AB2430" i="13"/>
  <c r="AB1207" i="13"/>
  <c r="AB1935" i="13"/>
  <c r="AB1557" i="13"/>
  <c r="AB803" i="13"/>
  <c r="AB1673" i="13"/>
  <c r="AB3027" i="13"/>
  <c r="AB1228" i="13"/>
  <c r="AB851" i="13"/>
  <c r="AB1392" i="13"/>
  <c r="AB1802" i="13"/>
  <c r="AB48" i="13"/>
  <c r="AB479" i="13"/>
  <c r="AB558" i="13"/>
  <c r="AB692" i="13"/>
  <c r="AB1727" i="13"/>
  <c r="AB1909" i="13"/>
  <c r="AB1631" i="13"/>
  <c r="AB3533" i="13"/>
  <c r="AB914" i="13"/>
  <c r="AB3369" i="13"/>
  <c r="AB3523" i="13"/>
  <c r="AB555" i="13"/>
  <c r="AB1963" i="13"/>
  <c r="AB494" i="13"/>
  <c r="AB1246" i="13"/>
  <c r="AB2285" i="13"/>
  <c r="AB1487" i="13"/>
  <c r="AB2732" i="13"/>
  <c r="AB638" i="13"/>
  <c r="AB1777" i="13"/>
  <c r="AB232" i="13"/>
  <c r="AB462" i="13"/>
  <c r="AB3090" i="13"/>
  <c r="AB2952" i="13"/>
  <c r="AB2145" i="13"/>
  <c r="AB1649" i="13"/>
  <c r="AB1652" i="13"/>
  <c r="AB3171" i="13"/>
  <c r="AB499" i="13"/>
  <c r="AB76" i="13"/>
  <c r="AB778" i="13"/>
  <c r="AB105" i="13"/>
  <c r="AB1619" i="13"/>
  <c r="AB2086" i="13"/>
  <c r="AB141" i="13"/>
  <c r="AB1126" i="13"/>
  <c r="AB3547" i="13"/>
  <c r="AB1164" i="13"/>
  <c r="AB2218" i="13"/>
  <c r="AB1406" i="13"/>
  <c r="AB2625" i="13"/>
  <c r="AB767" i="13"/>
  <c r="AB223" i="13"/>
  <c r="AB1958" i="13"/>
  <c r="AB755" i="13"/>
  <c r="AB1653" i="13"/>
  <c r="AB1951" i="13"/>
  <c r="AB902" i="13"/>
  <c r="AB354" i="13"/>
  <c r="AB3123" i="13"/>
  <c r="AB3471" i="13"/>
  <c r="AB1582" i="13"/>
  <c r="AB519" i="13"/>
  <c r="AB1965" i="13"/>
  <c r="AB3390" i="13"/>
  <c r="AB1506" i="13"/>
  <c r="AB1609" i="13"/>
  <c r="AB2799" i="13"/>
  <c r="AB3475" i="13"/>
  <c r="AB3447" i="13"/>
  <c r="AB2924" i="13"/>
  <c r="AB1143" i="13"/>
  <c r="AB941" i="13"/>
  <c r="AB1541" i="13"/>
  <c r="AB62" i="13"/>
  <c r="AB2636" i="13"/>
  <c r="AB128" i="13"/>
  <c r="AB2996" i="13"/>
  <c r="AB231" i="13"/>
  <c r="AB2372" i="13"/>
  <c r="AB943" i="13"/>
  <c r="AB2293" i="13"/>
  <c r="AB3542" i="13"/>
  <c r="AB2266" i="13"/>
  <c r="AB1723" i="13"/>
  <c r="AB736" i="13"/>
  <c r="AB1098" i="13"/>
  <c r="AB3270" i="13"/>
  <c r="AB236" i="13"/>
  <c r="AB1803" i="13"/>
  <c r="AB757" i="13"/>
  <c r="AB447" i="13"/>
  <c r="AB3213" i="13"/>
  <c r="AB486" i="13"/>
  <c r="AB1840" i="13"/>
  <c r="AB1821" i="13"/>
  <c r="AB1465" i="13"/>
  <c r="AB440" i="13"/>
  <c r="AB1756" i="13"/>
  <c r="AB533" i="13"/>
  <c r="AB3119" i="13"/>
  <c r="AB2516" i="13"/>
  <c r="AB1046" i="13"/>
  <c r="AB522" i="13"/>
  <c r="AB1990" i="13"/>
  <c r="AB504" i="13"/>
  <c r="AB714" i="13"/>
  <c r="AB222" i="13"/>
  <c r="AB3406" i="13"/>
  <c r="AB2383" i="13"/>
  <c r="AB88" i="13"/>
  <c r="AB618" i="13"/>
  <c r="AB793" i="13"/>
  <c r="AB3036" i="13"/>
  <c r="AB2677" i="13"/>
  <c r="AB1960" i="13"/>
  <c r="AB2470" i="13"/>
  <c r="AB2527" i="13"/>
  <c r="AB2944" i="13"/>
  <c r="AB426" i="13"/>
  <c r="AB1690" i="13"/>
  <c r="AB1757" i="13"/>
  <c r="AB33" i="13"/>
  <c r="AB2667" i="13"/>
  <c r="AB623" i="13"/>
  <c r="AB1019" i="13"/>
  <c r="AB2561" i="13"/>
  <c r="AB2818" i="13"/>
  <c r="AB924" i="13"/>
  <c r="AB3433" i="13"/>
  <c r="AB278" i="13"/>
  <c r="AB3415" i="13"/>
  <c r="AB2066" i="13"/>
  <c r="AB1329" i="13"/>
  <c r="AB1875" i="13"/>
  <c r="AB2618" i="13"/>
  <c r="AB872" i="13"/>
  <c r="AB1194" i="13"/>
  <c r="AB2099" i="13"/>
  <c r="AB1944" i="13"/>
  <c r="AB1273" i="13"/>
  <c r="AB1334" i="13"/>
  <c r="AB3349" i="13"/>
  <c r="AB1816" i="13"/>
  <c r="AB3013" i="13"/>
  <c r="AB2212" i="13"/>
  <c r="AB2737" i="13"/>
  <c r="AB308" i="13"/>
  <c r="AB1485" i="13"/>
  <c r="AB2584" i="13"/>
  <c r="AB670" i="13"/>
  <c r="AB2849" i="13"/>
  <c r="AB1580" i="13"/>
  <c r="AB460" i="13"/>
  <c r="AB948" i="13"/>
  <c r="AB1555" i="13"/>
  <c r="AB3116" i="13"/>
  <c r="AB151" i="13"/>
  <c r="AB709" i="13"/>
  <c r="AB3103" i="13"/>
  <c r="AB1133" i="13"/>
  <c r="AB3355" i="13"/>
  <c r="AB1504" i="13"/>
  <c r="AB1430" i="13"/>
  <c r="AB574" i="13"/>
  <c r="AB1595" i="13"/>
  <c r="AB1501" i="13"/>
  <c r="AB2756" i="13"/>
  <c r="AB843" i="13"/>
  <c r="AB3277" i="13"/>
  <c r="AB3511" i="13"/>
  <c r="AB3245" i="13"/>
  <c r="AB1954" i="13"/>
  <c r="AB204" i="13"/>
  <c r="AB1855" i="13"/>
  <c r="AB1829" i="13"/>
  <c r="AB771" i="13"/>
  <c r="AB3178" i="13"/>
  <c r="AB481" i="13"/>
  <c r="AB1680" i="13"/>
  <c r="AB2063" i="13"/>
  <c r="AB82" i="13"/>
  <c r="AB3525" i="13"/>
  <c r="AB1952" i="13"/>
  <c r="AB2438" i="13"/>
  <c r="AB1338" i="13"/>
  <c r="AB649" i="13"/>
  <c r="AB3086" i="13"/>
  <c r="AB3313" i="13"/>
  <c r="AB321" i="13"/>
  <c r="AB823" i="13"/>
  <c r="AB2512" i="13"/>
  <c r="AB1097" i="13"/>
  <c r="AB3075" i="13"/>
  <c r="AB1537" i="13"/>
  <c r="AB2222" i="13"/>
  <c r="AB2865" i="13"/>
  <c r="AB926" i="13"/>
  <c r="AB3516" i="13"/>
  <c r="AB2235" i="13"/>
  <c r="AB493" i="13"/>
  <c r="AB760" i="13"/>
  <c r="AB2201" i="13"/>
  <c r="AB1309" i="13"/>
  <c r="AB1791" i="13"/>
  <c r="AB2124" i="13"/>
  <c r="AB1088" i="13"/>
  <c r="AB3338" i="13"/>
  <c r="AB29" i="13"/>
  <c r="AB887" i="13"/>
  <c r="AB2646" i="13"/>
  <c r="AB1513" i="13"/>
  <c r="AB397" i="13"/>
  <c r="AB2239" i="13"/>
  <c r="AB2291" i="13"/>
  <c r="AB3180" i="13"/>
  <c r="AB2067" i="13"/>
  <c r="AB2851" i="13"/>
  <c r="AB3177" i="13"/>
  <c r="AB556" i="13"/>
  <c r="AB648" i="13"/>
  <c r="AB750" i="13"/>
  <c r="AB1957" i="13"/>
  <c r="AB2831" i="13"/>
  <c r="AB1524" i="13"/>
  <c r="AB2616" i="13"/>
  <c r="AB1342" i="13"/>
  <c r="AB1946" i="13"/>
  <c r="AB2128" i="13"/>
  <c r="AB3312" i="13"/>
  <c r="AB973" i="13"/>
  <c r="AB2110" i="13"/>
  <c r="AB1092" i="13"/>
  <c r="AB323" i="13"/>
  <c r="AB3237" i="13"/>
  <c r="AB3340" i="13"/>
  <c r="AB456" i="13"/>
  <c r="AB110" i="13"/>
  <c r="AB2284" i="13"/>
  <c r="AB743" i="13"/>
  <c r="AB3185" i="13"/>
  <c r="AB2493" i="13"/>
  <c r="AB206" i="13"/>
  <c r="AB2522" i="13"/>
  <c r="AB227" i="13"/>
  <c r="AB633" i="13"/>
  <c r="AB1694" i="13"/>
  <c r="AB2393" i="13"/>
  <c r="AB3256" i="13"/>
  <c r="AB1124" i="13"/>
  <c r="AB1674" i="13"/>
  <c r="AB508" i="13"/>
  <c r="AB3095" i="13"/>
  <c r="AB1591" i="13"/>
  <c r="AB2304" i="13"/>
  <c r="AB896" i="13"/>
  <c r="AB986" i="13"/>
  <c r="AB1519" i="13"/>
  <c r="AB2441" i="13"/>
  <c r="AB3359" i="13"/>
  <c r="AB3272" i="13"/>
  <c r="AB1670" i="13"/>
  <c r="AB1702" i="13"/>
  <c r="AB3096" i="13"/>
  <c r="AB703" i="13"/>
  <c r="AB769" i="13"/>
  <c r="AB2452" i="13"/>
  <c r="AB1415" i="13"/>
  <c r="AB2022" i="13"/>
  <c r="AB552" i="13"/>
  <c r="AB2091" i="13"/>
  <c r="AB1057" i="13"/>
  <c r="AB194" i="13"/>
  <c r="AB2341" i="13"/>
  <c r="AB1968" i="13"/>
  <c r="AB672" i="13"/>
  <c r="AB2101" i="13"/>
  <c r="AB2642" i="13"/>
  <c r="AB2689" i="13"/>
  <c r="AB2013" i="13"/>
  <c r="AB2204" i="13"/>
  <c r="AB2953" i="13"/>
  <c r="AB2703" i="13"/>
  <c r="AB2775" i="13"/>
  <c r="AB627" i="13"/>
  <c r="AB562" i="13"/>
  <c r="AB1134" i="13"/>
  <c r="AB2708" i="13"/>
  <c r="AB2745" i="13"/>
  <c r="AB131" i="13"/>
  <c r="AB1659" i="13"/>
  <c r="AB1156" i="13"/>
  <c r="AB1508" i="13"/>
  <c r="AB1177" i="13"/>
  <c r="AB3506" i="13"/>
  <c r="AB155" i="13"/>
  <c r="AB3507" i="13"/>
  <c r="AB1870" i="13"/>
  <c r="AB812" i="13"/>
  <c r="AB1953" i="13"/>
  <c r="AB616" i="13"/>
  <c r="AB224" i="13"/>
  <c r="AB252" i="13"/>
  <c r="AB3251" i="13"/>
  <c r="AB1209" i="13"/>
  <c r="AB488" i="13"/>
  <c r="AB1569" i="13"/>
  <c r="AB720" i="13"/>
  <c r="AB2626" i="13"/>
  <c r="AB1242" i="13"/>
  <c r="AB3271" i="13"/>
  <c r="AB1173" i="13"/>
  <c r="AB569" i="13"/>
  <c r="AB927" i="13"/>
  <c r="AB3319" i="13"/>
  <c r="AB409" i="13"/>
  <c r="AB3151" i="13"/>
  <c r="AB1036" i="13"/>
  <c r="AB777" i="13"/>
  <c r="AB965" i="13"/>
  <c r="AB1836" i="13"/>
  <c r="AB921" i="13"/>
  <c r="AB1380" i="13"/>
  <c r="AB3042" i="13"/>
  <c r="AB946" i="13"/>
  <c r="AB2096" i="13"/>
  <c r="AB3254" i="13"/>
  <c r="AB1350" i="13"/>
  <c r="AB782" i="13"/>
  <c r="AB2896" i="13"/>
  <c r="AB2158" i="13"/>
  <c r="AB2837" i="13"/>
  <c r="AB2746" i="13"/>
  <c r="AB2232" i="13"/>
  <c r="AB3439" i="13"/>
  <c r="AB2271" i="13"/>
  <c r="AB3426" i="13"/>
  <c r="AB113" i="13"/>
  <c r="AB3052" i="13"/>
  <c r="AB1056" i="13"/>
  <c r="AB144" i="13"/>
  <c r="AB1800" i="13"/>
  <c r="AB2595" i="13"/>
  <c r="AB2854" i="13"/>
  <c r="AB1147" i="13"/>
  <c r="AB1810" i="13"/>
  <c r="AB583" i="13"/>
  <c r="AB779" i="13"/>
  <c r="AB3141" i="13"/>
  <c r="AB789" i="13"/>
  <c r="AB2609" i="13"/>
  <c r="AB2652" i="13"/>
  <c r="AB2241" i="13"/>
  <c r="AB1446" i="13"/>
  <c r="AB3318" i="13"/>
  <c r="AB3421" i="13"/>
  <c r="AB2877" i="13"/>
  <c r="AB1048" i="13"/>
  <c r="AB1399" i="13"/>
  <c r="AB3196" i="13"/>
  <c r="AB2601" i="13"/>
  <c r="AB2657" i="13"/>
  <c r="AB312" i="13"/>
  <c r="AB196" i="13"/>
  <c r="AB2888" i="13"/>
  <c r="AB2419" i="13"/>
  <c r="AB2509" i="13"/>
  <c r="AB434" i="13"/>
  <c r="AB3332" i="13"/>
  <c r="AB1563" i="13"/>
  <c r="AB1021" i="13"/>
  <c r="AB1257" i="13"/>
  <c r="AB1715" i="13"/>
  <c r="AB3186" i="13"/>
  <c r="AB1970" i="13"/>
  <c r="AB3030" i="13"/>
  <c r="AB1867" i="13"/>
  <c r="AB1374" i="13"/>
  <c r="AB2894" i="13"/>
  <c r="AB2942" i="13"/>
  <c r="AB1324" i="13"/>
  <c r="AB546" i="13"/>
  <c r="AB235" i="13"/>
  <c r="AB1283" i="13"/>
  <c r="AB1255" i="13"/>
  <c r="AB3154" i="13"/>
  <c r="AB381" i="13"/>
  <c r="AB427" i="13"/>
  <c r="AB776" i="13"/>
  <c r="AB3370" i="13"/>
  <c r="AB362" i="13"/>
  <c r="AB2795" i="13"/>
  <c r="AB1768" i="13"/>
  <c r="AB3383" i="13"/>
  <c r="AB1253" i="13"/>
  <c r="AB2367" i="13"/>
  <c r="AB1260" i="13"/>
  <c r="AB1206" i="13"/>
  <c r="AB794" i="13"/>
  <c r="AB2870" i="13"/>
  <c r="AB2502" i="13"/>
  <c r="AB1593" i="13"/>
  <c r="AB2905" i="13"/>
  <c r="AB987" i="13"/>
  <c r="AB2280" i="13"/>
  <c r="AB2873" i="13"/>
  <c r="AB2627" i="13"/>
  <c r="AB655" i="13"/>
  <c r="AB2417" i="13"/>
  <c r="AB2975" i="13"/>
  <c r="AB711" i="13"/>
  <c r="AB125" i="13"/>
  <c r="AB3044" i="13"/>
  <c r="AB1894" i="13"/>
  <c r="AB2010" i="13"/>
  <c r="AB3499" i="13"/>
  <c r="AB2199" i="13"/>
  <c r="AB3411" i="13"/>
  <c r="AB528" i="13"/>
  <c r="AB1691" i="13"/>
  <c r="AB1456" i="13"/>
  <c r="AB1068" i="13"/>
  <c r="AB938" i="13"/>
  <c r="AB401" i="13"/>
  <c r="AB2230" i="13"/>
  <c r="AB1022" i="13"/>
  <c r="AB2131" i="13"/>
  <c r="AB2709" i="13"/>
  <c r="AB935" i="13"/>
  <c r="AB962" i="13"/>
  <c r="AB2968" i="13"/>
  <c r="AB1375" i="13"/>
  <c r="AB2333" i="13"/>
  <c r="AB1138" i="13"/>
  <c r="AB89" i="13"/>
  <c r="AB2717" i="13"/>
  <c r="AB1734" i="13"/>
  <c r="AB2733" i="13"/>
  <c r="AB2208" i="13"/>
  <c r="AB2247" i="13"/>
  <c r="AB2378" i="13"/>
  <c r="AB3190" i="13"/>
  <c r="AB3264" i="13"/>
  <c r="AB2747" i="13"/>
  <c r="AB3274" i="13"/>
  <c r="AB1682" i="13"/>
  <c r="AB3125" i="13"/>
  <c r="AB1720" i="13"/>
  <c r="AB3497" i="13"/>
  <c r="AB1742" i="13"/>
  <c r="AB1409" i="13"/>
  <c r="AB2492" i="13"/>
  <c r="AB3118" i="13"/>
  <c r="AB1923" i="13"/>
  <c r="AB2400" i="13"/>
  <c r="AB2767" i="13"/>
  <c r="AB3307" i="13"/>
  <c r="AB333" i="13"/>
  <c r="AB3294" i="13"/>
  <c r="AB2578" i="13"/>
  <c r="AB3543" i="13"/>
  <c r="AB1634" i="13"/>
  <c r="AB158" i="13"/>
  <c r="AB786" i="13"/>
  <c r="AB673" i="13"/>
  <c r="AB1087" i="13"/>
  <c r="AB1359" i="13"/>
  <c r="AB3429" i="13"/>
  <c r="AB38" i="13"/>
  <c r="AB3329" i="13"/>
  <c r="AB1028" i="13"/>
  <c r="AB699" i="13"/>
  <c r="AB3038" i="13"/>
  <c r="AB3110" i="13"/>
  <c r="AB1814" i="13"/>
  <c r="AB768" i="13"/>
  <c r="AB1865" i="13"/>
  <c r="AB2537" i="13"/>
  <c r="AB3549" i="13"/>
  <c r="AB2154" i="13"/>
  <c r="AB3434" i="13"/>
  <c r="AB242" i="13"/>
  <c r="AB2276" i="13"/>
  <c r="AB1398" i="13"/>
  <c r="AB376" i="13"/>
  <c r="AB3436" i="13"/>
  <c r="AB450" i="13"/>
  <c r="AB3412" i="13"/>
  <c r="AB1518" i="13"/>
  <c r="AB1552" i="13"/>
  <c r="AB1473" i="13"/>
  <c r="AB420" i="13"/>
  <c r="AB1313" i="13"/>
  <c r="AB828" i="13"/>
  <c r="AB1412" i="13"/>
  <c r="AB3498" i="13"/>
  <c r="AB2340" i="13"/>
  <c r="AB385" i="13"/>
  <c r="AB2987" i="13"/>
  <c r="AB3432" i="13"/>
  <c r="AB1883" i="13"/>
  <c r="AB157" i="13"/>
  <c r="AB3091" i="13"/>
  <c r="AB1072" i="13"/>
  <c r="AB1239" i="13"/>
  <c r="AB2714" i="13"/>
  <c r="AB3469" i="13"/>
  <c r="AB1291" i="13"/>
  <c r="AB536" i="13"/>
  <c r="AB3246" i="13"/>
  <c r="AB1317" i="13"/>
  <c r="AB572" i="13"/>
  <c r="AB1106" i="13"/>
  <c r="AB2433" i="13"/>
  <c r="AB597" i="13"/>
  <c r="AB1918" i="13"/>
  <c r="AB1543" i="13"/>
  <c r="AB3084" i="13"/>
  <c r="AB985" i="13"/>
  <c r="AB238" i="13"/>
  <c r="AB138" i="13"/>
  <c r="AB3247" i="13"/>
  <c r="AB1471" i="13"/>
  <c r="AB210" i="13"/>
  <c r="AB122" i="13"/>
  <c r="AB992" i="13"/>
  <c r="AB1157" i="13"/>
  <c r="AB2705" i="13"/>
  <c r="AB117" i="13"/>
  <c r="AB1964" i="13"/>
  <c r="AB1351" i="13"/>
  <c r="AB2875" i="13"/>
  <c r="AB2526" i="13"/>
  <c r="AB392" i="13"/>
  <c r="AB2179" i="13"/>
  <c r="AB3385" i="13"/>
  <c r="AB1601" i="13"/>
  <c r="AB3490" i="13"/>
  <c r="AB2369" i="13"/>
  <c r="AB2336" i="13"/>
  <c r="AB2410" i="13"/>
  <c r="AB3017" i="13"/>
  <c r="AB1854" i="13"/>
  <c r="AB1607" i="13"/>
  <c r="AB3263" i="13"/>
  <c r="AB3404" i="13"/>
  <c r="AB682" i="13"/>
  <c r="AB2249" i="13"/>
  <c r="AB908" i="13"/>
  <c r="AB2634" i="13"/>
  <c r="AB2007" i="13"/>
  <c r="AB957" i="13"/>
  <c r="AB247" i="13"/>
  <c r="AB2242" i="13"/>
  <c r="AB2016" i="13"/>
  <c r="AB2426" i="13"/>
  <c r="AB2675" i="13"/>
  <c r="AB624" i="13"/>
  <c r="AB2194" i="13"/>
  <c r="AB284" i="13"/>
  <c r="AB2690" i="13"/>
  <c r="AB2698" i="13"/>
  <c r="AB2416" i="13"/>
  <c r="AB2602" i="13"/>
  <c r="AB3540" i="13"/>
  <c r="AB775" i="13"/>
  <c r="AB1345" i="13"/>
  <c r="AB2787" i="13"/>
  <c r="AB2481" i="13"/>
  <c r="AB1141" i="13"/>
  <c r="AB922" i="13"/>
  <c r="AB1035" i="13"/>
  <c r="AB332" i="13"/>
  <c r="AB1842" i="13"/>
  <c r="AB187" i="13"/>
  <c r="AB607" i="13"/>
  <c r="AB2319" i="13"/>
  <c r="AB2760" i="13"/>
  <c r="AB1125" i="13"/>
  <c r="AB261" i="13"/>
  <c r="AB573" i="13"/>
  <c r="AB1402" i="13"/>
  <c r="AB798" i="13"/>
  <c r="AB1290" i="13"/>
  <c r="AB1038" i="13"/>
  <c r="AB2812" i="13"/>
  <c r="AB656" i="13"/>
  <c r="AB3368" i="13"/>
  <c r="AB929" i="13"/>
  <c r="AB176" i="13"/>
  <c r="AB2130" i="13"/>
  <c r="AB341" i="13"/>
  <c r="AB408" i="13"/>
  <c r="AB1655" i="13"/>
  <c r="AB1972" i="13"/>
  <c r="AB3382" i="13"/>
  <c r="AB2965" i="13"/>
  <c r="AB2412" i="13"/>
  <c r="AB1705" i="13"/>
  <c r="AB3538" i="13"/>
  <c r="AB3552" i="13"/>
  <c r="AB267" i="13"/>
  <c r="AB2120" i="13"/>
  <c r="AB2292" i="13"/>
  <c r="AB1937" i="13"/>
  <c r="AB2149" i="13"/>
  <c r="AB2211" i="13"/>
  <c r="AB1511" i="13"/>
  <c r="AB611" i="13"/>
  <c r="AB1494" i="13"/>
  <c r="AB1916" i="13"/>
  <c r="AB347" i="13"/>
  <c r="AB1420" i="13"/>
  <c r="AB3295" i="13"/>
  <c r="AB1453" i="13"/>
  <c r="AB1606" i="13"/>
  <c r="AB374" i="13"/>
  <c r="AB1284" i="13"/>
  <c r="AB28" i="13"/>
  <c r="AB3261" i="13"/>
  <c r="AB2185" i="13"/>
  <c r="AB239" i="13"/>
  <c r="AB300" i="13"/>
  <c r="AB2484" i="13"/>
  <c r="AB3217" i="13"/>
  <c r="AB2082" i="13"/>
  <c r="AB1925" i="13"/>
  <c r="AB2824" i="13"/>
  <c r="AB1054" i="13"/>
  <c r="AB2323" i="13"/>
  <c r="AB2310" i="13"/>
  <c r="AB614" i="13"/>
  <c r="AB1706" i="13"/>
  <c r="AB2951" i="13"/>
  <c r="AB1651" i="13"/>
  <c r="AB2257" i="13"/>
  <c r="AB2755" i="13"/>
  <c r="AB925" i="13"/>
  <c r="AB2229" i="13"/>
  <c r="AB2283" i="13"/>
  <c r="AB201" i="13"/>
  <c r="AB2550" i="13"/>
  <c r="AB526" i="13"/>
  <c r="AB2572" i="13"/>
  <c r="AB877" i="13"/>
  <c r="AB1462" i="13"/>
  <c r="AB2530" i="13"/>
  <c r="AB1302" i="13"/>
  <c r="AB919" i="13"/>
  <c r="AB1433" i="13"/>
  <c r="AB1311" i="13"/>
  <c r="AB1779" i="13"/>
  <c r="AB199" i="13"/>
  <c r="AB3450" i="13"/>
  <c r="AB2025" i="13"/>
  <c r="AB2985" i="13"/>
  <c r="AB3094" i="13"/>
  <c r="AB169" i="13"/>
  <c r="AB2105" i="13"/>
  <c r="AB3112" i="13"/>
  <c r="AB1824" i="13"/>
  <c r="AB2207" i="13"/>
  <c r="AB662" i="13"/>
  <c r="AB2258" i="13"/>
  <c r="AB1966" i="13"/>
  <c r="AB2352" i="13"/>
  <c r="AB2906" i="13"/>
  <c r="AB1897" i="13"/>
  <c r="AB3485" i="13"/>
  <c r="AB2710" i="13"/>
  <c r="AB1326" i="13"/>
  <c r="AB813" i="13"/>
  <c r="AB1614" i="13"/>
  <c r="AB2940" i="13"/>
  <c r="AB2604" i="13"/>
  <c r="AB2684" i="13"/>
  <c r="AB634" i="13"/>
  <c r="AB2936" i="13"/>
  <c r="AB345" i="13"/>
  <c r="AB458" i="13"/>
  <c r="AB1060" i="13"/>
  <c r="AB461" i="13"/>
  <c r="AB905" i="13"/>
  <c r="AB1753" i="13"/>
  <c r="AB592" i="13"/>
  <c r="AB1891" i="13"/>
  <c r="AB1885" i="13"/>
  <c r="AB3128" i="13"/>
  <c r="AB602" i="13"/>
  <c r="AB2612" i="13"/>
  <c r="AB1100" i="13"/>
  <c r="AB1703" i="13"/>
  <c r="AB1219" i="13"/>
  <c r="AB1172" i="13"/>
  <c r="AB911" i="13"/>
  <c r="AB2762" i="13"/>
  <c r="AB1335" i="13"/>
  <c r="AB1913" i="13"/>
  <c r="AB1911" i="13"/>
  <c r="AB2758" i="13"/>
  <c r="AB708" i="13"/>
  <c r="AB1880" i="13"/>
  <c r="AB3003" i="13"/>
  <c r="AB715" i="13"/>
  <c r="AB549" i="13"/>
  <c r="AB1407" i="13"/>
  <c r="AB2532" i="13"/>
  <c r="AB899" i="13"/>
  <c r="AB1476" i="13"/>
  <c r="AB1899" i="13"/>
  <c r="AB1441" i="13"/>
  <c r="AB2161" i="13"/>
  <c r="AB1962" i="13"/>
  <c r="AB2233" i="13"/>
  <c r="AB1822" i="13"/>
  <c r="AB1466" i="13"/>
  <c r="AB1489" i="13"/>
  <c r="AB1289" i="13"/>
  <c r="AB2890" i="13"/>
  <c r="AB1395" i="13"/>
  <c r="AB996" i="13"/>
  <c r="AB1710" i="13"/>
  <c r="AB2722" i="13"/>
  <c r="AB825" i="13"/>
  <c r="AB727" i="13"/>
  <c r="AB3529" i="13"/>
  <c r="AB3191" i="13"/>
  <c r="AB2855" i="13"/>
  <c r="AB2605" i="13"/>
  <c r="AB1861" i="13"/>
  <c r="AB3205" i="13"/>
  <c r="AB1545" i="13"/>
  <c r="AB1042" i="13"/>
  <c r="AB60" i="13"/>
  <c r="AB340" i="13"/>
  <c r="AB805" i="13"/>
  <c r="AB1981" i="13"/>
  <c r="AB2439" i="13"/>
  <c r="AB756" i="13"/>
  <c r="AB2142" i="13"/>
  <c r="AB2497" i="13"/>
  <c r="AB1285" i="13"/>
  <c r="AB1158" i="13"/>
  <c r="AB2903" i="13"/>
  <c r="AB3517" i="13"/>
  <c r="AB2645" i="13"/>
  <c r="AB1503" i="13"/>
  <c r="AB1067" i="13"/>
  <c r="AB1785" i="13"/>
  <c r="AB3062" i="13"/>
  <c r="AB78" i="13"/>
  <c r="AB2581" i="13"/>
  <c r="AB3539" i="13"/>
  <c r="AB969" i="13"/>
  <c r="AB1449" i="13"/>
  <c r="AB1120" i="13"/>
  <c r="AB2325" i="13"/>
  <c r="AB2015" i="13"/>
  <c r="AB2833" i="13"/>
  <c r="AB2401" i="13"/>
  <c r="AB1025" i="13"/>
  <c r="AB2852" i="13"/>
  <c r="AB516" i="13"/>
  <c r="AB2181" i="13"/>
  <c r="AB398" i="13"/>
  <c r="AB3468" i="13"/>
  <c r="AB1713" i="13"/>
  <c r="AB1408" i="13"/>
  <c r="AB3258" i="13"/>
  <c r="AB3135" i="13"/>
  <c r="AB61" i="13"/>
  <c r="AB1938" i="13"/>
  <c r="AB1306" i="13"/>
  <c r="AB1947" i="13"/>
  <c r="AB404" i="13"/>
  <c r="AB2483" i="13"/>
  <c r="AB2701" i="13"/>
  <c r="AB2995" i="13"/>
  <c r="AB337" i="13"/>
  <c r="AB2065" i="13"/>
  <c r="AB2431" i="13"/>
  <c r="AB600" i="13"/>
  <c r="AB2805" i="13"/>
  <c r="AB1365" i="13"/>
  <c r="AB2827" i="13"/>
  <c r="AB478" i="13"/>
  <c r="AB1251" i="13"/>
  <c r="AB2830" i="13"/>
  <c r="AB400" i="13"/>
  <c r="AB1971" i="13"/>
  <c r="AB3082" i="13"/>
  <c r="AB1165" i="13"/>
  <c r="AB1214" i="13"/>
  <c r="AB79" i="13"/>
  <c r="AB642" i="13"/>
  <c r="AB388" i="13"/>
  <c r="AB2588" i="13"/>
  <c r="AB1410" i="13"/>
  <c r="AB370" i="13"/>
  <c r="AB3255" i="13"/>
  <c r="AB2162" i="13"/>
  <c r="AB772" i="13"/>
  <c r="AB2679" i="13"/>
  <c r="AB2275" i="13"/>
  <c r="AB2707" i="13"/>
  <c r="AB2043" i="13"/>
  <c r="AB3532" i="13"/>
  <c r="AB1041" i="13"/>
  <c r="AB2387" i="13"/>
  <c r="AB3476" i="13"/>
  <c r="AB2114" i="13"/>
  <c r="AB822" i="13"/>
  <c r="AB2784" i="13"/>
  <c r="AB1967" i="13"/>
  <c r="AB126" i="13"/>
  <c r="AB1522" i="13"/>
  <c r="AB971" i="13"/>
  <c r="AB3193" i="13"/>
  <c r="AB2035" i="13"/>
  <c r="AB3380" i="13"/>
  <c r="AB2970" i="13"/>
  <c r="AB2168" i="13"/>
  <c r="AB3389" i="13"/>
  <c r="AB1332" i="13"/>
  <c r="AB1348" i="13"/>
  <c r="AB180" i="13"/>
  <c r="AB2665" i="13"/>
  <c r="AB2028" i="13"/>
  <c r="AB1550" i="13"/>
  <c r="AB2074" i="13"/>
  <c r="AB3063" i="13"/>
  <c r="AB475" i="13"/>
  <c r="AB286" i="13"/>
  <c r="AB560" i="13"/>
  <c r="AB3113" i="13"/>
  <c r="AB3310" i="13"/>
  <c r="AB752" i="13"/>
  <c r="AB2843" i="13"/>
  <c r="AB2776" i="13"/>
  <c r="AB852" i="13"/>
  <c r="AB1879" i="13"/>
  <c r="AB1592" i="13"/>
  <c r="AB625" i="13"/>
  <c r="AB1472" i="13"/>
  <c r="AB2388" i="13"/>
  <c r="AB2912" i="13"/>
  <c r="AB2498" i="13"/>
  <c r="AB3102" i="13"/>
  <c r="AB3301" i="13"/>
  <c r="AB2427" i="13"/>
  <c r="AB1608" i="13"/>
  <c r="AB2853" i="13"/>
  <c r="AB2680" i="13"/>
  <c r="AB1761" i="13"/>
  <c r="AB338" i="13"/>
  <c r="AB1871" i="13"/>
  <c r="AB101" i="13"/>
  <c r="AB762" i="13"/>
  <c r="AB2494" i="13"/>
  <c r="AB2959" i="13"/>
  <c r="AB3472" i="13"/>
  <c r="AB191" i="13"/>
  <c r="AB291" i="13"/>
  <c r="AB1346" i="13"/>
  <c r="AB799" i="13"/>
  <c r="AB510" i="13"/>
  <c r="AB535" i="13"/>
  <c r="AB582" i="13"/>
  <c r="AB2712" i="13"/>
  <c r="AB96" i="13"/>
  <c r="AB320" i="13"/>
  <c r="AB36" i="13"/>
  <c r="AB2666" i="13"/>
  <c r="AB2143" i="13"/>
  <c r="AB1781" i="13"/>
  <c r="AB272" i="13"/>
  <c r="AB27" i="13"/>
  <c r="AB658" i="13"/>
  <c r="AB464" i="13"/>
  <c r="AB1915" i="13"/>
  <c r="AB3455" i="13"/>
  <c r="AB2083" i="13"/>
  <c r="AB2670" i="13"/>
  <c r="AB3520" i="13"/>
  <c r="AB2834" i="13"/>
  <c r="AB389" i="13"/>
  <c r="AB2613" i="13"/>
  <c r="AB2966" i="13"/>
  <c r="AB3427" i="13"/>
  <c r="AB2435" i="13"/>
  <c r="AB580" i="13"/>
  <c r="AB2343" i="13"/>
  <c r="AB2983" i="13"/>
  <c r="AB1492" i="13"/>
  <c r="AB1013" i="13"/>
  <c r="AB3339" i="13"/>
  <c r="AB307" i="13"/>
  <c r="AB1225" i="13"/>
  <c r="AB1163" i="13"/>
  <c r="AB449" i="13"/>
  <c r="AB1115" i="13"/>
  <c r="AB2070" i="13"/>
  <c r="AB1672" i="13"/>
  <c r="AB92" i="13"/>
  <c r="AB747" i="13"/>
  <c r="AB834" i="13"/>
  <c r="AB1337" i="13"/>
  <c r="AB40" i="13"/>
  <c r="AB1437" i="13"/>
  <c r="AB532" i="13"/>
  <c r="AB367" i="13"/>
  <c r="AB966" i="13"/>
  <c r="AB1250" i="13"/>
  <c r="AB3323" i="13"/>
  <c r="AB792" i="13"/>
  <c r="AB2459" i="13"/>
  <c r="AB3022" i="13"/>
  <c r="AB3189" i="13"/>
  <c r="AB1369" i="13"/>
  <c r="AB2322" i="13"/>
  <c r="AB3273" i="13"/>
  <c r="AB244" i="13"/>
  <c r="AB383" i="13"/>
  <c r="AB1767" i="13"/>
  <c r="AB586" i="13"/>
  <c r="AB2159" i="13"/>
  <c r="AB245" i="13"/>
  <c r="AB2914" i="13"/>
  <c r="AB1377" i="13"/>
  <c r="AB403" i="13"/>
  <c r="AB1123" i="13"/>
  <c r="AB1539" i="13"/>
  <c r="AB1940" i="13"/>
  <c r="AB1234" i="13"/>
  <c r="AB983" i="13"/>
  <c r="AB3445" i="13"/>
  <c r="AB2121" i="13"/>
  <c r="AB1131" i="13"/>
  <c r="AB3033" i="13"/>
  <c r="AB2963" i="13"/>
  <c r="AB2002" i="13"/>
  <c r="AB3470" i="13"/>
  <c r="AB1396" i="13"/>
  <c r="AB2434" i="13"/>
  <c r="AB3398" i="13"/>
  <c r="AB2791" i="13"/>
  <c r="AB2127" i="13"/>
  <c r="AB1222" i="13"/>
  <c r="AB1044" i="13"/>
  <c r="AB2807" i="13"/>
  <c r="AB1525" i="13"/>
  <c r="AB2880" i="13"/>
  <c r="AB2600" i="13"/>
  <c r="AB2728" i="13"/>
  <c r="AB1066" i="13"/>
  <c r="AB21" i="13"/>
  <c r="AB2899" i="13"/>
  <c r="AB3400" i="13"/>
  <c r="AB1179" i="13"/>
  <c r="AB149" i="13"/>
  <c r="AB2318" i="13"/>
  <c r="AB3064" i="13"/>
  <c r="AB1585" i="13"/>
  <c r="AB783" i="13"/>
  <c r="AB1065" i="13"/>
  <c r="AB1741" i="13"/>
  <c r="AB2312" i="13"/>
  <c r="AB352" i="13"/>
  <c r="AB2768" i="13"/>
  <c r="AB489" i="13"/>
  <c r="AB2813" i="13"/>
  <c r="AB2691" i="13"/>
  <c r="AB1697" i="13"/>
  <c r="AB140" i="13"/>
  <c r="AB1296" i="13"/>
  <c r="AB405" i="13"/>
  <c r="AB605" i="13"/>
  <c r="AB2633" i="13"/>
  <c r="AB2548" i="13"/>
  <c r="AB2815" i="13"/>
  <c r="AB2929" i="13"/>
  <c r="AB358" i="13"/>
  <c r="AB2365" i="13"/>
  <c r="AB2324" i="13"/>
  <c r="AB2413" i="13"/>
  <c r="AB3001" i="13"/>
  <c r="AB2399" i="13"/>
  <c r="AB3531" i="13"/>
  <c r="AB2023" i="13"/>
  <c r="AB547" i="13"/>
  <c r="AB839" i="13"/>
  <c r="AB2738" i="13"/>
  <c r="AB631" i="13"/>
  <c r="AB2651" i="13"/>
  <c r="AB3266" i="13"/>
  <c r="AB1428" i="13"/>
  <c r="AB2376" i="13"/>
  <c r="AB2260" i="13"/>
  <c r="AB2354" i="13"/>
  <c r="AB886" i="13"/>
  <c r="AB687" i="13"/>
  <c r="AB2540" i="13"/>
  <c r="AB1094" i="13"/>
  <c r="AB2314" i="13"/>
  <c r="AB1090" i="13"/>
  <c r="AB3484" i="13"/>
  <c r="AB2482" i="13"/>
  <c r="AB1863" i="13"/>
  <c r="AB246" i="13"/>
  <c r="AB1176" i="13"/>
  <c r="AB2593" i="13"/>
  <c r="AB146" i="13"/>
  <c r="AB2864" i="13"/>
  <c r="AB3000" i="13"/>
  <c r="AB1997" i="13"/>
  <c r="AB2461" i="13"/>
  <c r="AB1642" i="13"/>
  <c r="AB537" i="13"/>
  <c r="AB507" i="13"/>
  <c r="AB2225" i="13"/>
  <c r="AB2571" i="13"/>
  <c r="AB2901" i="13"/>
  <c r="AB1833" i="13"/>
  <c r="AB3076" i="13"/>
  <c r="AB1746" i="13"/>
  <c r="AB2822" i="13"/>
  <c r="AB2144" i="13"/>
  <c r="AB100" i="13"/>
  <c r="AB2370" i="13"/>
  <c r="AB2014" i="13"/>
  <c r="AB1055" i="13"/>
  <c r="AB1517" i="13"/>
  <c r="AB2910" i="13"/>
  <c r="AB2432" i="13"/>
  <c r="AB871" i="13"/>
  <c r="AB480" i="13"/>
  <c r="AB1015" i="13"/>
  <c r="AB412" i="13"/>
  <c r="AB1683" i="13"/>
  <c r="AB2770" i="13"/>
  <c r="AB1142" i="13"/>
  <c r="AB1862" i="13"/>
  <c r="AB961" i="13"/>
  <c r="AB3232" i="13"/>
  <c r="AB1657" i="13"/>
  <c r="AB295" i="13"/>
  <c r="AB1318" i="13"/>
  <c r="AB2624" i="13"/>
  <c r="AB1077" i="13"/>
  <c r="AB2302" i="13"/>
  <c r="AB2262" i="13"/>
  <c r="AB114" i="13"/>
  <c r="AB3077" i="13"/>
  <c r="AB1725" i="13"/>
  <c r="AB955" i="13"/>
  <c r="AB2104" i="13"/>
  <c r="AB2801" i="13"/>
  <c r="AB45" i="13"/>
  <c r="AB3223" i="13"/>
  <c r="AB3067" i="13"/>
  <c r="AB1644" i="13"/>
  <c r="AB1026" i="13"/>
  <c r="AB2236" i="13"/>
  <c r="AB1184" i="13"/>
  <c r="AB2576" i="13"/>
  <c r="AB639" i="13"/>
  <c r="AB1308" i="13"/>
  <c r="AB660" i="13"/>
  <c r="AB1878" i="13"/>
  <c r="AB1333" i="13"/>
  <c r="AB2335" i="13"/>
  <c r="AB3361" i="13"/>
  <c r="AB67" i="13"/>
  <c r="AB2589" i="13"/>
  <c r="AB1535" i="13"/>
  <c r="AB1303" i="13"/>
  <c r="AB3344" i="13"/>
  <c r="AB301" i="13"/>
  <c r="AB2573" i="13"/>
  <c r="AB1805" i="13"/>
  <c r="AB1752" i="13"/>
  <c r="AB2442" i="13"/>
  <c r="AB52" i="13"/>
  <c r="AB2808" i="13"/>
  <c r="AB1376" i="13"/>
  <c r="AB496" i="13"/>
  <c r="AB1530" i="13"/>
  <c r="AB1347" i="13"/>
  <c r="AB2444" i="13"/>
  <c r="AB2468" i="13"/>
  <c r="AB1987" i="13"/>
  <c r="AB2763" i="13"/>
  <c r="AB3122" i="13"/>
  <c r="AB2876" i="13"/>
  <c r="AB287" i="13"/>
  <c r="AB2068" i="13"/>
  <c r="AB2723" i="13"/>
  <c r="AB2826" i="13"/>
  <c r="AB2842" i="13"/>
  <c r="AB1371" i="13"/>
  <c r="AB1245" i="13"/>
  <c r="AB759" i="13"/>
  <c r="AB2958" i="13"/>
  <c r="AB645" i="13"/>
  <c r="AB554" i="13"/>
  <c r="AB200" i="13"/>
  <c r="AB840" i="13"/>
  <c r="AB3120" i="13"/>
  <c r="AB251" i="13"/>
  <c r="AB3142" i="13"/>
  <c r="AB77" i="13"/>
  <c r="AB3037" i="13"/>
  <c r="AB65" i="13"/>
  <c r="AB1948" i="13"/>
  <c r="AB1980" i="13"/>
  <c r="AB3473" i="13"/>
  <c r="AB2486" i="13"/>
  <c r="AB1232" i="13"/>
  <c r="AB1265" i="13"/>
  <c r="AB3226" i="13"/>
  <c r="AB751" i="13"/>
  <c r="AB3088" i="13"/>
  <c r="AB2009" i="13"/>
  <c r="AB1950" i="13"/>
  <c r="AB550" i="13"/>
  <c r="AB1325" i="13"/>
  <c r="AB431" i="13"/>
  <c r="AB2982" i="13"/>
  <c r="AB1382" i="13"/>
  <c r="AB3466" i="13"/>
  <c r="AB2553" i="13"/>
  <c r="AB801" i="13"/>
  <c r="AB2955" i="13"/>
  <c r="AB2054" i="13"/>
  <c r="AB1418" i="13"/>
  <c r="AB309" i="13"/>
  <c r="AB1007" i="13"/>
  <c r="AB26" i="13"/>
  <c r="AB3362" i="13"/>
  <c r="AB2102" i="13"/>
  <c r="AB2949" i="13"/>
  <c r="AB3463" i="13"/>
  <c r="AB1404" i="13"/>
  <c r="AB3309" i="13"/>
  <c r="AB102" i="13"/>
  <c r="AB3500" i="13"/>
  <c r="AB2424" i="13"/>
  <c r="AB162" i="13"/>
  <c r="AB2570" i="13"/>
  <c r="AB2920" i="13"/>
  <c r="AB867" i="13"/>
  <c r="AB2972" i="13"/>
  <c r="AB1976" i="13"/>
  <c r="AB1417" i="13"/>
  <c r="AB1362" i="13"/>
  <c r="AB1809" i="13"/>
  <c r="AB707" i="13"/>
  <c r="AB807" i="13"/>
  <c r="AB857" i="13"/>
  <c r="AB1776" i="13"/>
  <c r="AB2033" i="13"/>
  <c r="AB1438" i="13"/>
  <c r="AB1835" i="13"/>
  <c r="AB1639" i="13"/>
  <c r="AB2579" i="13"/>
  <c r="AB3451" i="13"/>
  <c r="AB3347" i="13"/>
  <c r="AB1136" i="13"/>
  <c r="AB1701" i="13"/>
  <c r="AB501" i="13"/>
  <c r="AB1600" i="13"/>
  <c r="AB2042" i="13"/>
  <c r="AB2277" i="13"/>
  <c r="AB2829" i="13"/>
  <c r="AB838" i="13"/>
  <c r="AB2789" i="13"/>
  <c r="AB1401" i="13"/>
  <c r="AB3405" i="13"/>
  <c r="AB3480" i="13"/>
  <c r="AB153" i="13"/>
  <c r="AB2794" i="13"/>
  <c r="AB1212" i="13"/>
  <c r="AB3314" i="13"/>
  <c r="AB468" i="13"/>
  <c r="AB2081" i="13"/>
  <c r="AB2692" i="13"/>
  <c r="AB878" i="13"/>
  <c r="AB1679" i="13"/>
  <c r="AB846" i="13"/>
  <c r="AB115" i="13"/>
  <c r="AB339" i="13"/>
  <c r="AB2753" i="13"/>
  <c r="AB1602" i="13"/>
  <c r="AB1187" i="13"/>
  <c r="AB2603" i="13"/>
  <c r="AB173" i="13"/>
  <c r="AB1461" i="13"/>
  <c r="AB725" i="13"/>
  <c r="AB378" i="13"/>
  <c r="AB1247" i="13"/>
  <c r="AB2469" i="13"/>
  <c r="AB106" i="13"/>
  <c r="AB172" i="13"/>
  <c r="AB512" i="13"/>
  <c r="AB2850" i="13"/>
  <c r="AB2422" i="13"/>
  <c r="AB3143" i="13"/>
  <c r="AB1009" i="13"/>
  <c r="AB1712" i="13"/>
  <c r="AB894" i="13"/>
  <c r="AB167" i="13"/>
  <c r="AB1782" i="13"/>
  <c r="AB2248" i="13"/>
  <c r="AB3106" i="13"/>
  <c r="AB753" i="13"/>
  <c r="AB2311" i="13"/>
  <c r="AB57" i="13"/>
  <c r="AB2103" i="13"/>
  <c r="AB3509" i="13"/>
  <c r="AB2450" i="13"/>
  <c r="AB1174" i="13"/>
  <c r="AB1043" i="13"/>
  <c r="AB2660" i="13"/>
  <c r="AB3011" i="13"/>
  <c r="AB1792" i="13"/>
  <c r="AB2060" i="13"/>
  <c r="AB2351" i="13"/>
  <c r="AB1191" i="13"/>
  <c r="AB233" i="13"/>
  <c r="AB3282" i="13"/>
  <c r="AB2998" i="13"/>
  <c r="AB197" i="13"/>
  <c r="AB3169" i="13"/>
  <c r="AB220" i="13"/>
  <c r="AB3401" i="13"/>
  <c r="AB1118" i="13"/>
  <c r="AB166" i="13"/>
  <c r="AB280" i="13"/>
  <c r="AB386" i="13"/>
  <c r="AB1872" i="13"/>
  <c r="AB170" i="13"/>
  <c r="AB186" i="13"/>
  <c r="AB1529" i="13"/>
  <c r="AB2909" i="13"/>
  <c r="AB3145" i="13"/>
  <c r="AB2933" i="13"/>
  <c r="AB1484" i="13"/>
  <c r="AB1689" i="13"/>
  <c r="AB541" i="13"/>
  <c r="AB2515" i="13"/>
  <c r="AB490" i="13"/>
  <c r="AB2797" i="13"/>
  <c r="AB2058" i="13"/>
  <c r="AB2474" i="13"/>
  <c r="AB615" i="13"/>
  <c r="AB848" i="13"/>
  <c r="AB2631" i="13"/>
  <c r="AB502" i="13"/>
  <c r="AB1515" i="13"/>
  <c r="AB3127" i="13"/>
  <c r="AB622" i="13"/>
  <c r="AB2552" i="13"/>
  <c r="AB355" i="13"/>
  <c r="AB3092" i="13"/>
  <c r="AB594" i="13"/>
  <c r="AB3023" i="13"/>
  <c r="AB1977" i="13"/>
  <c r="AB1231" i="13"/>
  <c r="AB136" i="13"/>
  <c r="AB3479" i="13"/>
  <c r="AB3137" i="13"/>
  <c r="AB3446" i="13"/>
  <c r="AB2307" i="13"/>
  <c r="AB234" i="13"/>
  <c r="AB1032" i="13"/>
  <c r="AB2862" i="13"/>
  <c r="AB2398" i="13"/>
  <c r="AB1150" i="13"/>
  <c r="AB1507" i="13"/>
  <c r="AB2883" i="13"/>
  <c r="AB3231" i="13"/>
  <c r="AB525" i="13"/>
  <c r="AB139" i="13"/>
  <c r="AB2190" i="13"/>
  <c r="AB2544" i="13"/>
  <c r="AB2315" i="13"/>
  <c r="AB1799" i="13"/>
  <c r="AB722" i="13"/>
  <c r="AB228" i="13"/>
  <c r="AB188" i="13"/>
  <c r="AB3215" i="13"/>
  <c r="AB2534" i="13"/>
  <c r="AB2446" i="13"/>
  <c r="AB1205" i="13"/>
  <c r="AB1778" i="13"/>
  <c r="AB745" i="13"/>
  <c r="AB1745" i="13"/>
  <c r="AB1848" i="13"/>
  <c r="AB1760" i="13"/>
  <c r="AB2263" i="13"/>
  <c r="AB3211" i="13"/>
  <c r="AB2741" i="13"/>
  <c r="AB3117" i="13"/>
  <c r="AB46" i="13"/>
  <c r="AB1611" i="13"/>
  <c r="AB314" i="13"/>
  <c r="AB1210" i="13"/>
  <c r="AB913" i="13"/>
  <c r="AB2106" i="13"/>
  <c r="AB1676" i="13"/>
  <c r="AB2031" i="13"/>
  <c r="AB2524" i="13"/>
  <c r="AB348" i="13"/>
  <c r="AB2802" i="13"/>
  <c r="AB2961" i="13"/>
  <c r="AB2021" i="13"/>
  <c r="AB442" i="13"/>
  <c r="AB2148" i="13"/>
  <c r="AB436" i="13"/>
  <c r="AB3521" i="13"/>
  <c r="AB906" i="13"/>
  <c r="AB310" i="13"/>
  <c r="AB1310" i="13"/>
  <c r="AB1921" i="13"/>
  <c r="AB1584" i="13"/>
  <c r="AB1560" i="13"/>
  <c r="AB900" i="13"/>
  <c r="AB3208" i="13"/>
  <c r="AB2973" i="13"/>
  <c r="AB1127" i="13"/>
  <c r="AB2713" i="13"/>
  <c r="AB2656" i="13"/>
  <c r="AB364" i="13"/>
  <c r="AB3218" i="13"/>
  <c r="AB2566" i="13"/>
  <c r="AB659" i="13"/>
  <c r="AB598" i="13"/>
  <c r="AB3508" i="13"/>
  <c r="AB205" i="13"/>
  <c r="AB518" i="13"/>
  <c r="AB1695" i="13"/>
  <c r="AB513" i="13"/>
  <c r="AB746" i="13"/>
  <c r="AB1110" i="13"/>
  <c r="AB588" i="13"/>
  <c r="AB1635" i="13"/>
  <c r="AB693" i="13"/>
  <c r="AB1336" i="13"/>
  <c r="AB2140" i="13"/>
  <c r="AB1698" i="13"/>
  <c r="AB1427" i="13"/>
  <c r="AB1763" i="13"/>
  <c r="AB1853" i="13"/>
  <c r="AB1237" i="13"/>
  <c r="AB1813" i="13"/>
  <c r="AB1483" i="13"/>
  <c r="AB1411" i="13"/>
  <c r="AB1076" i="13"/>
  <c r="AB644" i="13"/>
  <c r="AB2720" i="13"/>
  <c r="AB1145" i="13"/>
  <c r="AB3206" i="13"/>
  <c r="AB544" i="13"/>
  <c r="AB3397" i="13"/>
  <c r="AB1008" i="13"/>
  <c r="AB1859" i="13"/>
  <c r="AB2506" i="13"/>
  <c r="AB1397" i="13"/>
  <c r="AB1509" i="13"/>
  <c r="AB1877" i="13"/>
  <c r="AB1012" i="13"/>
  <c r="AB3341" i="13"/>
  <c r="AB25" i="13"/>
  <c r="AB1352" i="13"/>
  <c r="AB845" i="13"/>
  <c r="AB2881" i="13"/>
  <c r="AB595" i="13"/>
  <c r="AB1080" i="13"/>
  <c r="AB3308" i="13"/>
  <c r="AB2164" i="13"/>
  <c r="AB576" i="13"/>
  <c r="AB2586" i="13"/>
  <c r="AB1450" i="13"/>
  <c r="AB3100" i="13"/>
  <c r="AB3408" i="13"/>
  <c r="AB3343" i="13"/>
  <c r="AB1766" i="13"/>
  <c r="AB2001" i="13"/>
  <c r="AB2547" i="13"/>
  <c r="AB1135" i="13"/>
  <c r="AB677" i="13"/>
  <c r="AB3491" i="13"/>
  <c r="AB3026" i="13"/>
  <c r="AB2308" i="13"/>
  <c r="AB357" i="13"/>
  <c r="AB1378" i="13"/>
  <c r="AB1724" i="13"/>
  <c r="AB3298" i="13"/>
  <c r="AB1789" i="13"/>
  <c r="AB254" i="13"/>
  <c r="AB2286" i="13"/>
  <c r="AB2882" i="13"/>
  <c r="AB2109" i="13"/>
  <c r="AB2166" i="13"/>
  <c r="AB466" i="13"/>
  <c r="AB1181" i="13"/>
  <c r="AB1573" i="13"/>
  <c r="AB2440" i="13"/>
  <c r="AB1178" i="13"/>
  <c r="AB2496" i="13"/>
  <c r="AB402" i="13"/>
  <c r="AB978" i="13"/>
  <c r="AB3008" i="13"/>
  <c r="AB1254" i="13"/>
  <c r="AB3452" i="13"/>
  <c r="AB1112" i="13"/>
  <c r="AB2678" i="13"/>
  <c r="AB1910" i="13"/>
  <c r="AB1562" i="13"/>
  <c r="AB214" i="13"/>
  <c r="AB2061" i="13"/>
  <c r="AB3416" i="13"/>
  <c r="AB2796" i="13"/>
  <c r="AB179" i="13"/>
  <c r="AB2132" i="13"/>
  <c r="AB24" i="13"/>
  <c r="AB3053" i="13"/>
  <c r="AB1152" i="13"/>
  <c r="AB133" i="13"/>
  <c r="AB3242" i="13"/>
  <c r="AB1005" i="13"/>
  <c r="AB154" i="13"/>
  <c r="AB2192" i="13"/>
  <c r="AB2264" i="13"/>
  <c r="AB553" i="13"/>
  <c r="AB1278" i="13"/>
  <c r="AB326" i="13"/>
  <c r="AB315" i="13"/>
  <c r="AB2223" i="13"/>
  <c r="AB1839" i="13"/>
  <c r="AB3365" i="13"/>
  <c r="AB2117" i="13"/>
  <c r="AB2848" i="13"/>
  <c r="AB3325" i="13"/>
  <c r="AB453" i="13"/>
  <c r="AB691" i="13"/>
  <c r="AB3487" i="13"/>
  <c r="AB3453" i="13"/>
  <c r="AB2150" i="13"/>
  <c r="AB976" i="13"/>
  <c r="AB3443" i="13"/>
  <c r="AB3174" i="13"/>
  <c r="AB1795" i="13"/>
  <c r="AB2858" i="13"/>
  <c r="AB3331" i="13"/>
  <c r="AB579" i="13"/>
  <c r="AB124" i="13"/>
  <c r="AB22" i="13"/>
  <c r="AB3378" i="13"/>
  <c r="AB184" i="13"/>
  <c r="AB2923" i="13"/>
  <c r="AB2893" i="13"/>
  <c r="AB2838" i="13"/>
  <c r="AB1269" i="13"/>
  <c r="AB964" i="13"/>
  <c r="AB2803" i="13"/>
  <c r="AB661" i="13"/>
  <c r="AB66" i="13"/>
  <c r="AB1630" i="13"/>
  <c r="AB2856" i="13"/>
  <c r="AB1020" i="13"/>
  <c r="AB1849" i="13"/>
  <c r="AB243" i="13"/>
  <c r="AB317" i="13"/>
  <c r="AB1544" i="13"/>
  <c r="AB2562" i="13"/>
  <c r="AB2681" i="13"/>
  <c r="AB1722" i="13"/>
  <c r="AB1354" i="13"/>
  <c r="AB3025" i="13"/>
  <c r="AB3545" i="13"/>
  <c r="AB2420" i="13"/>
  <c r="AB1393" i="13"/>
  <c r="AB2771" i="13"/>
  <c r="AB1643" i="13"/>
  <c r="AB2630" i="13"/>
  <c r="AB1538" i="13"/>
  <c r="AB1900" i="13"/>
  <c r="AB1414" i="13"/>
  <c r="AB1668" i="13"/>
  <c r="AB1481" i="13"/>
  <c r="AB584" i="13"/>
  <c r="AB893" i="13"/>
  <c r="AB1589" i="13"/>
  <c r="AB585" i="13"/>
  <c r="AB2087" i="13"/>
  <c r="AB681" i="13"/>
  <c r="AB306" i="13"/>
  <c r="AB1307" i="13"/>
  <c r="AB1999" i="13"/>
  <c r="AB647" i="13"/>
  <c r="AB854" i="13"/>
  <c r="AB904" i="13"/>
  <c r="AB1154" i="13"/>
  <c r="AB3002" i="13"/>
  <c r="AB2321" i="13"/>
  <c r="AB734" i="13"/>
  <c r="AB1588" i="13"/>
  <c r="AB2349" i="13"/>
  <c r="AB1806" i="13"/>
  <c r="AB666" i="13"/>
  <c r="AB3440" i="13"/>
  <c r="AB2303" i="13"/>
  <c r="AB1928" i="13"/>
  <c r="AB1366" i="13"/>
  <c r="AB1758" i="13"/>
  <c r="AB164" i="13"/>
  <c r="AB1037" i="13"/>
  <c r="AB503" i="13"/>
  <c r="AB130" i="13"/>
  <c r="AB1356" i="13"/>
  <c r="AB1790" i="13"/>
  <c r="AB263" i="13"/>
  <c r="AB2637" i="13"/>
  <c r="AB289" i="13"/>
  <c r="AB2467" i="13"/>
  <c r="AB3155" i="13"/>
  <c r="AB2606" i="13"/>
  <c r="AB1129" i="13"/>
  <c r="AB816" i="13"/>
  <c r="AB1830" i="13"/>
  <c r="AB1363" i="13"/>
  <c r="AB2716" i="13"/>
  <c r="AB3229" i="13"/>
  <c r="AB1586" i="13"/>
  <c r="AB933" i="13"/>
  <c r="AB1922" i="13"/>
  <c r="AB1817" i="13"/>
  <c r="AB1031" i="13"/>
  <c r="AB1890" i="13"/>
  <c r="AB880" i="13"/>
  <c r="AB212" i="13"/>
  <c r="AB1175" i="13"/>
  <c r="AB963" i="13"/>
  <c r="AB827" i="13"/>
  <c r="AB990" i="13"/>
  <c r="AB939" i="13"/>
  <c r="AB3043" i="13"/>
  <c r="AB3066" i="13"/>
  <c r="AB999" i="13"/>
  <c r="AB2607" i="13"/>
  <c r="AB2051" i="13"/>
  <c r="AB713" i="13"/>
  <c r="AB1394" i="13"/>
  <c r="AB463" i="13"/>
  <c r="AB47" i="13"/>
  <c r="AB2471" i="13"/>
  <c r="AB1071" i="13"/>
  <c r="AB189" i="13"/>
  <c r="AB2386" i="13"/>
  <c r="AB2531" i="13"/>
  <c r="AB121" i="13"/>
  <c r="AB937" i="13"/>
  <c r="AB841" i="13"/>
  <c r="AB44" i="13"/>
  <c r="AB3034" i="13"/>
  <c r="AB2653" i="13"/>
  <c r="AB73" i="13"/>
  <c r="AB368" i="13"/>
  <c r="AB604" i="13"/>
  <c r="AB325" i="13"/>
  <c r="AB749" i="13"/>
  <c r="AB3250" i="13"/>
  <c r="AB1274" i="13"/>
  <c r="AB3364" i="13"/>
  <c r="AB2244" i="13"/>
  <c r="AB1102" i="13"/>
  <c r="AB1604" i="13"/>
  <c r="AB2967" i="13"/>
  <c r="AB2195" i="13"/>
  <c r="AB952" i="13"/>
  <c r="AB3132" i="13"/>
  <c r="AB2428" i="13"/>
  <c r="AB731" i="13"/>
  <c r="AB2049" i="13"/>
  <c r="AB2939" i="13"/>
  <c r="AB3163" i="13"/>
  <c r="AB1368" i="13"/>
  <c r="AB934" i="13"/>
  <c r="AB2460" i="13"/>
  <c r="AB1400" i="13"/>
  <c r="AB1384" i="13"/>
  <c r="AB271" i="13"/>
  <c r="AB313" i="13"/>
  <c r="AB2811" i="13"/>
  <c r="AB182" i="13"/>
  <c r="AB797" i="13"/>
  <c r="AB3079" i="13"/>
  <c r="AB2297" i="13"/>
  <c r="AB881" i="13"/>
  <c r="AB2362" i="13"/>
  <c r="AB2119" i="13"/>
  <c r="AB457" i="13"/>
  <c r="AB551" i="13"/>
  <c r="AB3134" i="13"/>
  <c r="AB1744" i="13"/>
  <c r="AB2252" i="13"/>
  <c r="AB64" i="13"/>
  <c r="AB2868" i="13"/>
  <c r="AB1851" i="13"/>
  <c r="AB1498" i="13"/>
  <c r="AB1203" i="13"/>
  <c r="AB2261" i="13"/>
  <c r="AB1874" i="13"/>
  <c r="AB108" i="13"/>
  <c r="AB98" i="13"/>
  <c r="AB2382" i="13"/>
  <c r="AB1846" i="13"/>
  <c r="AB1086" i="13"/>
  <c r="AB3182" i="13"/>
  <c r="AB1566" i="13"/>
  <c r="AB2032" i="13"/>
  <c r="AB2555" i="13"/>
  <c r="AB2487" i="13"/>
  <c r="AB2724" i="13"/>
  <c r="AB1969" i="13"/>
  <c r="AB646" i="13"/>
  <c r="AB3281" i="13"/>
  <c r="AB2180" i="13"/>
  <c r="AB970" i="13"/>
  <c r="AB1762" i="13"/>
  <c r="AB2200" i="13"/>
  <c r="AB1373" i="13"/>
  <c r="AB530" i="13"/>
  <c r="AB3437" i="13"/>
  <c r="AB1989" i="13"/>
  <c r="AB2994" i="13"/>
  <c r="AB2126" i="13"/>
  <c r="AB2748" i="13"/>
  <c r="AB654" i="13"/>
  <c r="AB1640" i="13"/>
  <c r="AB1914" i="13"/>
  <c r="AB2437" i="13"/>
  <c r="AB2676" i="13"/>
  <c r="AB2346" i="13"/>
  <c r="AB2546" i="13"/>
  <c r="AB1340" i="13"/>
  <c r="AB515" i="13"/>
  <c r="AB3204" i="13"/>
  <c r="AB566" i="13"/>
  <c r="AB1314" i="13"/>
  <c r="AB1888" i="13"/>
  <c r="AB1199" i="13"/>
  <c r="AB1220" i="13"/>
  <c r="AB958" i="13"/>
  <c r="AB1786" i="13"/>
  <c r="AB2213" i="13"/>
  <c r="AB3108" i="13"/>
  <c r="AB1887" i="13"/>
  <c r="AB2598" i="13"/>
  <c r="AB3386" i="13"/>
  <c r="AB1621" i="13"/>
  <c r="AB3548" i="13"/>
  <c r="AB380" i="13"/>
  <c r="AB1204" i="13"/>
  <c r="AB531" i="13"/>
  <c r="AB292" i="13"/>
  <c r="AB1416" i="13"/>
  <c r="AB3444" i="13"/>
  <c r="AB1447" i="13"/>
  <c r="AB342" i="13"/>
  <c r="AB1808" i="13"/>
  <c r="AB3524" i="13"/>
  <c r="AB3228" i="13"/>
  <c r="AB1153" i="13"/>
  <c r="AB3065" i="13"/>
  <c r="AB1469" i="13"/>
  <c r="AB2298" i="13"/>
  <c r="AB1739" i="13"/>
  <c r="AB2937" i="13"/>
  <c r="AB2518" i="13"/>
  <c r="AB2395" i="13"/>
  <c r="AB3536" i="13"/>
  <c r="AB3068" i="13"/>
  <c r="AB3056" i="13"/>
  <c r="AB145" i="13"/>
  <c r="AB95" i="13"/>
  <c r="AB3078" i="13"/>
  <c r="AB1985" i="13"/>
  <c r="AB175" i="13"/>
  <c r="AB1064" i="13"/>
  <c r="AB1500" i="13"/>
  <c r="AB2623" i="13"/>
  <c r="AB3201" i="13"/>
  <c r="AB3124" i="13"/>
  <c r="AB1474" i="13"/>
  <c r="AB688" i="13"/>
  <c r="AB3316" i="13"/>
  <c r="AB2575" i="13"/>
  <c r="AB951" i="13"/>
  <c r="AB795" i="13"/>
  <c r="AB1109" i="13"/>
  <c r="AB3024" i="13"/>
  <c r="AB53" i="13"/>
  <c r="AB689" i="13"/>
  <c r="AB2857" i="13"/>
  <c r="AB3006" i="13"/>
  <c r="AB589" i="13"/>
  <c r="AB2167" i="13"/>
  <c r="AB874" i="13"/>
  <c r="AB3431" i="13"/>
  <c r="AB1216" i="13"/>
  <c r="AB87" i="13"/>
  <c r="AB1444" i="13"/>
  <c r="AB1764" i="13"/>
  <c r="AB3161" i="13"/>
  <c r="AB2189" i="13"/>
  <c r="AB1838" i="13"/>
  <c r="AB2871" i="13"/>
  <c r="AB738" i="13"/>
  <c r="AB1908" i="13"/>
  <c r="AB3200" i="13"/>
  <c r="AB359" i="13"/>
  <c r="AB2869" i="13"/>
  <c r="AB717" i="13"/>
  <c r="AB956" i="13"/>
  <c r="AB1053" i="13"/>
  <c r="AB3367" i="13"/>
  <c r="AB3041" i="13"/>
  <c r="AB1132" i="13"/>
  <c r="AB1391" i="13"/>
  <c r="AB1716" i="13"/>
  <c r="AB1448" i="13"/>
  <c r="AB2991" i="13"/>
  <c r="AB2196" i="13"/>
  <c r="AB3081" i="13"/>
  <c r="AB561" i="13"/>
  <c r="AB1235" i="13"/>
  <c r="AB3165" i="13"/>
  <c r="AB3179" i="13"/>
  <c r="AB3021" i="13"/>
  <c r="AB3300" i="13"/>
  <c r="AB637" i="13"/>
  <c r="AB2169" i="13"/>
  <c r="AB41" i="13"/>
  <c r="AB1295" i="13"/>
  <c r="AB3321" i="13"/>
  <c r="AB2974" i="13"/>
  <c r="AB1826" i="13"/>
  <c r="AB107" i="13"/>
  <c r="AB2992" i="13"/>
  <c r="AB2389" i="13"/>
  <c r="AB668" i="13"/>
  <c r="AB2628" i="13"/>
  <c r="AB2407" i="13"/>
  <c r="AB1735" i="13"/>
  <c r="AB2560" i="13"/>
  <c r="AB2094" i="13"/>
  <c r="AB3209" i="13"/>
  <c r="AB517" i="13"/>
  <c r="AB1554" i="13"/>
  <c r="AB917" i="13"/>
  <c r="AB2078" i="13"/>
  <c r="AB2017" i="13"/>
  <c r="AB375" i="13"/>
  <c r="AB1688" i="13"/>
  <c r="AB3530" i="13"/>
  <c r="AB55" i="13"/>
  <c r="AB545" i="13"/>
  <c r="AB3072" i="13"/>
  <c r="AB2964" i="13"/>
  <c r="AB482" i="13"/>
  <c r="AB702" i="13"/>
  <c r="AB1633" i="13"/>
  <c r="AB2209" i="13"/>
  <c r="AB2317" i="13"/>
  <c r="AB2930" i="13"/>
  <c r="AB1004" i="13"/>
  <c r="AB1230" i="13"/>
  <c r="AB2348" i="13"/>
  <c r="AB2751" i="13"/>
  <c r="AB2897" i="13"/>
  <c r="AB1992" i="13"/>
  <c r="AB1945" i="13"/>
  <c r="AB2954" i="13"/>
  <c r="AB651" i="13"/>
  <c r="AB505" i="13"/>
  <c r="AB2187" i="13"/>
  <c r="AB3428" i="13"/>
  <c r="AB2663" i="13"/>
  <c r="AB802" i="13"/>
  <c r="AB865" i="13"/>
  <c r="AB2278" i="13"/>
  <c r="AB2305" i="13"/>
  <c r="AB1196" i="13"/>
  <c r="AB255" i="13"/>
  <c r="AB1452" i="13"/>
  <c r="AB266" i="13"/>
  <c r="AB75" i="13"/>
  <c r="AB249" i="13"/>
  <c r="AB3184" i="13"/>
  <c r="AB2062" i="13"/>
  <c r="AB2510" i="13"/>
  <c r="AB2672" i="13"/>
  <c r="AB237" i="13"/>
  <c r="AB2375" i="13"/>
  <c r="AB103" i="13"/>
  <c r="AB3465" i="13"/>
  <c r="AB1532" i="13"/>
  <c r="AB663" i="13"/>
  <c r="AB1069" i="13"/>
  <c r="AB2809" i="13"/>
  <c r="AB2777" i="13"/>
  <c r="AB2462" i="13"/>
  <c r="AB690" i="13"/>
  <c r="AB2044" i="13"/>
  <c r="AB1160" i="13"/>
  <c r="AB3164" i="13"/>
  <c r="AB832" i="13"/>
  <c r="AB2116" i="13"/>
  <c r="AB2163" i="13"/>
  <c r="AB3527" i="13"/>
  <c r="AB1493" i="13"/>
  <c r="AB2558" i="13"/>
  <c r="AB3454" i="13"/>
  <c r="AB2884" i="13"/>
  <c r="AB3395" i="13"/>
  <c r="AB559" i="13"/>
  <c r="AB1495" i="13"/>
  <c r="AB282" i="13"/>
  <c r="AB830" i="13"/>
  <c r="AB876" i="13"/>
  <c r="AB1081" i="13"/>
  <c r="AB2359" i="13"/>
  <c r="AB259" i="13"/>
  <c r="AB565" i="13"/>
  <c r="AB2089" i="13"/>
  <c r="AB294" i="13"/>
  <c r="AB612" i="13"/>
  <c r="AB2224" i="13"/>
  <c r="AB3224" i="13"/>
  <c r="AB1442" i="13"/>
  <c r="AB975" i="13"/>
  <c r="AB2339" i="13"/>
  <c r="AB3210" i="13"/>
  <c r="AB866" i="13"/>
  <c r="AB1240" i="13"/>
  <c r="AB695" i="13"/>
  <c r="AB730" i="13"/>
  <c r="AB3203" i="13"/>
  <c r="AB2917" i="13"/>
  <c r="AB302" i="13"/>
  <c r="AB3363" i="13"/>
  <c r="AB59" i="13"/>
  <c r="AB268" i="13"/>
  <c r="AB1167" i="13"/>
  <c r="AB831" i="13"/>
  <c r="AB3357" i="13"/>
  <c r="AB1003" i="13"/>
  <c r="AB1016" i="13"/>
  <c r="AB1700" i="13"/>
  <c r="AB2391" i="13"/>
  <c r="AB2761" i="13"/>
  <c r="AB2477" i="13"/>
  <c r="AB898" i="13"/>
  <c r="AB2898" i="13"/>
  <c r="AB1919" i="13"/>
  <c r="AB2489" i="13"/>
  <c r="AB1170" i="13"/>
  <c r="AB2648" i="13"/>
  <c r="AB603" i="13"/>
  <c r="AB705" i="13"/>
  <c r="AB1801" i="13"/>
  <c r="AB3481" i="13"/>
  <c r="AB2465" i="13"/>
  <c r="AB1708" i="13"/>
  <c r="AB1931" i="13"/>
  <c r="AB71" i="13"/>
  <c r="AB1793" i="13"/>
  <c r="AB2820" i="13"/>
  <c r="AB3275" i="13"/>
  <c r="AB2700" i="13"/>
  <c r="AB3058" i="13"/>
  <c r="AB116" i="13"/>
  <c r="AB163" i="13"/>
  <c r="AB773" i="13"/>
  <c r="AB1286" i="13"/>
  <c r="AB2050" i="13"/>
  <c r="AB1844" i="13"/>
  <c r="AB2629" i="13"/>
  <c r="AB160" i="13"/>
  <c r="AB2654" i="13"/>
  <c r="AB2715" i="13"/>
  <c r="AB1882" i="13"/>
  <c r="AB2186" i="13"/>
  <c r="AB425" i="13"/>
  <c r="AB3147" i="13"/>
  <c r="AB1974" i="13"/>
  <c r="AB1116" i="13"/>
  <c r="AB3348" i="13"/>
  <c r="AB58" i="13"/>
  <c r="AB1546" i="13"/>
  <c r="AB2156" i="13"/>
  <c r="AB3358" i="13"/>
  <c r="AB3550" i="13"/>
  <c r="AB2902" i="13"/>
  <c r="AB2844" i="13"/>
  <c r="AB2300" i="13"/>
  <c r="AB3230" i="13"/>
  <c r="AB1422" i="13"/>
  <c r="AB2250" i="13"/>
  <c r="AB2693" i="13"/>
  <c r="AB3462" i="13"/>
  <c r="AB3302" i="13"/>
  <c r="AB1564" i="13"/>
  <c r="AB2742" i="13"/>
  <c r="AB258" i="13"/>
  <c r="AB2694" i="13"/>
  <c r="AB248" i="13"/>
  <c r="AB1440" i="13"/>
  <c r="AB2840" i="13"/>
  <c r="AB3012" i="13"/>
  <c r="AB1748" i="13"/>
  <c r="AB2508" i="13"/>
  <c r="AB1728" i="13"/>
  <c r="AB2766" i="13"/>
  <c r="AB1823" i="13"/>
  <c r="AB1505" i="13"/>
  <c r="AB2076" i="13"/>
  <c r="AB1480" i="13"/>
  <c r="AB3488" i="13"/>
  <c r="AB2245" i="13"/>
  <c r="AB273" i="13"/>
  <c r="AB1834" i="13"/>
  <c r="AB123" i="13"/>
  <c r="AB920" i="13"/>
  <c r="AB2948" i="13"/>
  <c r="AB3317" i="13"/>
  <c r="AB3009" i="13"/>
  <c r="AB764" i="13"/>
  <c r="AB2669" i="13"/>
  <c r="AB1815" i="13"/>
  <c r="AB868" i="13"/>
  <c r="AB1943" i="13"/>
  <c r="AB418" i="13"/>
  <c r="AB3045" i="13"/>
  <c r="AB1316" i="13"/>
  <c r="AB907" i="13"/>
  <c r="AB2371" i="13"/>
  <c r="AB327" i="13"/>
  <c r="AB3305" i="13"/>
  <c r="AB407" i="13"/>
  <c r="AB1229" i="13"/>
  <c r="AB1825" i="13"/>
  <c r="AB419" i="13"/>
  <c r="AB1565" i="13"/>
  <c r="AB3039" i="13"/>
  <c r="AB473" i="13"/>
  <c r="AB2564" i="13"/>
  <c r="AB910" i="13"/>
  <c r="AB2251" i="13"/>
  <c r="AB2643" i="13"/>
  <c r="AB2059" i="13"/>
  <c r="AB2139" i="13"/>
  <c r="AB1548" i="13"/>
  <c r="AB2697" i="13"/>
  <c r="AB69" i="13"/>
  <c r="AB3286" i="13"/>
  <c r="AB3366" i="13"/>
  <c r="AB2240" i="13"/>
  <c r="AB571" i="13"/>
  <c r="AB2368" i="13"/>
  <c r="AB2590" i="13"/>
  <c r="AB511" i="13"/>
  <c r="AB2454" i="13"/>
  <c r="AB2353" i="13"/>
  <c r="AB2003" i="13"/>
  <c r="AB977" i="13"/>
  <c r="AB49" i="13"/>
  <c r="AB2620" i="13"/>
  <c r="AB3393" i="13"/>
  <c r="AB476" i="13"/>
  <c r="AB1327" i="13"/>
  <c r="AB1139" i="13"/>
  <c r="AB826" i="13"/>
  <c r="AB1906" i="13"/>
  <c r="AB3202" i="13"/>
  <c r="AB704" i="13"/>
  <c r="AB653" i="13"/>
  <c r="AB269" i="13"/>
  <c r="AB1599" i="13"/>
  <c r="AB820" i="13"/>
  <c r="AB1827" i="13"/>
  <c r="AB1300" i="13"/>
  <c r="AB1162" i="13"/>
  <c r="AB2183" i="13"/>
  <c r="AB1995" i="13"/>
  <c r="AB2887" i="13"/>
  <c r="AB1320" i="13"/>
  <c r="AB3136" i="13"/>
  <c r="AB3537" i="13"/>
  <c r="AB1941" i="13"/>
  <c r="AB274" i="13"/>
  <c r="AB2221" i="13"/>
  <c r="AB198" i="13"/>
  <c r="AB3099" i="13"/>
  <c r="AB2445" i="13"/>
  <c r="AB3315" i="13"/>
  <c r="AB1083" i="13"/>
  <c r="AB2170" i="13"/>
  <c r="AB1903" i="13"/>
  <c r="AB891" i="13"/>
  <c r="AB2861" i="13"/>
  <c r="AB2743" i="13"/>
  <c r="AB3083" i="13"/>
  <c r="AB3035" i="13"/>
  <c r="AB2577" i="13"/>
  <c r="AB414" i="13"/>
  <c r="AB2892" i="13"/>
  <c r="AB2274" i="13"/>
  <c r="AB766" i="13"/>
  <c r="AB1860" i="13"/>
  <c r="AB2363" i="13"/>
  <c r="AB177" i="13"/>
  <c r="AB1732" i="13"/>
  <c r="AB916" i="13"/>
  <c r="AB879" i="13"/>
  <c r="AB2141" i="13"/>
  <c r="AB2866" i="13"/>
  <c r="AB1168" i="13"/>
  <c r="AB1561" i="13"/>
  <c r="AB1687" i="13"/>
  <c r="AB1477" i="13"/>
  <c r="AB1570" i="13"/>
  <c r="AB3107" i="13"/>
  <c r="AB387" i="13"/>
  <c r="AB2358" i="13"/>
  <c r="AB1084" i="13"/>
  <c r="AB3546" i="13"/>
  <c r="AB2020" i="13"/>
  <c r="AB652" i="13"/>
  <c r="AB335" i="13"/>
  <c r="AB954" i="13"/>
  <c r="AB787" i="13"/>
  <c r="AB2685" i="13"/>
  <c r="AB2216" i="13"/>
  <c r="AB2535" i="13"/>
  <c r="AB2220" i="13"/>
  <c r="AB2682" i="13"/>
  <c r="AB2097" i="13"/>
  <c r="AB454" i="13"/>
  <c r="AB3379" i="13"/>
  <c r="AB1527" i="13"/>
  <c r="AB1818" i="13"/>
  <c r="AB3049" i="13"/>
  <c r="AB1082" i="13"/>
  <c r="AB3018" i="13"/>
  <c r="AB2392" i="13"/>
  <c r="AB557" i="13"/>
  <c r="AB2294" i="13"/>
  <c r="AB850" i="13"/>
  <c r="AB640" i="13"/>
  <c r="AB346" i="13"/>
  <c r="AB1841" i="13"/>
  <c r="AB111" i="13"/>
  <c r="AB1434" i="13"/>
  <c r="AB330" i="13"/>
  <c r="AB664" i="13"/>
  <c r="AB68" i="13"/>
  <c r="AB1523" i="13"/>
  <c r="AB3020" i="13"/>
  <c r="AB2045" i="13"/>
  <c r="AB3150" i="13"/>
  <c r="AB3279" i="13"/>
  <c r="AB1666" i="13"/>
  <c r="AB1610" i="13"/>
  <c r="AB250" i="13"/>
  <c r="AB3407" i="13"/>
  <c r="AB643" i="13"/>
  <c r="AB1073" i="13"/>
  <c r="AB3375" i="13"/>
  <c r="AB1988" i="13"/>
  <c r="AB1660" i="13"/>
  <c r="AB2922" i="13"/>
  <c r="AB811" i="13"/>
  <c r="AB3374" i="13"/>
  <c r="AB2411" i="13"/>
  <c r="AB283" i="13"/>
  <c r="AB1656" i="13"/>
  <c r="AB3430" i="13"/>
  <c r="AB1932" i="13"/>
  <c r="AB1432" i="13"/>
  <c r="AB1929" i="13"/>
  <c r="AB433" i="13"/>
  <c r="AB1403" i="13"/>
  <c r="AB253" i="13"/>
  <c r="AB989" i="13"/>
  <c r="AB2093" i="13"/>
  <c r="AB2080" i="13"/>
  <c r="AB1161" i="13"/>
  <c r="AB2804" i="13"/>
  <c r="AB3293" i="13"/>
  <c r="AB1556" i="13"/>
  <c r="AB2234" i="13"/>
  <c r="AB2528" i="13"/>
  <c r="AB684" i="13"/>
  <c r="AB3131" i="13"/>
  <c r="AB1895" i="13"/>
  <c r="AB2764" i="13"/>
  <c r="AB2138" i="13"/>
  <c r="AB1979" i="13"/>
  <c r="AB3047" i="13"/>
  <c r="AB148" i="13"/>
  <c r="AB1558" i="13"/>
  <c r="AB2037" i="13"/>
  <c r="AB2739" i="13"/>
  <c r="AB3265" i="13"/>
  <c r="AB1975" i="13"/>
  <c r="AB331" i="13"/>
  <c r="AB1091" i="13"/>
  <c r="AB889" i="13"/>
  <c r="AB521" i="13"/>
  <c r="AB1926" i="13"/>
  <c r="AB2668" i="13"/>
  <c r="AB159" i="13"/>
  <c r="AB2029" i="13"/>
  <c r="AB3199" i="13"/>
  <c r="AB721" i="13"/>
  <c r="AB824" i="13"/>
  <c r="AB892" i="13"/>
  <c r="AB2640" i="13"/>
  <c r="AB1597" i="13"/>
  <c r="AB997" i="13"/>
  <c r="AB836" i="13"/>
  <c r="AB2012" i="13"/>
  <c r="AB788" i="13"/>
  <c r="AB1812" i="13"/>
  <c r="AB630" i="13"/>
  <c r="AB1305" i="13"/>
  <c r="AB3221" i="13"/>
  <c r="AB257" i="13"/>
  <c r="AB967" i="13"/>
  <c r="AB3350" i="13"/>
  <c r="AB2404" i="13"/>
  <c r="AB1843" i="13"/>
  <c r="AB979" i="13"/>
  <c r="AB808" i="13"/>
  <c r="AB980" i="13"/>
  <c r="AB156" i="13"/>
  <c r="AB2501" i="13"/>
  <c r="AB683" i="13"/>
  <c r="AB1425" i="13"/>
  <c r="AB3260" i="13"/>
  <c r="AB3372" i="13"/>
  <c r="AB3410" i="13"/>
  <c r="AB395" i="13"/>
  <c r="AB1647" i="13"/>
  <c r="AB959" i="13"/>
  <c r="AB3441" i="13"/>
  <c r="AB174" i="13"/>
  <c r="AB2046" i="13"/>
  <c r="AB2592" i="13"/>
  <c r="AB1905" i="13"/>
  <c r="AB3399" i="13"/>
  <c r="AB2915" i="13"/>
  <c r="AB437" i="13"/>
  <c r="AB2152" i="13"/>
  <c r="AB3482" i="13"/>
  <c r="AB3381" i="13"/>
  <c r="AB3114" i="13"/>
  <c r="AB3149" i="13"/>
  <c r="AB2458" i="13"/>
  <c r="AB1881" i="13"/>
  <c r="AB2344" i="13"/>
  <c r="AB2934" i="13"/>
  <c r="AB285" i="13"/>
  <c r="AB1263" i="13"/>
  <c r="AB619" i="13"/>
  <c r="AB915" i="13"/>
  <c r="AB1772" i="13"/>
  <c r="AB723" i="13"/>
  <c r="AB2384" i="13"/>
  <c r="AB74" i="13"/>
  <c r="AB429" i="13"/>
  <c r="AB2079" i="13"/>
  <c r="AB2978" i="13"/>
  <c r="AB2073" i="13"/>
  <c r="AB3252" i="13"/>
  <c r="AB1534" i="13"/>
  <c r="AB621" i="13"/>
  <c r="AB260" i="13"/>
  <c r="AB685" i="13"/>
  <c r="AB3219" i="13"/>
  <c r="AB1650" i="13"/>
  <c r="AB931" i="13"/>
  <c r="AB1241" i="13"/>
  <c r="AB2706" i="13"/>
  <c r="AB3243" i="13"/>
  <c r="AB2941" i="13"/>
  <c r="AB3419" i="13"/>
  <c r="AB2202" i="13"/>
  <c r="AB3010" i="13"/>
  <c r="AB1248" i="13"/>
  <c r="AB754" i="13"/>
  <c r="AB2491" i="13"/>
  <c r="AB3158" i="13"/>
  <c r="AB2979" i="13"/>
  <c r="AB1192" i="13"/>
  <c r="AB3234" i="13"/>
  <c r="AB3167" i="13"/>
  <c r="AB675" i="13"/>
  <c r="AB3518" i="13"/>
  <c r="AB411" i="13"/>
  <c r="AB1845" i="13"/>
  <c r="AB56" i="13"/>
  <c r="AB2860" i="13"/>
  <c r="AB1159" i="13"/>
  <c r="AB1615" i="13"/>
  <c r="AB2594" i="13"/>
  <c r="AB2380" i="13"/>
  <c r="AB1856" i="13"/>
  <c r="AB1014" i="13"/>
  <c r="AB2227" i="13"/>
  <c r="AB31" i="13"/>
  <c r="AB142" i="13"/>
  <c r="AB3457" i="13"/>
  <c r="AB3278" i="13"/>
  <c r="AB2945" i="13"/>
  <c r="AB1924" i="13"/>
  <c r="AB2503" i="13"/>
  <c r="AB2514" i="13"/>
  <c r="AB947" i="13"/>
  <c r="AB923" i="13"/>
  <c r="AB1062" i="13"/>
  <c r="AB608" i="13"/>
  <c r="AB2778" i="13"/>
  <c r="AB719" i="13"/>
  <c r="AB265" i="13"/>
  <c r="AB665" i="13"/>
  <c r="AB2927" i="13"/>
  <c r="AB982" i="13"/>
  <c r="AB34" i="13"/>
  <c r="AB84" i="13"/>
  <c r="AB1460" i="13"/>
  <c r="AB791" i="13"/>
  <c r="AB761" i="13"/>
  <c r="AB3376" i="13"/>
  <c r="AB700" i="13"/>
  <c r="AB1798" i="13"/>
  <c r="AB1033" i="13"/>
  <c r="AB119" i="13"/>
  <c r="AB567" i="13"/>
  <c r="AB1328" i="13"/>
  <c r="AB1319" i="13"/>
  <c r="AB430" i="13"/>
  <c r="AB2259" i="13"/>
  <c r="AB3522" i="13"/>
  <c r="AB2957" i="13"/>
  <c r="AB1281" i="13"/>
  <c r="AB1361" i="13"/>
  <c r="AB3194" i="13"/>
  <c r="AB901" i="13"/>
  <c r="AB1388" i="13"/>
  <c r="AB696" i="13"/>
  <c r="AB3352" i="13"/>
  <c r="AB3486" i="13"/>
  <c r="AB1721" i="13"/>
  <c r="AB1298" i="13"/>
  <c r="AB1719" i="13"/>
  <c r="AB1486" i="13"/>
  <c r="AB2986" i="13"/>
  <c r="AB2279" i="13"/>
  <c r="AB3514" i="13"/>
  <c r="AB2052" i="13"/>
  <c r="AB483" i="13"/>
  <c r="AB523" i="13"/>
  <c r="AB1658" i="13"/>
  <c r="AB2403" i="13"/>
  <c r="AB1769" i="13"/>
  <c r="AB1201" i="13"/>
  <c r="AB2730" i="13"/>
  <c r="AB70" i="13"/>
  <c r="AB1521" i="13"/>
  <c r="AB2075" i="13"/>
  <c r="AB305" i="13"/>
  <c r="AB3356" i="13"/>
  <c r="AB3089" i="13"/>
  <c r="AB849" i="13"/>
  <c r="AB2397" i="13"/>
  <c r="AB3188" i="13"/>
  <c r="AB277" i="13"/>
  <c r="AB2911" i="13"/>
  <c r="AB1978" i="13"/>
  <c r="AB1664" i="13"/>
  <c r="AB208" i="13"/>
  <c r="AB3197" i="13"/>
  <c r="AB993" i="13"/>
  <c r="AB2556" i="13"/>
  <c r="AB2749" i="13"/>
  <c r="AB1804" i="13"/>
  <c r="AB351" i="13"/>
  <c r="AB394" i="13"/>
  <c r="AB2331" i="13"/>
  <c r="AB2599" i="13"/>
  <c r="AB610" i="13"/>
  <c r="AB20" i="13"/>
  <c r="AB2355" i="13"/>
  <c r="AB3460" i="13"/>
  <c r="AB264" i="13"/>
  <c r="AB1902" i="13"/>
  <c r="AB741" i="13"/>
  <c r="AB3153" i="13"/>
  <c r="AB1553" i="13"/>
  <c r="AB2976" i="13"/>
  <c r="AB2754" i="13"/>
  <c r="AB1730" i="13"/>
  <c r="AB129" i="13"/>
  <c r="AB1282" i="13"/>
  <c r="AB3346" i="13"/>
  <c r="AB1892" i="13"/>
  <c r="AB1000" i="13"/>
  <c r="AB193" i="13"/>
  <c r="AB168" i="13"/>
  <c r="AB3458" i="13"/>
  <c r="AB2457" i="13"/>
  <c r="AB1819" i="13"/>
  <c r="AB406" i="13"/>
  <c r="AB1119" i="13"/>
  <c r="AB2793" i="13"/>
  <c r="AB1623" i="13"/>
  <c r="AB135" i="13"/>
  <c r="AB862" i="13"/>
  <c r="AB3544" i="13"/>
  <c r="AB2095" i="13"/>
  <c r="AB1070" i="13"/>
  <c r="AB1738" i="13"/>
  <c r="AB3162" i="13"/>
  <c r="AB548" i="13"/>
  <c r="AB1571" i="13"/>
  <c r="AB3214" i="13"/>
  <c r="AB2913" i="13"/>
  <c r="AB1747" i="13"/>
  <c r="AB3220" i="13"/>
  <c r="AB1454" i="13"/>
  <c r="AB424" i="13"/>
  <c r="AB50" i="13"/>
  <c r="AB3306" i="13"/>
  <c r="AB423" i="13"/>
  <c r="AB538" i="13"/>
  <c r="AB1221" i="13"/>
  <c r="AB1590" i="13"/>
  <c r="AB1998" i="13"/>
  <c r="AB606" i="13"/>
  <c r="AB3515" i="13"/>
  <c r="AB435" i="13"/>
  <c r="AB417" i="13"/>
  <c r="AB2361" i="13"/>
  <c r="AB2255" i="13"/>
  <c r="AB3360" i="13"/>
  <c r="AB2750" i="13"/>
  <c r="AB897" i="13"/>
  <c r="AB1847" i="13"/>
  <c r="AB591" i="13"/>
  <c r="AB1358" i="13"/>
  <c r="AB472" i="13"/>
  <c r="AB3146" i="13"/>
  <c r="AB829" i="13"/>
  <c r="AB288" i="13"/>
  <c r="AB2591" i="13"/>
  <c r="AB2071" i="13"/>
  <c r="AB1869" i="13"/>
  <c r="AB1510" i="13"/>
  <c r="AB1567" i="13"/>
  <c r="AB2115" i="13"/>
  <c r="AB2984" i="13"/>
  <c r="AB2360" i="13"/>
  <c r="AB737" i="13"/>
  <c r="AB54" i="13"/>
  <c r="AB2057" i="13"/>
  <c r="AB1934" i="13"/>
  <c r="AB882" i="13"/>
  <c r="AB2781" i="13"/>
  <c r="AB3198" i="13"/>
  <c r="AB465" i="13"/>
  <c r="AB837" i="13"/>
  <c r="AB3328" i="13"/>
  <c r="AB909" i="13"/>
  <c r="AB2521" i="13"/>
  <c r="AB601" i="13"/>
  <c r="AB2231" i="13"/>
  <c r="AB1620" i="13"/>
  <c r="AB2962" i="13"/>
  <c r="AB2423" i="13"/>
  <c r="AB90" i="13"/>
  <c r="AB2118" i="13"/>
  <c r="AB1587" i="13"/>
  <c r="AB3334" i="13"/>
  <c r="AB3413" i="13"/>
  <c r="AB1243" i="13"/>
  <c r="AB2024" i="13"/>
  <c r="AB2147" i="13"/>
  <c r="AB945" i="13"/>
  <c r="AB903" i="13"/>
  <c r="AB2790" i="13"/>
  <c r="AB609" i="13"/>
  <c r="AB2316" i="13"/>
  <c r="AB3126" i="13"/>
  <c r="AB94" i="13"/>
  <c r="AB2330" i="13"/>
  <c r="AB587" i="13"/>
  <c r="AB2414" i="13"/>
  <c r="AB1381" i="13"/>
  <c r="AB2112" i="13"/>
  <c r="AB3032" i="13"/>
  <c r="AB1743" i="13"/>
  <c r="AB207" i="13"/>
  <c r="AB1796" i="13"/>
  <c r="AB311" i="13"/>
  <c r="AB2647" i="13"/>
  <c r="AB3377" i="13"/>
  <c r="AB3276" i="13"/>
  <c r="AB1052" i="13"/>
  <c r="AB2328" i="13"/>
  <c r="AB1211" i="13"/>
  <c r="AB2786" i="13"/>
  <c r="AB319" i="13"/>
  <c r="AB2421" i="13"/>
  <c r="AB1884" i="13"/>
  <c r="AB706" i="13"/>
  <c r="AB1023" i="13"/>
  <c r="AB581" i="13"/>
  <c r="AB3501" i="13"/>
  <c r="AB2519" i="13"/>
  <c r="AB451" i="13"/>
  <c r="AB1166" i="13"/>
  <c r="AB1370" i="13"/>
  <c r="AB2908" i="13"/>
  <c r="AB2587" i="13"/>
  <c r="AB2950" i="13"/>
  <c r="AB1677" i="13"/>
  <c r="AB796" i="13"/>
  <c r="AB1788" i="13"/>
  <c r="AB2273" i="13"/>
  <c r="AB895" i="13"/>
  <c r="AB2288" i="13"/>
  <c r="AB363" i="13"/>
  <c r="AB2878" i="13"/>
  <c r="AB1709" i="13"/>
  <c r="AB1598" i="13"/>
  <c r="AB3249" i="13"/>
  <c r="AB3528" i="13"/>
  <c r="AB1353" i="13"/>
  <c r="AB2999" i="13"/>
  <c r="AB870" i="13"/>
  <c r="AB3387" i="13"/>
  <c r="AB2726" i="13"/>
  <c r="AB2622" i="13"/>
  <c r="AB1681" i="13"/>
  <c r="AB1277" i="13"/>
  <c r="AB1751" i="13"/>
  <c r="AB2373" i="13"/>
  <c r="AB51" i="13"/>
  <c r="AB1787" i="13"/>
  <c r="AB3396" i="13"/>
  <c r="AB3183" i="13"/>
  <c r="AB3324" i="13"/>
  <c r="AB3121" i="13"/>
  <c r="AB2542" i="13"/>
  <c r="AB216" i="13"/>
  <c r="AB1224" i="13"/>
  <c r="AB211" i="13"/>
  <c r="AB2366" i="13"/>
  <c r="AB1051" i="13"/>
  <c r="AB3322" i="13"/>
  <c r="AB2782" i="13"/>
  <c r="AB1202" i="13"/>
  <c r="AB1578" i="13"/>
  <c r="AB2111" i="13"/>
  <c r="AB3253" i="13"/>
  <c r="AB369" i="13"/>
  <c r="AB1749" i="13"/>
  <c r="AB1006" i="13"/>
  <c r="AB35" i="13"/>
  <c r="AB984" i="13"/>
  <c r="AB1467" i="13"/>
  <c r="AB1959" i="13"/>
  <c r="AB2711" i="13"/>
  <c r="AB1755" i="13"/>
  <c r="AB1864" i="13"/>
  <c r="AB1627" i="13"/>
  <c r="AB1499" i="13"/>
  <c r="AB3494" i="13"/>
  <c r="AB1496" i="13"/>
  <c r="AB3493" i="13"/>
  <c r="AB2886" i="13"/>
  <c r="AB577" i="13"/>
  <c r="AB1955" i="13"/>
  <c r="AB2272" i="13"/>
  <c r="AB744" i="13"/>
  <c r="AB2390" i="13"/>
  <c r="AB3104" i="13"/>
  <c r="AB1271" i="13"/>
  <c r="AB694" i="13"/>
  <c r="AB3409" i="13"/>
  <c r="AB765" i="13"/>
  <c r="AB1445" i="13"/>
  <c r="AB1059" i="13"/>
  <c r="AB3388" i="13"/>
  <c r="AB1182" i="13"/>
  <c r="AB733" i="13"/>
  <c r="AB3327" i="13"/>
  <c r="AB343" i="13"/>
  <c r="AB181" i="13"/>
  <c r="AB3144" i="13"/>
  <c r="AB1625" i="13"/>
  <c r="AB2090" i="13"/>
  <c r="AB3268" i="13"/>
  <c r="AB912" i="13"/>
  <c r="AB1339" i="13"/>
  <c r="AB3335" i="13"/>
  <c r="AB2699" i="13"/>
  <c r="AB1024" i="13"/>
  <c r="AB484" i="13"/>
  <c r="AB377" i="13"/>
  <c r="AB1858" i="13"/>
  <c r="AB875" i="13"/>
  <c r="AB2916" i="13"/>
  <c r="AB2210" i="13"/>
  <c r="AB568" i="13"/>
  <c r="AB1436" i="13"/>
  <c r="AB2175" i="13"/>
  <c r="AB2402" i="13"/>
  <c r="AB2320" i="13"/>
  <c r="AB2836" i="13"/>
  <c r="AB2182" i="13"/>
  <c r="AB1717" i="13"/>
  <c r="AB2981" i="13"/>
  <c r="AB2655" i="13"/>
  <c r="AB3073" i="13"/>
  <c r="AB859" i="13"/>
  <c r="AB3304" i="13"/>
  <c r="AB298" i="13"/>
  <c r="AB2879" i="13"/>
  <c r="AB2900" i="13"/>
  <c r="AB1431" i="13"/>
  <c r="AB226" i="13"/>
  <c r="AB2107" i="13"/>
  <c r="AB3423" i="13"/>
  <c r="AB1661" i="13"/>
  <c r="AB2835" i="13"/>
  <c r="AB1675" i="13"/>
  <c r="AB1581" i="13"/>
  <c r="AB2155" i="13"/>
  <c r="AB3371" i="13"/>
  <c r="AB3414" i="13"/>
  <c r="AB3175" i="13"/>
  <c r="AB543" i="13"/>
  <c r="AB1636" i="13"/>
  <c r="AB1226" i="13"/>
  <c r="AB318" i="13"/>
  <c r="AB2337" i="13"/>
  <c r="AB636" i="13"/>
  <c r="AB3257" i="13"/>
  <c r="AB1217" i="13"/>
  <c r="AB1423" i="13"/>
  <c r="AB1458" i="13"/>
  <c r="AB2839" i="13"/>
  <c r="AB391" i="13"/>
  <c r="AB1726" i="13"/>
  <c r="AB1641" i="13"/>
  <c r="AB3057" i="13"/>
  <c r="AB1343" i="13"/>
  <c r="AB382" i="13"/>
  <c r="AB1536" i="13"/>
  <c r="AB3262" i="13"/>
  <c r="AB2504" i="13"/>
  <c r="AB698" i="13"/>
  <c r="AB3160" i="13"/>
  <c r="AB2621" i="13"/>
  <c r="AB1275" i="13"/>
  <c r="AB563" i="13"/>
  <c r="AB2780" i="13"/>
  <c r="AB1331" i="13"/>
  <c r="AB1889" i="13"/>
  <c r="AB134" i="13"/>
  <c r="AB3227" i="13"/>
  <c r="AB2885" i="13"/>
  <c r="AB1190" i="13"/>
  <c r="AB2157" i="13"/>
  <c r="AB974" i="13"/>
  <c r="AB276" i="13"/>
  <c r="AB3170" i="13"/>
  <c r="AB1605" i="13"/>
  <c r="AB3236" i="13"/>
  <c r="AB23" i="13"/>
  <c r="AB578" i="13"/>
  <c r="AB2507" i="13"/>
  <c r="AB2332" i="13"/>
  <c r="AB2971" i="13"/>
  <c r="AB2832" i="13"/>
  <c r="AB869" i="13"/>
  <c r="AB2268" i="13"/>
  <c r="AB2005" i="13"/>
  <c r="AB2523" i="13"/>
  <c r="AB1233" i="13"/>
  <c r="AB3259" i="13"/>
  <c r="AB3535" i="13"/>
  <c r="AB3080" i="13"/>
  <c r="AB1236" i="13"/>
  <c r="AB1626" i="13"/>
  <c r="AB2859" i="13"/>
  <c r="AB3192" i="13"/>
  <c r="AB701" i="13"/>
  <c r="AB455" i="13"/>
  <c r="AB2456" i="13"/>
  <c r="AB726" i="13"/>
  <c r="AB712" i="13"/>
  <c r="AB42" i="13"/>
  <c r="AB2476" i="13"/>
  <c r="AB2385" i="13"/>
  <c r="AB2505" i="13"/>
  <c r="AB3040" i="13"/>
  <c r="AB2683" i="13"/>
  <c r="AB2270" i="13"/>
  <c r="AB1357" i="13"/>
  <c r="AB2639" i="13"/>
  <c r="AB2098" i="13"/>
  <c r="AB2267" i="13"/>
  <c r="AB2597" i="13"/>
  <c r="AB1030" i="13"/>
  <c r="AB540" i="13"/>
  <c r="AB1685" i="13"/>
  <c r="AB3238" i="13"/>
  <c r="AB1531" i="13"/>
  <c r="AB1632" i="13"/>
  <c r="AB2823" i="13"/>
  <c r="AB890" i="13"/>
  <c r="AB1171" i="13"/>
  <c r="AB1470" i="13"/>
  <c r="AB1315" i="13"/>
  <c r="AB356" i="13"/>
  <c r="AB1638" i="13"/>
  <c r="AB2100" i="13"/>
  <c r="AB2543" i="13"/>
  <c r="AB165" i="13"/>
  <c r="AB99" i="13"/>
  <c r="AB3320" i="13"/>
  <c r="AB3133" i="13"/>
  <c r="AB506" i="13"/>
  <c r="AB2960" i="13"/>
  <c r="AB353" i="13"/>
  <c r="AB1837" i="13"/>
  <c r="AB884" i="13"/>
  <c r="AB1148" i="13"/>
  <c r="AB1707" i="13"/>
  <c r="AB3248" i="13"/>
  <c r="AB991" i="13"/>
  <c r="AB2725" i="13"/>
  <c r="AB2765" i="13"/>
  <c r="AB669" i="13"/>
  <c r="AB2757" i="13"/>
  <c r="AB2659" i="13"/>
  <c r="AB806" i="13"/>
  <c r="AB2554" i="13"/>
  <c r="AB1771" i="13"/>
  <c r="AB1737" i="13"/>
  <c r="AB784" i="13"/>
  <c r="AB2931" i="13"/>
  <c r="AB2004" i="13"/>
  <c r="AB2217" i="13"/>
  <c r="AB1299" i="13"/>
  <c r="AB1111" i="13"/>
  <c r="AB293" i="13"/>
  <c r="AB2947" i="13"/>
  <c r="AB1011" i="13"/>
  <c r="AB3551" i="13"/>
  <c r="AB2056" i="13"/>
  <c r="AB2495" i="13"/>
  <c r="AB1750" i="13"/>
  <c r="AB529" i="13"/>
  <c r="AB1113" i="13"/>
  <c r="AB1385" i="13"/>
  <c r="AB2000" i="13"/>
  <c r="AB2615" i="13"/>
  <c r="AB2088" i="13"/>
  <c r="AB1227" i="13"/>
  <c r="AB1266" i="13"/>
  <c r="AB774" i="13"/>
  <c r="AB2453" i="13"/>
  <c r="AB729" i="13"/>
  <c r="AB1993" i="13"/>
  <c r="AB3173" i="13"/>
  <c r="AB1482" i="13"/>
  <c r="AB2538" i="13"/>
  <c r="AB2406" i="13"/>
  <c r="AB2053" i="13"/>
  <c r="AB3097" i="13"/>
  <c r="AB2160" i="13"/>
  <c r="AB2174" i="13"/>
  <c r="AB452" i="13"/>
  <c r="AB2785" i="13"/>
  <c r="AB674" i="13"/>
  <c r="AB739" i="13"/>
  <c r="AB3289" i="13"/>
  <c r="AB534" i="13"/>
  <c r="AB2418" i="13"/>
  <c r="AB2650" i="13"/>
  <c r="AB2191" i="13"/>
  <c r="AB2151" i="13"/>
  <c r="AB2969" i="13"/>
  <c r="AB1186" i="13"/>
  <c r="AB1596" i="13"/>
  <c r="AB1912" i="13"/>
  <c r="AB1140" i="13"/>
  <c r="AB2977" i="13"/>
  <c r="AB143" i="13"/>
  <c r="AB3168" i="13"/>
  <c r="AB2779" i="13"/>
  <c r="AB203" i="13"/>
  <c r="AB1568" i="13"/>
  <c r="AB1559" i="13"/>
  <c r="AB93" i="13"/>
  <c r="AB3156" i="13"/>
  <c r="AB1648" i="13"/>
  <c r="AB2773" i="13"/>
  <c r="AB3074" i="13"/>
  <c r="AB1063" i="13"/>
  <c r="AB1516" i="13"/>
  <c r="AB3007" i="13"/>
  <c r="AB3187" i="13"/>
  <c r="AB2011" i="13"/>
  <c r="AB593" i="13"/>
  <c r="AB2729" i="13"/>
  <c r="AB217" i="13"/>
  <c r="AB3489" i="13"/>
  <c r="AB2928" i="13"/>
  <c r="AB1421" i="13"/>
  <c r="AB835" i="13"/>
  <c r="AB1389" i="13"/>
  <c r="AB1671" i="13"/>
  <c r="AB1594" i="13"/>
  <c r="AB1117" i="13"/>
  <c r="AB2520" i="13"/>
  <c r="AB1095" i="13"/>
  <c r="AB2136" i="13"/>
  <c r="AB1736" i="13"/>
  <c r="AB1074" i="13"/>
  <c r="AB443" i="13"/>
  <c r="AB748" i="13"/>
  <c r="AB2988" i="13"/>
  <c r="AB459" i="13"/>
  <c r="AB2783" i="13"/>
  <c r="AB2356" i="13"/>
  <c r="AB2907" i="13"/>
  <c r="AB3240" i="13"/>
  <c r="AB524" i="13"/>
  <c r="AB1061" i="13"/>
  <c r="AB2329" i="13"/>
  <c r="AB3139" i="13"/>
  <c r="AB2946" i="13"/>
  <c r="AB3296" i="13"/>
  <c r="AB2123" i="13"/>
  <c r="AB299" i="13"/>
  <c r="AB349" i="13"/>
  <c r="AB2635" i="13"/>
  <c r="AB2226" i="13"/>
  <c r="AB1252" i="13"/>
  <c r="AB1904" i="13"/>
  <c r="AB2172" i="13"/>
  <c r="AB498" i="13"/>
  <c r="AB1049" i="13"/>
  <c r="AB1898" i="13"/>
  <c r="AB804" i="13"/>
  <c r="AB2137" i="13"/>
  <c r="AB83" i="13"/>
  <c r="AB3435" i="13"/>
  <c r="AB3333" i="13"/>
  <c r="AB1128" i="13"/>
  <c r="AB2253" i="13"/>
  <c r="AB2334" i="13"/>
  <c r="AB2695" i="13"/>
  <c r="AB322" i="13"/>
  <c r="AB2364" i="13"/>
  <c r="AB815" i="13"/>
  <c r="AB2704" i="13"/>
  <c r="AB2451" i="13"/>
  <c r="AB373" i="13"/>
  <c r="AB3239" i="13"/>
  <c r="AB3105" i="13"/>
  <c r="AB152" i="13"/>
  <c r="AB1379" i="13"/>
  <c r="AB366" i="13"/>
  <c r="AB3477" i="13"/>
  <c r="AB1662" i="13"/>
  <c r="AB2533" i="13"/>
  <c r="AB2472" i="13"/>
  <c r="AB2030" i="13"/>
  <c r="AB2513" i="13"/>
  <c r="AB3005" i="13"/>
  <c r="AB372" i="13"/>
  <c r="AB1920" i="13"/>
  <c r="AB1886" i="13"/>
  <c r="AB2282" i="13"/>
  <c r="AB1852" i="13"/>
  <c r="AB2197" i="13"/>
  <c r="AB3418" i="13"/>
  <c r="AB3353" i="13"/>
  <c r="AB1901" i="13"/>
  <c r="AB384" i="13"/>
  <c r="AB3504" i="13"/>
  <c r="AB3148" i="13"/>
  <c r="AB873" i="13"/>
  <c r="AB2129" i="13"/>
  <c r="AB3085" i="13"/>
  <c r="AB3069" i="13"/>
  <c r="AB1018" i="13"/>
  <c r="AB316" i="13"/>
  <c r="AB3292" i="13"/>
  <c r="AB2549" i="13"/>
  <c r="AB1085" i="13"/>
  <c r="AB1078" i="13"/>
  <c r="AB1542" i="13"/>
  <c r="AB697" i="13"/>
  <c r="AB742" i="13"/>
  <c r="AB225" i="13"/>
  <c r="AB2867" i="13"/>
  <c r="AB448" i="13"/>
  <c r="AB2662" i="13"/>
  <c r="AB686" i="13"/>
  <c r="AB43" i="13"/>
  <c r="AB950" i="13"/>
  <c r="AB2688" i="13"/>
  <c r="AB2641" i="13"/>
  <c r="AB1387" i="13"/>
  <c r="AB2500" i="13"/>
  <c r="AB2872" i="13"/>
  <c r="AB863" i="13"/>
  <c r="AB1629" i="13"/>
  <c r="AB1665" i="13"/>
  <c r="AB960" i="13"/>
  <c r="AB1268" i="13"/>
  <c r="AB2772" i="13"/>
  <c r="AB2455" i="13"/>
  <c r="AB150" i="13"/>
  <c r="AB1765" i="13"/>
  <c r="AB1678" i="13"/>
  <c r="AB3054" i="13"/>
  <c r="AB2055" i="13"/>
  <c r="AB1276" i="13"/>
  <c r="AB2541" i="13"/>
  <c r="AB2289" i="13"/>
  <c r="AB1939" i="13"/>
  <c r="AB2702" i="13"/>
  <c r="AB2904" i="13"/>
  <c r="AB2788" i="13"/>
  <c r="AB2228" i="13"/>
  <c r="AB1637" i="13"/>
  <c r="AB3166" i="13"/>
  <c r="AB2039" i="13"/>
  <c r="AB3496" i="13"/>
  <c r="AB3157" i="13"/>
  <c r="AB2661" i="13"/>
  <c r="AB3212" i="13"/>
  <c r="AB3291" i="13"/>
  <c r="AB1419" i="13"/>
  <c r="AB3417" i="13"/>
  <c r="AB2674" i="13"/>
  <c r="AB1261" i="13"/>
  <c r="AB2085" i="13"/>
  <c r="AB3449" i="13"/>
  <c r="AB1927" i="13"/>
  <c r="AB2919" i="13"/>
  <c r="AB2736" i="13"/>
  <c r="AB1405" i="13"/>
  <c r="AB3373" i="13"/>
  <c r="AB1301" i="13"/>
  <c r="AB657" i="13"/>
  <c r="AB178" i="13"/>
  <c r="AB2473" i="13"/>
  <c r="AB3513" i="13"/>
  <c r="AB2313" i="13"/>
  <c r="AB72" i="13"/>
  <c r="AB441" i="13"/>
  <c r="AB1907" i="13"/>
  <c r="AB492" i="13"/>
  <c r="AB37" i="13"/>
  <c r="AB949" i="13"/>
  <c r="AB2568" i="13"/>
  <c r="AB487" i="13"/>
  <c r="AB3111" i="13"/>
  <c r="AB2935" i="13"/>
  <c r="AB520" i="13"/>
  <c r="AB2026" i="13"/>
  <c r="AB2478" i="13"/>
  <c r="AB3464" i="13"/>
  <c r="AB3510" i="13"/>
  <c r="AB1780" i="13"/>
  <c r="AB819" i="13"/>
  <c r="AB2072" i="13"/>
  <c r="AB3492" i="13"/>
  <c r="AB570" i="13"/>
  <c r="AB2357" i="13"/>
  <c r="AB2539" i="13"/>
  <c r="AB3503" i="13"/>
  <c r="AB1876" i="13"/>
  <c r="AB2863" i="13"/>
  <c r="AB3354" i="13"/>
  <c r="AB781" i="13"/>
  <c r="AB2673" i="13"/>
  <c r="AB218" i="13"/>
  <c r="AB2165" i="13"/>
  <c r="AB3461" i="13"/>
  <c r="AB2925" i="13"/>
  <c r="AB328" i="13"/>
  <c r="AB972" i="13"/>
  <c r="AB1692" i="13"/>
  <c r="AB2889" i="13"/>
  <c r="AB3195" i="13"/>
  <c r="AB410" i="13"/>
  <c r="AB3235" i="13"/>
  <c r="AB928" i="13"/>
  <c r="AB2845" i="13"/>
  <c r="AB2819" i="13"/>
  <c r="AB2485" i="13"/>
  <c r="AB1479" i="13"/>
  <c r="AB527" i="13"/>
  <c r="AB735" i="13"/>
  <c r="AB1850" i="13"/>
  <c r="AB2077" i="13"/>
  <c r="AB932" i="13"/>
  <c r="AB883" i="13"/>
  <c r="AB2396" i="13"/>
  <c r="AB3420" i="13"/>
  <c r="AB3285" i="13"/>
  <c r="AB334" i="13"/>
  <c r="AB1256" i="13"/>
  <c r="AB2610" i="13"/>
  <c r="AB1200" i="13"/>
  <c r="AB195" i="13"/>
  <c r="AB1089" i="13"/>
  <c r="AB1027" i="13"/>
  <c r="AB2113" i="13"/>
  <c r="AB3336" i="13"/>
  <c r="AB1188" i="13"/>
  <c r="AB1533" i="13"/>
  <c r="AB2841" i="13"/>
  <c r="AB2525" i="13"/>
  <c r="AB2379" i="13"/>
  <c r="AB1699" i="13"/>
  <c r="AB2306" i="13"/>
  <c r="AB2342" i="13"/>
  <c r="AB3172" i="13"/>
  <c r="AB3046" i="13"/>
  <c r="AB2436" i="13"/>
  <c r="AB485" i="13"/>
  <c r="AB3101" i="13"/>
  <c r="AB3425" i="13"/>
  <c r="AB290" i="13"/>
  <c r="AB3392" i="13"/>
  <c r="AB3467" i="13"/>
  <c r="AB2327" i="13"/>
  <c r="AB1288" i="13"/>
  <c r="AB2269" i="13"/>
  <c r="AB2193" i="13"/>
  <c r="AB1794" i="13"/>
  <c r="AB2687" i="13"/>
  <c r="AB1733" i="13"/>
  <c r="AB120" i="13"/>
  <c r="AB1149" i="13"/>
  <c r="AB1312" i="13"/>
  <c r="AB1759" i="13"/>
  <c r="AB716" i="13"/>
  <c r="AB856" i="13"/>
  <c r="AB842" i="13"/>
  <c r="AB613" i="13"/>
  <c r="AB3424" i="13"/>
  <c r="AB1155" i="13"/>
  <c r="AB1001" i="13"/>
  <c r="AB2582" i="13"/>
  <c r="AB3402" i="13"/>
  <c r="AB2084" i="13"/>
  <c r="AB2608" i="13"/>
  <c r="AB3345" i="13"/>
  <c r="AB2759" i="13"/>
  <c r="AB2611" i="13"/>
  <c r="AB190" i="13"/>
  <c r="AB2048" i="13"/>
  <c r="AB853" i="13"/>
  <c r="AB296" i="13"/>
  <c r="AB1185" i="13"/>
  <c r="AB2932" i="13"/>
  <c r="AB3303" i="13"/>
  <c r="AB1654" i="13"/>
  <c r="AB1058" i="13"/>
  <c r="AB2874" i="13"/>
  <c r="AB1956" i="13"/>
  <c r="AB1002" i="13"/>
  <c r="AB1451" i="13"/>
  <c r="AB1936" i="13"/>
  <c r="AB995" i="13"/>
  <c r="AB575" i="13"/>
  <c r="AB1784" i="13"/>
  <c r="AB1151" i="13"/>
  <c r="AB1807" i="13"/>
  <c r="AB19" i="13"/>
  <c r="AB213" i="13"/>
  <c r="AB3019" i="13"/>
  <c r="AB758" i="13"/>
  <c r="AB944" i="13"/>
  <c r="AB785" i="13"/>
  <c r="AB1491" i="13"/>
  <c r="AB942" i="13"/>
  <c r="AB1258" i="13"/>
  <c r="AB1740" i="13"/>
  <c r="AB617" i="13"/>
  <c r="AB590" i="13"/>
  <c r="AB2443" i="13"/>
  <c r="AB2798" i="13"/>
  <c r="AB1693" i="13"/>
  <c r="AB2990" i="13"/>
  <c r="AB3244" i="13"/>
  <c r="AB2408" i="13"/>
  <c r="AB3241" i="13"/>
  <c r="AB3152" i="13"/>
  <c r="AB3478" i="13"/>
  <c r="AB1520" i="13"/>
  <c r="AB810" i="13"/>
  <c r="AB470" i="13"/>
  <c r="AB2345" i="13"/>
  <c r="AB1304" i="13"/>
  <c r="AB718" i="13"/>
  <c r="AB1093" i="13"/>
  <c r="AB2997" i="13"/>
  <c r="AB678" i="13"/>
  <c r="AB1169" i="13"/>
  <c r="AB2134" i="13"/>
  <c r="AB728" i="13"/>
  <c r="AB1729" i="13"/>
  <c r="AB3394" i="13"/>
  <c r="AB2727" i="13"/>
  <c r="AB2041" i="13"/>
  <c r="AB3287" i="13"/>
  <c r="AB500" i="13"/>
  <c r="AB2926" i="13"/>
  <c r="AB63" i="13"/>
  <c r="AB2664" i="13"/>
  <c r="AB3050" i="13"/>
  <c r="AB161" i="13"/>
  <c r="AB1468" i="13"/>
  <c r="AB1144" i="13"/>
  <c r="AB1349" i="13"/>
  <c r="AB474" i="13"/>
  <c r="AB3495" i="13"/>
  <c r="AB1292" i="13"/>
  <c r="AB2203" i="13"/>
  <c r="AB1711" i="13"/>
  <c r="AB2047" i="13"/>
  <c r="AB3138" i="13"/>
  <c r="AB2596" i="13"/>
  <c r="AB629" i="13"/>
  <c r="AB1341" i="13"/>
  <c r="AB888" i="13"/>
  <c r="AB628" i="13"/>
  <c r="AB1457" i="13"/>
  <c r="AB2583" i="13"/>
  <c r="AB2614" i="13"/>
  <c r="AB3129" i="13"/>
  <c r="AB1050" i="13"/>
  <c r="AB1961" i="13"/>
  <c r="AB2671" i="13"/>
  <c r="AB1866" i="13"/>
  <c r="AB336" i="13"/>
  <c r="AB814" i="13"/>
  <c r="AB542" i="13"/>
  <c r="AB1718" i="13"/>
  <c r="AB968" i="13"/>
  <c r="AB1114" i="13"/>
  <c r="AB1873" i="13"/>
  <c r="AB821" i="13"/>
  <c r="AB1208" i="13"/>
  <c r="AB564" i="13"/>
  <c r="AB445" i="13"/>
  <c r="AB1832" i="13"/>
  <c r="AB2449" i="13"/>
  <c r="AB1583" i="13"/>
  <c r="AB1108" i="13"/>
  <c r="AB3519" i="13"/>
  <c r="AB3109" i="13"/>
  <c r="AB3028" i="13"/>
  <c r="AB2377" i="13"/>
  <c r="AB1820" i="13"/>
  <c r="AB221" i="13"/>
  <c r="AB329" i="13"/>
  <c r="AB1189" i="13"/>
  <c r="AB2551" i="13"/>
  <c r="AB2938" i="13"/>
  <c r="AB1039" i="13"/>
  <c r="AB3384" i="13"/>
  <c r="AB599" i="13"/>
  <c r="AB3442" i="13"/>
  <c r="AB416" i="13"/>
  <c r="AB509" i="13"/>
  <c r="AB3299" i="13"/>
  <c r="AB2774" i="13"/>
  <c r="AB2290" i="13"/>
  <c r="AB3115" i="13"/>
  <c r="AB2921" i="13"/>
  <c r="AB2295" i="13"/>
  <c r="AB1183" i="13"/>
  <c r="AB1696" i="13"/>
  <c r="AB3438" i="13"/>
  <c r="AB1294" i="13"/>
  <c r="AB817" i="13"/>
  <c r="AB3140" i="13"/>
  <c r="AB953" i="13"/>
  <c r="AB1355" i="13"/>
  <c r="AB2993" i="13"/>
  <c r="AB1293" i="13"/>
  <c r="AB1686" i="13"/>
  <c r="AB1322" i="13"/>
  <c r="AB2816" i="13"/>
  <c r="AB2895" i="13"/>
  <c r="AB1105" i="13"/>
  <c r="AB632" i="13"/>
  <c r="AB171" i="13"/>
  <c r="AB1512" i="13"/>
  <c r="AB2891" i="13"/>
  <c r="AB2529" i="13"/>
  <c r="AB1034" i="13"/>
  <c r="AB30" i="13"/>
  <c r="AB3290" i="13"/>
  <c r="AB262" i="13"/>
  <c r="AB1287" i="13"/>
  <c r="AB844" i="13"/>
  <c r="AB1137" i="13"/>
  <c r="AB2638" i="13"/>
  <c r="AB847" i="13"/>
  <c r="AB371" i="13"/>
  <c r="AB2338" i="13"/>
  <c r="AB2989" i="13"/>
  <c r="AB2721" i="13"/>
  <c r="AB3541" i="13"/>
  <c r="AB2036" i="13"/>
  <c r="AB3403" i="13"/>
  <c r="AB2956" i="13"/>
  <c r="AB1017" i="13"/>
  <c r="AB1896" i="13"/>
  <c r="AB1121" i="13"/>
  <c r="AB1514" i="13"/>
  <c r="AB3059" i="13"/>
  <c r="AB390" i="13"/>
  <c r="AB1930" i="13"/>
  <c r="AB1497" i="13"/>
  <c r="AB2480" i="13"/>
  <c r="AB3048" i="13"/>
  <c r="AB2092" i="13"/>
  <c r="AB444" i="13"/>
  <c r="AB1770" i="13"/>
  <c r="AB763" i="13"/>
  <c r="AB2557" i="13"/>
  <c r="AB1464" i="13"/>
  <c r="AB281" i="13"/>
  <c r="AB446" i="13"/>
  <c r="AB1811" i="13"/>
  <c r="AB2215" i="13"/>
  <c r="AB3526" i="13"/>
  <c r="AB679" i="13"/>
  <c r="AB539" i="13"/>
  <c r="AB2769" i="13"/>
  <c r="AB1857" i="13"/>
  <c r="AB2008" i="13"/>
  <c r="AB1459" i="13"/>
  <c r="AB1574" i="13"/>
  <c r="AB3502" i="13"/>
  <c r="AB2246" i="13"/>
  <c r="AB3014" i="13"/>
  <c r="AB800" i="13"/>
  <c r="AB303" i="13"/>
  <c r="AB3087" i="13"/>
  <c r="AB1197" i="13"/>
  <c r="AB324" i="13"/>
  <c r="AB230" i="13"/>
  <c r="AB202" i="13"/>
  <c r="AB940" i="13"/>
  <c r="AB3130" i="13"/>
  <c r="AB1547" i="13"/>
  <c r="AB2567" i="13"/>
  <c r="AB988" i="13"/>
  <c r="AB2415" i="13"/>
  <c r="AB2299" i="13"/>
  <c r="AB3512" i="13"/>
  <c r="AB1646" i="13"/>
  <c r="AB2517" i="13"/>
  <c r="AB1576" i="13"/>
  <c r="AB1075" i="13"/>
  <c r="AB860" i="13"/>
  <c r="AB81" i="13"/>
  <c r="AB1238" i="13"/>
  <c r="AB3029" i="13"/>
  <c r="AB127" i="13"/>
  <c r="AB2617" i="13"/>
  <c r="AB132" i="13"/>
  <c r="AB2133" i="13"/>
  <c r="AB1475" i="13"/>
  <c r="AB2580" i="13"/>
  <c r="AB858" i="13"/>
  <c r="AB275" i="13"/>
  <c r="AB2188" i="13"/>
  <c r="AB1264" i="13"/>
  <c r="AB1572" i="13"/>
  <c r="AB1933" i="13"/>
  <c r="AB2301" i="13"/>
  <c r="AB1146" i="13"/>
  <c r="AB1986" i="13"/>
  <c r="AB1435" i="13"/>
  <c r="AB1917" i="13"/>
  <c r="AB1754" i="13"/>
  <c r="AB3483" i="13"/>
  <c r="AB2479" i="13"/>
  <c r="AB861" i="13"/>
  <c r="AB2740" i="13"/>
  <c r="AB3015" i="13"/>
  <c r="AB1893" i="13"/>
  <c r="AB1383" i="13"/>
  <c r="AB2719" i="13"/>
  <c r="AB2447" i="13"/>
  <c r="AB2256" i="13"/>
  <c r="AB1107" i="13"/>
  <c r="AB2171" i="13"/>
  <c r="AB833" i="13"/>
  <c r="AB2744" i="13"/>
  <c r="AB85" i="13"/>
  <c r="AB1982" i="13"/>
  <c r="AB32" i="13"/>
  <c r="AB1624" i="13"/>
  <c r="AB1773" i="13"/>
  <c r="AB1272" i="13"/>
  <c r="AB2405" i="13"/>
  <c r="AB2731" i="13"/>
  <c r="AB1364" i="13"/>
  <c r="AB918" i="13"/>
  <c r="AB710" i="13"/>
  <c r="AB2176" i="13"/>
  <c r="AB3269" i="13"/>
  <c r="AB2425" i="13"/>
  <c r="AB2374" i="13"/>
  <c r="AB740" i="13"/>
  <c r="AB790" i="13"/>
  <c r="AB1502" i="13"/>
  <c r="AB413" i="13"/>
  <c r="AB2536" i="13"/>
  <c r="AB1996" i="13"/>
  <c r="AB495" i="13"/>
  <c r="AB304" i="13"/>
  <c r="AB1983" i="13"/>
  <c r="AB1096" i="13"/>
  <c r="AB3284" i="13"/>
  <c r="AB2018" i="13"/>
  <c r="AB1193" i="13"/>
  <c r="AB2108" i="13"/>
  <c r="AB1622" i="13"/>
  <c r="AB1079" i="13"/>
  <c r="AB3093" i="13"/>
  <c r="AB2178" i="13"/>
  <c r="AB724" i="13"/>
  <c r="AB3004" i="13"/>
  <c r="AB3534" i="13"/>
  <c r="AB3051" i="13"/>
  <c r="AB379" i="13"/>
  <c r="AB219" i="13"/>
  <c r="AB2696" i="13"/>
  <c r="AB3016" i="13"/>
  <c r="AB2806" i="13"/>
  <c r="AB3176" i="13"/>
  <c r="AB1831" i="13"/>
  <c r="AB2585" i="13"/>
  <c r="AB91" i="13"/>
  <c r="AB2040" i="13"/>
  <c r="AB1551" i="13"/>
  <c r="AB1455" i="13"/>
  <c r="AB1616" i="13"/>
  <c r="AB3070" i="13"/>
  <c r="AB2206" i="13"/>
  <c r="AB2281" i="13"/>
  <c r="AB1669" i="13"/>
  <c r="AB3351" i="13"/>
  <c r="AB3342" i="13"/>
  <c r="AB3311" i="13"/>
  <c r="AB297" i="13"/>
  <c r="AB2038" i="13"/>
  <c r="AB1413" i="13"/>
  <c r="AB1045" i="13"/>
  <c r="AB1575" i="13"/>
  <c r="AB1828" i="13"/>
  <c r="AB514" i="13"/>
  <c r="AB1663" i="13"/>
  <c r="AB361" i="13"/>
  <c r="AB2490" i="13"/>
  <c r="AB2466" i="13"/>
  <c r="AB2734" i="13"/>
  <c r="AB39" i="13"/>
  <c r="AB421" i="13"/>
  <c r="AB1704" i="13"/>
  <c r="AB215" i="13"/>
  <c r="AB626" i="13"/>
  <c r="AB344" i="13"/>
  <c r="AB2205" i="13"/>
  <c r="AB2825" i="13"/>
  <c r="AB2792" i="13"/>
  <c r="AB399" i="13"/>
  <c r="AB1463" i="13"/>
  <c r="AB2735" i="13"/>
  <c r="AB3031" i="13"/>
  <c r="AB3225" i="13"/>
  <c r="AB3098" i="13"/>
  <c r="AB97" i="13"/>
  <c r="AB240" i="13"/>
  <c r="AB809" i="13"/>
  <c r="AB2499" i="13"/>
  <c r="AB3448" i="13"/>
  <c r="AB1424" i="13"/>
  <c r="AB104" i="13"/>
  <c r="AB2511" i="13"/>
  <c r="AB3288" i="13"/>
  <c r="AB2326" i="13"/>
  <c r="AB1628" i="13"/>
  <c r="AB1549" i="13"/>
  <c r="AB2064" i="13"/>
  <c r="AB1323" i="13"/>
  <c r="AB1577" i="13"/>
  <c r="AB1386" i="13"/>
  <c r="AB3337" i="13"/>
  <c r="AB467" i="13"/>
  <c r="AB1731" i="13"/>
  <c r="AB1249" i="13"/>
  <c r="AB2394" i="13"/>
  <c r="AB229" i="13"/>
  <c r="AB2658" i="13"/>
  <c r="AB994" i="13"/>
  <c r="AB2464" i="13"/>
  <c r="AB1223" i="13"/>
  <c r="AB270" i="13"/>
  <c r="AB2219" i="13"/>
  <c r="AB1390" i="13"/>
  <c r="AB2488" i="13"/>
  <c r="AB2125" i="13"/>
  <c r="AB1047" i="13"/>
  <c r="AB3474" i="13"/>
  <c r="AB137" i="13"/>
  <c r="AB2817" i="13"/>
  <c r="AB1540" i="13"/>
  <c r="AB1180" i="13"/>
  <c r="AB469" i="13"/>
  <c r="AB209" i="13"/>
  <c r="AB1029" i="13"/>
  <c r="AB3330" i="13"/>
  <c r="AB2243" i="13"/>
  <c r="AB864" i="13"/>
  <c r="AA3206" i="13"/>
  <c r="AA2502" i="13"/>
  <c r="AA1408" i="13"/>
  <c r="AA1235" i="13"/>
  <c r="AA785" i="13"/>
  <c r="AA3394" i="13"/>
  <c r="AA1819" i="13"/>
  <c r="AA3383" i="13"/>
  <c r="AA3191" i="13"/>
  <c r="AA147" i="13"/>
  <c r="AA2251" i="13"/>
  <c r="AA3165" i="13"/>
  <c r="AA2842" i="13"/>
  <c r="AA2384" i="13"/>
  <c r="AA2693" i="13"/>
  <c r="AA2774" i="13"/>
  <c r="AA1529" i="13"/>
  <c r="AA1821" i="13"/>
  <c r="AA3272" i="13"/>
  <c r="AA2965" i="13"/>
  <c r="AA2213" i="13"/>
  <c r="AA205" i="13"/>
  <c r="AA634" i="13"/>
  <c r="AA1842" i="13"/>
  <c r="AA921" i="13"/>
  <c r="AA2883" i="13"/>
  <c r="AA3434" i="13"/>
  <c r="AA2070" i="13"/>
  <c r="AA1374" i="13"/>
  <c r="AA1961" i="13"/>
  <c r="AA836" i="13"/>
  <c r="AA1496" i="13"/>
  <c r="AA1154" i="13"/>
  <c r="AA3261" i="13"/>
  <c r="AA2030" i="13"/>
  <c r="AA3402" i="13"/>
  <c r="AA2069" i="13"/>
  <c r="AA1813" i="13"/>
  <c r="AA416" i="13"/>
  <c r="AA699" i="13"/>
  <c r="AA261" i="13"/>
  <c r="AA571" i="13"/>
  <c r="AA1580" i="13"/>
  <c r="AA1623" i="13"/>
  <c r="AA3382" i="13"/>
  <c r="AA1549" i="13"/>
  <c r="AA898" i="13"/>
  <c r="AA2217" i="13"/>
  <c r="AA3031" i="13"/>
  <c r="AA1068" i="13"/>
  <c r="AA337" i="13"/>
  <c r="AA2699" i="13"/>
  <c r="AA3180" i="13"/>
  <c r="AA2884" i="13"/>
  <c r="AA2429" i="13"/>
  <c r="AA1449" i="13"/>
  <c r="AA757" i="13"/>
  <c r="AA271" i="13"/>
  <c r="AA3099" i="13"/>
  <c r="AA2368" i="13"/>
  <c r="AA1320" i="13"/>
  <c r="AA587" i="13"/>
  <c r="AA2810" i="13"/>
  <c r="AA2643" i="13"/>
  <c r="AA2343" i="13"/>
  <c r="AA99" i="13"/>
  <c r="AA2523" i="13"/>
  <c r="AA555" i="13"/>
  <c r="AA3360" i="13"/>
  <c r="AA1379" i="13"/>
  <c r="AA3457" i="13"/>
  <c r="AA3327" i="13"/>
  <c r="AA1862" i="13"/>
  <c r="AA2197" i="13"/>
  <c r="AA2331" i="13"/>
  <c r="AA1922" i="13"/>
  <c r="AA1611" i="13"/>
  <c r="AA3417" i="13"/>
  <c r="AA2138" i="13"/>
  <c r="AA2798" i="13"/>
  <c r="AA172" i="13"/>
  <c r="AA511" i="13"/>
  <c r="AA1134" i="13"/>
  <c r="AA979" i="13"/>
  <c r="AA581" i="13"/>
  <c r="AA605" i="13"/>
  <c r="AA339" i="13"/>
  <c r="AA3179" i="13"/>
  <c r="AA2815" i="13"/>
  <c r="AA830" i="13"/>
  <c r="AA914" i="13"/>
  <c r="AA1024" i="13"/>
  <c r="AA3277" i="13"/>
  <c r="AA1147" i="13"/>
  <c r="AA2936" i="13"/>
  <c r="AA3260" i="13"/>
  <c r="AA1776" i="13"/>
  <c r="AA2993" i="13"/>
  <c r="AA3293" i="13"/>
  <c r="AA1179" i="13"/>
  <c r="AA1129" i="13"/>
  <c r="AA1913" i="13"/>
  <c r="AA508" i="13"/>
  <c r="AA2224" i="13"/>
  <c r="AA3535" i="13"/>
  <c r="AA323" i="13"/>
  <c r="AA2594" i="13"/>
  <c r="AA3441" i="13"/>
  <c r="AA154" i="13"/>
  <c r="AA2137" i="13"/>
  <c r="AA1823" i="13"/>
  <c r="AA2718" i="13"/>
  <c r="AA3052" i="13"/>
  <c r="AA2275" i="13"/>
  <c r="AA1654" i="13"/>
  <c r="AA1356" i="13"/>
  <c r="AA2362" i="13"/>
  <c r="AA3306" i="13"/>
  <c r="AA3398" i="13"/>
  <c r="AA417" i="13"/>
  <c r="AA3498" i="13"/>
  <c r="AA197" i="13"/>
  <c r="AA1794" i="13"/>
  <c r="AA3545" i="13"/>
  <c r="AA3134" i="13"/>
  <c r="AA2542" i="13"/>
  <c r="AA155" i="13"/>
  <c r="AA1254" i="13"/>
  <c r="AA1845" i="13"/>
  <c r="AA3188" i="13"/>
  <c r="AA1638" i="13"/>
  <c r="AA3080" i="13"/>
  <c r="AA1146" i="13"/>
  <c r="AA2668" i="13"/>
  <c r="AA1285" i="13"/>
  <c r="AA2752" i="13"/>
  <c r="AA840" i="13"/>
  <c r="AA1738" i="13"/>
  <c r="AA867" i="13"/>
  <c r="AA1900" i="13"/>
  <c r="AA2825" i="13"/>
  <c r="AA562" i="13"/>
  <c r="AA1098" i="13"/>
  <c r="AA848" i="13"/>
  <c r="AA1304" i="13"/>
  <c r="AA3141" i="13"/>
  <c r="AA2957" i="13"/>
  <c r="AA219" i="13"/>
  <c r="AA1136" i="13"/>
  <c r="AA3424" i="13"/>
  <c r="AA2509" i="13"/>
  <c r="AA2314" i="13"/>
  <c r="AA1485" i="13"/>
  <c r="AA1302" i="13"/>
  <c r="AA2527" i="13"/>
  <c r="AA682" i="13"/>
  <c r="AA1238" i="13"/>
  <c r="AA3106" i="13"/>
  <c r="AA935" i="13"/>
  <c r="AA3090" i="13"/>
  <c r="AA2712" i="13"/>
  <c r="AA2013" i="13"/>
  <c r="AA200" i="13"/>
  <c r="AA1881" i="13"/>
  <c r="AA316" i="13"/>
  <c r="AA2786" i="13"/>
  <c r="AA2486" i="13"/>
  <c r="AA2568" i="13"/>
  <c r="AA1328" i="13"/>
  <c r="AA1292" i="13"/>
  <c r="AA3035" i="13"/>
  <c r="AA387" i="13"/>
  <c r="AA620" i="13"/>
  <c r="AA1598" i="13"/>
  <c r="AA1975" i="13"/>
  <c r="AA3238" i="13"/>
  <c r="AA2742" i="13"/>
  <c r="AA1020" i="13"/>
  <c r="AA669" i="13"/>
  <c r="AA272" i="13"/>
  <c r="AA1246" i="13"/>
  <c r="AA319" i="13"/>
  <c r="AA2849" i="13"/>
  <c r="AA3063" i="13"/>
  <c r="AA470" i="13"/>
  <c r="AA1531" i="13"/>
  <c r="AA3043" i="13"/>
  <c r="AA2249" i="13"/>
  <c r="AA413" i="13"/>
  <c r="AA835" i="13"/>
  <c r="AA1266" i="13"/>
  <c r="AA2248" i="13"/>
  <c r="AA348" i="13"/>
  <c r="AA2515" i="13"/>
  <c r="AA1122" i="13"/>
  <c r="AA2079" i="13"/>
  <c r="AA2122" i="13"/>
  <c r="AA2120" i="13"/>
  <c r="AA622" i="13"/>
  <c r="AA2725" i="13"/>
  <c r="AA1911" i="13"/>
  <c r="AA1861" i="13"/>
  <c r="AA3194" i="13"/>
  <c r="AA2609" i="13"/>
  <c r="AA2745" i="13"/>
  <c r="AA3026" i="13"/>
  <c r="AA3044" i="13"/>
  <c r="AA636" i="13"/>
  <c r="AA209" i="13"/>
  <c r="AA1089" i="13"/>
  <c r="AA514" i="13"/>
  <c r="AA1612" i="13"/>
  <c r="AA1774" i="13"/>
  <c r="AA549" i="13"/>
  <c r="AA1785" i="13"/>
  <c r="AA2437" i="13"/>
  <c r="AA2537" i="13"/>
  <c r="AA3533" i="13"/>
  <c r="AA365" i="13"/>
  <c r="AA547" i="13"/>
  <c r="AA2290" i="13"/>
  <c r="AA2541" i="13"/>
  <c r="AA462" i="13"/>
  <c r="AA1728" i="13"/>
  <c r="AA3400" i="13"/>
  <c r="AA2765" i="13"/>
  <c r="AA3072" i="13"/>
  <c r="AA2850" i="13"/>
  <c r="AA210" i="13"/>
  <c r="AA2988" i="13"/>
  <c r="AA2016" i="13"/>
  <c r="AA51" i="13"/>
  <c r="AA1229" i="13"/>
  <c r="AA1811" i="13"/>
  <c r="AA244" i="13"/>
  <c r="AA3268" i="13"/>
  <c r="AA782" i="13"/>
  <c r="AA2237" i="13"/>
  <c r="AA3340" i="13"/>
  <c r="AA1294" i="13"/>
  <c r="AA3364" i="13"/>
  <c r="AA1095" i="13"/>
  <c r="AA2559" i="13"/>
  <c r="AA754" i="13"/>
  <c r="AA537" i="13"/>
  <c r="AA2769" i="13"/>
  <c r="AA668" i="13"/>
  <c r="AA2673" i="13"/>
  <c r="AA179" i="13"/>
  <c r="AA206" i="13"/>
  <c r="AA2222" i="13"/>
  <c r="AA3335" i="13"/>
  <c r="AA1632" i="13"/>
  <c r="AA2306" i="13"/>
  <c r="AA2966" i="13"/>
  <c r="AA1772" i="13"/>
  <c r="AA153" i="13"/>
  <c r="AA3519" i="13"/>
  <c r="AA3413" i="13"/>
  <c r="AA222" i="13"/>
  <c r="AA3538" i="13"/>
  <c r="AA185" i="13"/>
  <c r="AA236" i="13"/>
  <c r="AA1965" i="13"/>
  <c r="AA2228" i="13"/>
  <c r="AA1282" i="13"/>
  <c r="AA1151" i="13"/>
  <c r="AA542" i="13"/>
  <c r="AA3548" i="13"/>
  <c r="AA1701" i="13"/>
  <c r="AA939" i="13"/>
  <c r="AA507" i="13"/>
  <c r="AA2392" i="13"/>
  <c r="AA394" i="13"/>
  <c r="AA2996" i="13"/>
  <c r="AA3098" i="13"/>
  <c r="AA1990" i="13"/>
  <c r="AA3252" i="13"/>
  <c r="AA1252" i="13"/>
  <c r="AA2125" i="13"/>
  <c r="AA3470" i="13"/>
  <c r="AA2667" i="13"/>
  <c r="AA2727" i="13"/>
  <c r="AA619" i="13"/>
  <c r="AA2279" i="13"/>
  <c r="AA2666" i="13"/>
  <c r="AA1972" i="13"/>
  <c r="AA3532" i="13"/>
  <c r="AA670" i="13"/>
  <c r="AA55" i="13"/>
  <c r="AA1951" i="13"/>
  <c r="AA2296" i="13"/>
  <c r="AA291" i="13"/>
  <c r="AA2833" i="13"/>
  <c r="AA1202" i="13"/>
  <c r="AA1424" i="13"/>
  <c r="AA2943" i="13"/>
  <c r="AA1733" i="13"/>
  <c r="AA3439" i="13"/>
  <c r="AA2548" i="13"/>
  <c r="AA1498" i="13"/>
  <c r="AA2662" i="13"/>
  <c r="AA2073" i="13"/>
  <c r="AA3093" i="13"/>
  <c r="AA558" i="13"/>
  <c r="AA3524" i="13"/>
  <c r="AA1841" i="13"/>
  <c r="AA837" i="13"/>
  <c r="AA752" i="13"/>
  <c r="AA286" i="13"/>
  <c r="AA345" i="13"/>
  <c r="AA263" i="13"/>
  <c r="AA2848" i="13"/>
  <c r="AA3221" i="13"/>
  <c r="AA139" i="13"/>
  <c r="AA946" i="13"/>
  <c r="AA2123" i="13"/>
  <c r="AA2026" i="13"/>
  <c r="AA1649" i="13"/>
  <c r="AA2522" i="13"/>
  <c r="AA2015" i="13"/>
  <c r="AA2534" i="13"/>
  <c r="AA3159" i="13"/>
  <c r="AA1765" i="13"/>
  <c r="AA961" i="13"/>
  <c r="AA2790" i="13"/>
  <c r="AA1948" i="13"/>
  <c r="AA2457" i="13"/>
  <c r="AA1042" i="13"/>
  <c r="AA739" i="13"/>
  <c r="AA2454" i="13"/>
  <c r="AA2628" i="13"/>
  <c r="AA1015" i="13"/>
  <c r="AA2986" i="13"/>
  <c r="AA1680" i="13"/>
  <c r="AA1057" i="13"/>
  <c r="AA2239" i="13"/>
  <c r="AA1631" i="13"/>
  <c r="AA2403" i="13"/>
  <c r="AA2022" i="13"/>
  <c r="AA1176" i="13"/>
  <c r="AA560" i="13"/>
  <c r="AA3068" i="13"/>
  <c r="AA2657" i="13"/>
  <c r="AA2553" i="13"/>
  <c r="AA3472" i="13"/>
  <c r="AA391" i="13"/>
  <c r="AA2785" i="13"/>
  <c r="AA126" i="13"/>
  <c r="AA3344" i="13"/>
  <c r="AA908" i="13"/>
  <c r="AA428" i="13"/>
  <c r="AA79" i="13"/>
  <c r="AA731" i="13"/>
  <c r="AA799" i="13"/>
  <c r="AA2538" i="13"/>
  <c r="AA1938" i="13"/>
  <c r="AA2459" i="13"/>
  <c r="AA2415" i="13"/>
  <c r="AA151" i="13"/>
  <c r="AA1195" i="13"/>
  <c r="AA1993" i="13"/>
  <c r="AA950" i="13"/>
  <c r="AA2324" i="13"/>
  <c r="AA465" i="13"/>
  <c r="AA2593" i="13"/>
  <c r="AA427" i="13"/>
  <c r="AA2134" i="13"/>
  <c r="AA509" i="13"/>
  <c r="AA2652" i="13"/>
  <c r="AA1537" i="13"/>
  <c r="AA681" i="13"/>
  <c r="AA1201" i="13"/>
  <c r="AA770" i="13"/>
  <c r="AA63" i="13"/>
  <c r="AA1360" i="13"/>
  <c r="AA978" i="13"/>
  <c r="AA3475" i="13"/>
  <c r="AA2136" i="13"/>
  <c r="AA1298" i="13"/>
  <c r="AA1797" i="13"/>
  <c r="AA1824" i="13"/>
  <c r="AA1759" i="13"/>
  <c r="AA2075" i="13"/>
  <c r="AA2347" i="13"/>
  <c r="AA1602" i="13"/>
  <c r="AA500" i="13"/>
  <c r="AA3131" i="13"/>
  <c r="AA1193" i="13"/>
  <c r="AA2747" i="13"/>
  <c r="AA1172" i="13"/>
  <c r="AA2153" i="13"/>
  <c r="AA379" i="13"/>
  <c r="AA638" i="13"/>
  <c r="AA3279" i="13"/>
  <c r="AA779" i="13"/>
  <c r="AA1484" i="13"/>
  <c r="AA2010" i="13"/>
  <c r="AA3544" i="13"/>
  <c r="AA2781" i="13"/>
  <c r="AA1703" i="13"/>
  <c r="AA1168" i="13"/>
  <c r="AA1854" i="13"/>
  <c r="AA1413" i="13"/>
  <c r="AA1673" i="13"/>
  <c r="AA3514" i="13"/>
  <c r="AA1507" i="13"/>
  <c r="AA1428" i="13"/>
  <c r="AA2824" i="13"/>
  <c r="AA809" i="13"/>
  <c r="AA163" i="13"/>
  <c r="AA618" i="13"/>
  <c r="AA3495" i="13"/>
  <c r="AA986" i="13"/>
  <c r="AA67" i="13"/>
  <c r="AA411" i="13"/>
  <c r="AA3442" i="13"/>
  <c r="AA3397" i="13"/>
  <c r="AA1945" i="13"/>
  <c r="AA646" i="13"/>
  <c r="AA91" i="13"/>
  <c r="AA843" i="13"/>
  <c r="AA2636" i="13"/>
  <c r="AA238" i="13"/>
  <c r="AA203" i="13"/>
  <c r="AA3239" i="13"/>
  <c r="AA3450" i="13"/>
  <c r="AA2340" i="13"/>
  <c r="AA826" i="13"/>
  <c r="AA1153" i="13"/>
  <c r="AA517" i="13"/>
  <c r="AA1050" i="13"/>
  <c r="AA2902" i="13"/>
  <c r="AA2157" i="13"/>
  <c r="AA2826" i="13"/>
  <c r="AA2155" i="13"/>
  <c r="AA1693" i="13"/>
  <c r="AA1083" i="13"/>
  <c r="AA2682" i="13"/>
  <c r="AA563" i="13"/>
  <c r="AA1300" i="13"/>
  <c r="AA2226" i="13"/>
  <c r="AA2407" i="13"/>
  <c r="AA232" i="13"/>
  <c r="AA1570" i="13"/>
  <c r="AA1306" i="13"/>
  <c r="AA108" i="13"/>
  <c r="AA2481" i="13"/>
  <c r="AA2298" i="13"/>
  <c r="AA1099" i="13"/>
  <c r="AA2350" i="13"/>
  <c r="AA2185" i="13"/>
  <c r="AA1530" i="13"/>
  <c r="AA2635" i="13"/>
  <c r="AA2478" i="13"/>
  <c r="AA909" i="13"/>
  <c r="AA861" i="13"/>
  <c r="AA3464" i="13"/>
  <c r="AA2577" i="13"/>
  <c r="AA1180" i="13"/>
  <c r="AA1817" i="13"/>
  <c r="AA1079" i="13"/>
  <c r="AA2987" i="13"/>
  <c r="AA106" i="13"/>
  <c r="AA390" i="13"/>
  <c r="AA3130" i="13"/>
  <c r="AA990" i="13"/>
  <c r="AA1827" i="13"/>
  <c r="AA130" i="13"/>
  <c r="AA2442" i="13"/>
  <c r="AA1613" i="13"/>
  <c r="AA949" i="13"/>
  <c r="AA1873" i="13"/>
  <c r="AA314" i="13"/>
  <c r="AA1103" i="13"/>
  <c r="AA812" i="13"/>
  <c r="AA1281" i="13"/>
  <c r="AA3381" i="13"/>
  <c r="AA2820" i="13"/>
  <c r="AA1205" i="13"/>
  <c r="AA531" i="13"/>
  <c r="AA1850" i="13"/>
  <c r="AA53" i="13"/>
  <c r="AA468" i="13"/>
  <c r="AA905" i="13"/>
  <c r="AA2799" i="13"/>
  <c r="AA229" i="13"/>
  <c r="AA1930" i="13"/>
  <c r="AA1615" i="13"/>
  <c r="AA3502" i="13"/>
  <c r="AA2717" i="13"/>
  <c r="AA1158" i="13"/>
  <c r="AA2320" i="13"/>
  <c r="AA2354" i="13"/>
  <c r="AA1716" i="13"/>
  <c r="AA2764" i="13"/>
  <c r="AA951" i="13"/>
  <c r="AA512" i="13"/>
  <c r="AA1425" i="13"/>
  <c r="AA3341" i="13"/>
  <c r="AA3347" i="13"/>
  <c r="AA20" i="13"/>
  <c r="AA561" i="13"/>
  <c r="AA3203" i="13"/>
  <c r="AA650" i="13"/>
  <c r="AA456" i="13"/>
  <c r="AA2133" i="13"/>
  <c r="AA1999" i="13"/>
  <c r="AA732" i="13"/>
  <c r="AA2623" i="13"/>
  <c r="AA2736" i="13"/>
  <c r="AA3176" i="13"/>
  <c r="AA3371" i="13"/>
  <c r="AA3196" i="13"/>
  <c r="AA2112" i="13"/>
  <c r="AA556" i="13"/>
  <c r="AA3151" i="13"/>
  <c r="AA3209" i="13"/>
  <c r="AA1400" i="13"/>
  <c r="AA1891" i="13"/>
  <c r="AA568" i="13"/>
  <c r="AA3016" i="13"/>
  <c r="AA2865" i="13"/>
  <c r="AA2461" i="13"/>
  <c r="AA936" i="13"/>
  <c r="AA2685" i="13"/>
  <c r="AA583" i="13"/>
  <c r="AA1397" i="13"/>
  <c r="AA2607" i="13"/>
  <c r="AA442" i="13"/>
  <c r="AA489" i="13"/>
  <c r="AA928" i="13"/>
  <c r="AA880" i="13"/>
  <c r="AA3459" i="13"/>
  <c r="AA672" i="13"/>
  <c r="AA2047" i="13"/>
  <c r="AA1126" i="13"/>
  <c r="AA850" i="13"/>
  <c r="AA2238" i="13"/>
  <c r="AA996" i="13"/>
  <c r="AA2683" i="13"/>
  <c r="AA987" i="13"/>
  <c r="AA138" i="13"/>
  <c r="AA2386" i="13"/>
  <c r="AA1451" i="13"/>
  <c r="AA2914" i="13"/>
  <c r="AA1353" i="13"/>
  <c r="AA1893" i="13"/>
  <c r="AA1526" i="13"/>
  <c r="AA758" i="13"/>
  <c r="AA362" i="13"/>
  <c r="AA2293" i="13"/>
  <c r="AA1148" i="13"/>
  <c r="AA1805" i="13"/>
  <c r="AA2619" i="13"/>
  <c r="AA3522" i="13"/>
  <c r="AA2510" i="13"/>
  <c r="AA466" i="13"/>
  <c r="AA3269" i="13"/>
  <c r="AA2326" i="13"/>
  <c r="AA1073" i="13"/>
  <c r="AA566" i="13"/>
  <c r="AA3469" i="13"/>
  <c r="AA2980" i="13"/>
  <c r="AA1963" i="13"/>
  <c r="AA137" i="13"/>
  <c r="AA2603" i="13"/>
  <c r="AA1284" i="13"/>
  <c r="AA2208" i="13"/>
  <c r="AA133" i="13"/>
  <c r="AA1569" i="13"/>
  <c r="AA3105" i="13"/>
  <c r="AA2762" i="13"/>
  <c r="AA1487" i="13"/>
  <c r="AA2258" i="13"/>
  <c r="AA1433" i="13"/>
  <c r="AA3192" i="13"/>
  <c r="AA1968" i="13"/>
  <c r="AA214" i="13"/>
  <c r="AA1783" i="13"/>
  <c r="AA116" i="13"/>
  <c r="AA2344" i="13"/>
  <c r="AA2110" i="13"/>
  <c r="AA3246" i="13"/>
  <c r="AA750" i="13"/>
  <c r="AA3000" i="13"/>
  <c r="AA1234" i="13"/>
  <c r="AA1351" i="13"/>
  <c r="AA3551" i="13"/>
  <c r="AA2839" i="13"/>
  <c r="AA96" i="13"/>
  <c r="AA2170" i="13"/>
  <c r="AA2014" i="13"/>
  <c r="AA1183" i="13"/>
  <c r="AA265" i="13"/>
  <c r="AA2579" i="13"/>
  <c r="AA2128" i="13"/>
  <c r="AA373" i="13"/>
  <c r="AA1832" i="13"/>
  <c r="AA2575" i="13"/>
  <c r="AA149" i="13"/>
  <c r="AA2918" i="13"/>
  <c r="AA700" i="13"/>
  <c r="AA331" i="13"/>
  <c r="AA2141" i="13"/>
  <c r="AA701" i="13"/>
  <c r="AA2466" i="13"/>
  <c r="AA1036" i="13"/>
  <c r="AA817" i="13"/>
  <c r="AA1393" i="13"/>
  <c r="AA1277" i="13"/>
  <c r="AA969" i="13"/>
  <c r="AA2267" i="13"/>
  <c r="AA2549" i="13"/>
  <c r="AA1278" i="13"/>
  <c r="AA1973" i="13"/>
  <c r="AA2507" i="13"/>
  <c r="AA479" i="13"/>
  <c r="AA3358" i="13"/>
  <c r="AA652" i="13"/>
  <c r="AA2968" i="13"/>
  <c r="AA3471" i="13"/>
  <c r="AA603" i="13"/>
  <c r="AA735" i="13"/>
  <c r="AA1132" i="13"/>
  <c r="AA609" i="13"/>
  <c r="AA2430" i="13"/>
  <c r="AA1746" i="13"/>
  <c r="AA1550" i="13"/>
  <c r="AA3393" i="13"/>
  <c r="AA1653" i="13"/>
  <c r="AA1790" i="13"/>
  <c r="AA3418" i="13"/>
  <c r="AA1547" i="13"/>
  <c r="AA495" i="13"/>
  <c r="AA887" i="13"/>
  <c r="AA1522" i="13"/>
  <c r="AA2176" i="13"/>
  <c r="AA1541" i="13"/>
  <c r="AA131" i="13"/>
  <c r="AA478" i="13"/>
  <c r="AA1655" i="13"/>
  <c r="AA1105" i="13"/>
  <c r="AA1883" i="13"/>
  <c r="AA3228" i="13"/>
  <c r="AA1243" i="13"/>
  <c r="AA624" i="13"/>
  <c r="AA2416" i="13"/>
  <c r="AA1954" i="13"/>
  <c r="AA3249" i="13"/>
  <c r="AA2090" i="13"/>
  <c r="AA2801" i="13"/>
  <c r="AA1919" i="13"/>
  <c r="AA2336" i="13"/>
  <c r="AA1130" i="13"/>
  <c r="AA3353" i="13"/>
  <c r="AA1871" i="13"/>
  <c r="AA2472" i="13"/>
  <c r="AA1044" i="13"/>
  <c r="AA2720" i="13"/>
  <c r="AA2615" i="13"/>
  <c r="AA1708" i="13"/>
  <c r="AA755" i="13"/>
  <c r="AA1140" i="13"/>
  <c r="AA2567" i="13"/>
  <c r="AA1727" i="13"/>
  <c r="AA1466" i="13"/>
  <c r="AA158" i="13"/>
  <c r="AA1709" i="13"/>
  <c r="AA2698" i="13"/>
  <c r="AA922" i="13"/>
  <c r="AA3446" i="13"/>
  <c r="AA2931" i="13"/>
  <c r="AA2106" i="13"/>
  <c r="AA148" i="13"/>
  <c r="AA2924" i="13"/>
  <c r="AA3379" i="13"/>
  <c r="AA615" i="13"/>
  <c r="AA1696" i="13"/>
  <c r="AA2295" i="13"/>
  <c r="AA2927" i="13"/>
  <c r="AA1594" i="13"/>
  <c r="AA2020" i="13"/>
  <c r="AA1033" i="13"/>
  <c r="AA3226" i="13"/>
  <c r="AA1381" i="13"/>
  <c r="AA1902" i="13"/>
  <c r="AA45" i="13"/>
  <c r="AA2396" i="13"/>
  <c r="AA3025" i="13"/>
  <c r="AA1486" i="13"/>
  <c r="AA306" i="13"/>
  <c r="AA446" i="13"/>
  <c r="AA453" i="13"/>
  <c r="AA2051" i="13"/>
  <c r="AA1427" i="13"/>
  <c r="AA612" i="13"/>
  <c r="AA1571" i="13"/>
  <c r="AA1664" i="13"/>
  <c r="AA2518" i="13"/>
  <c r="AA3215" i="13"/>
  <c r="AA2158" i="13"/>
  <c r="AA3278" i="13"/>
  <c r="AA3501" i="13"/>
  <c r="AA1322" i="13"/>
  <c r="AA1800" i="13"/>
  <c r="AA2292" i="13"/>
  <c r="AA956" i="13"/>
  <c r="AA3509" i="13"/>
  <c r="AA966" i="13"/>
  <c r="AA1214" i="13"/>
  <c r="AA3289" i="13"/>
  <c r="AA2404" i="13"/>
  <c r="AA61" i="13"/>
  <c r="AA647" i="13"/>
  <c r="AA1735" i="13"/>
  <c r="AA1582" i="13"/>
  <c r="AA690" i="13"/>
  <c r="AA461" i="13"/>
  <c r="AA1087" i="13"/>
  <c r="AA674" i="13"/>
  <c r="AA169" i="13"/>
  <c r="AA2922" i="13"/>
  <c r="AA1731" i="13"/>
  <c r="AA3481" i="13"/>
  <c r="AA1652" i="13"/>
  <c r="AA2333" i="13"/>
  <c r="AA1995" i="13"/>
  <c r="AA1782" i="13"/>
  <c r="AA598" i="13"/>
  <c r="AA1627" i="13"/>
  <c r="AA2739" i="13"/>
  <c r="AA2571" i="13"/>
  <c r="AA2829" i="13"/>
  <c r="AA1757" i="13"/>
  <c r="AA1737" i="13"/>
  <c r="AA2671" i="13"/>
  <c r="AA334" i="13"/>
  <c r="AA2734" i="13"/>
  <c r="AA1223" i="13"/>
  <c r="AA435" i="13"/>
  <c r="AA718" i="13"/>
  <c r="AA1573" i="13"/>
  <c r="AA1446" i="13"/>
  <c r="AA1828" i="13"/>
  <c r="AA1966" i="13"/>
  <c r="AA725" i="13"/>
  <c r="AA2235" i="13"/>
  <c r="AA3362" i="13"/>
  <c r="AA3453" i="13"/>
  <c r="AA2162" i="13"/>
  <c r="AA1423" i="13"/>
  <c r="AA2229" i="13"/>
  <c r="AA69" i="13"/>
  <c r="AA1932" i="13"/>
  <c r="AA3030" i="13"/>
  <c r="AA40" i="13"/>
  <c r="AA1366" i="13"/>
  <c r="AA767" i="13"/>
  <c r="AA2363" i="13"/>
  <c r="AA2210" i="13"/>
  <c r="AA426" i="13"/>
  <c r="AA3305" i="13"/>
  <c r="AA1230" i="13"/>
  <c r="AA1503" i="13"/>
  <c r="AA1070" i="13"/>
  <c r="AA1705" i="13"/>
  <c r="AA3214" i="13"/>
  <c r="AA307" i="13"/>
  <c r="AA2205" i="13"/>
  <c r="AA2127" i="13"/>
  <c r="AA608" i="13"/>
  <c r="AA2493" i="13"/>
  <c r="AA2184" i="13"/>
  <c r="AA3122" i="13"/>
  <c r="AA2474" i="13"/>
  <c r="AA1750" i="13"/>
  <c r="AA903" i="13"/>
  <c r="AA518" i="13"/>
  <c r="AA2932" i="13"/>
  <c r="AA349" i="13"/>
  <c r="AA3274" i="13"/>
  <c r="AA3213" i="13"/>
  <c r="AA70" i="13"/>
  <c r="AA3009" i="13"/>
  <c r="AA3292" i="13"/>
  <c r="AA2426" i="13"/>
  <c r="AA2776" i="13"/>
  <c r="AA3235" i="13"/>
  <c r="AA1493" i="13"/>
  <c r="AA1767" i="13"/>
  <c r="AA2140" i="13"/>
  <c r="AA2097" i="13"/>
  <c r="AA451" i="13"/>
  <c r="AA842" i="13"/>
  <c r="AA300" i="13"/>
  <c r="AA2830" i="13"/>
  <c r="AA1480" i="13"/>
  <c r="AA527" i="13"/>
  <c r="AA2364" i="13"/>
  <c r="AA1822" i="13"/>
  <c r="AA3489" i="13"/>
  <c r="AA544" i="13"/>
  <c r="AA3433" i="13"/>
  <c r="AA3155" i="13"/>
  <c r="AA2236" i="13"/>
  <c r="AA1313" i="13"/>
  <c r="AA2944" i="13"/>
  <c r="AA1232" i="13"/>
  <c r="AA2346" i="13"/>
  <c r="AA1994" i="13"/>
  <c r="AA1222" i="13"/>
  <c r="AA2385" i="13"/>
  <c r="AA2700" i="13"/>
  <c r="AA741" i="13"/>
  <c r="AA684" i="13"/>
  <c r="AA2400" i="13"/>
  <c r="AA1111" i="13"/>
  <c r="AA1330" i="13"/>
  <c r="AA441" i="13"/>
  <c r="AA756" i="13"/>
  <c r="AA505" i="13"/>
  <c r="AA189" i="13"/>
  <c r="AA336" i="13"/>
  <c r="AA3082" i="13"/>
  <c r="AA1383" i="13"/>
  <c r="AA22" i="13"/>
  <c r="AA279" i="13"/>
  <c r="AA2654" i="13"/>
  <c r="AA293" i="13"/>
  <c r="AA212" i="13"/>
  <c r="AA1495" i="13"/>
  <c r="AA1917" i="13"/>
  <c r="AA557" i="13"/>
  <c r="AA3152" i="13"/>
  <c r="AA1482" i="13"/>
  <c r="AA931" i="13"/>
  <c r="AA2912" i="13"/>
  <c r="AA1247" i="13"/>
  <c r="AA3109" i="13"/>
  <c r="AA1885" i="13"/>
  <c r="AA3189" i="13"/>
  <c r="AA859" i="13"/>
  <c r="AA2887" i="13"/>
  <c r="AA3212" i="13"/>
  <c r="AA2915" i="13"/>
  <c r="AA2680" i="13"/>
  <c r="AA3050" i="13"/>
  <c r="AA3227" i="13"/>
  <c r="AA676" i="13"/>
  <c r="AA1055" i="13"/>
  <c r="AA2119" i="13"/>
  <c r="AA3345" i="13"/>
  <c r="AA1165" i="13"/>
  <c r="AA2961" i="13"/>
  <c r="AA1835" i="13"/>
  <c r="AA929" i="13"/>
  <c r="AA1365" i="13"/>
  <c r="AA3291" i="13"/>
  <c r="AA3440" i="13"/>
  <c r="AA3285" i="13"/>
  <c r="AA2835" i="13"/>
  <c r="AA2590" i="13"/>
  <c r="AA458" i="13"/>
  <c r="AA889" i="13"/>
  <c r="AA764" i="13"/>
  <c r="AA1897" i="13"/>
  <c r="AA1525" i="13"/>
  <c r="AA1368" i="13"/>
  <c r="AA2684" i="13"/>
  <c r="AA1579" i="13"/>
  <c r="AA1456" i="13"/>
  <c r="AA1920" i="13"/>
  <c r="AA165" i="13"/>
  <c r="AA260" i="13"/>
  <c r="AA3182" i="13"/>
  <c r="AA1597" i="13"/>
  <c r="AA1190" i="13"/>
  <c r="AA181" i="13"/>
  <c r="AA3220" i="13"/>
  <c r="AA1338" i="13"/>
  <c r="AA2597" i="13"/>
  <c r="AA73" i="13"/>
  <c r="AA2613" i="13"/>
  <c r="AA2563" i="13"/>
  <c r="AA866" i="13"/>
  <c r="AA3488" i="13"/>
  <c r="AA121" i="13"/>
  <c r="AA3081" i="13"/>
  <c r="AA503" i="13"/>
  <c r="AA2451" i="13"/>
  <c r="AA1474" i="13"/>
  <c r="AA1831" i="13"/>
  <c r="AA3367" i="13"/>
  <c r="AA2004" i="13"/>
  <c r="AA2678" i="13"/>
  <c r="AA2882" i="13"/>
  <c r="AA3077" i="13"/>
  <c r="AA2024" i="13"/>
  <c r="AA1332" i="13"/>
  <c r="AA3265" i="13"/>
  <c r="AA1395" i="13"/>
  <c r="AA3484" i="13"/>
  <c r="AA409" i="13"/>
  <c r="AA1207" i="13"/>
  <c r="AA2000" i="13"/>
  <c r="AA3145" i="13"/>
  <c r="AA2903" i="13"/>
  <c r="AA2753" i="13"/>
  <c r="AA1001" i="13"/>
  <c r="AA481" i="13"/>
  <c r="AA3263" i="13"/>
  <c r="AA3403" i="13"/>
  <c r="AA2356" i="13"/>
  <c r="AA2316" i="13"/>
  <c r="AA460" i="13"/>
  <c r="AA702" i="13"/>
  <c r="AA1596" i="13"/>
  <c r="AA1188" i="13"/>
  <c r="AA771" i="13"/>
  <c r="AA2551" i="13"/>
  <c r="AA364" i="13"/>
  <c r="AA1041" i="13"/>
  <c r="AA841" i="13"/>
  <c r="AA1643" i="13"/>
  <c r="AA1007" i="13"/>
  <c r="AA3154" i="13"/>
  <c r="AA3181" i="13"/>
  <c r="AA202" i="13"/>
  <c r="AA2524" i="13"/>
  <c r="AA911" i="13"/>
  <c r="AA3294" i="13"/>
  <c r="AA693" i="13"/>
  <c r="AA2167" i="13"/>
  <c r="AA2260" i="13"/>
  <c r="AA448" i="13"/>
  <c r="AA2250" i="13"/>
  <c r="AA2452" i="13"/>
  <c r="AA438" i="13"/>
  <c r="AA2421" i="13"/>
  <c r="AA3412" i="13"/>
  <c r="AA3485" i="13"/>
  <c r="AA2614" i="13"/>
  <c r="AA1066" i="13"/>
  <c r="AA3539" i="13"/>
  <c r="AA2583" i="13"/>
  <c r="AA1844" i="13"/>
  <c r="AA1263" i="13"/>
  <c r="AA439" i="13"/>
  <c r="AA2419" i="13"/>
  <c r="AA2871" i="13"/>
  <c r="AA910" i="13"/>
  <c r="AA1061" i="13"/>
  <c r="AA744" i="13"/>
  <c r="AA2971" i="13"/>
  <c r="AA1429" i="13"/>
  <c r="AA2860" i="13"/>
  <c r="AA948" i="13"/>
  <c r="AA3296" i="13"/>
  <c r="AA2282" i="13"/>
  <c r="AA3316" i="13"/>
  <c r="AA1675" i="13"/>
  <c r="AA1984" i="13"/>
  <c r="AA2743" i="13"/>
  <c r="AA2366" i="13"/>
  <c r="AA528" i="13"/>
  <c r="AA3286" i="13"/>
  <c r="AA434" i="13"/>
  <c r="AA629" i="13"/>
  <c r="AA1352" i="13"/>
  <c r="AA3250" i="13"/>
  <c r="AA2972" i="13"/>
  <c r="AA1347" i="13"/>
  <c r="AA2900" i="13"/>
  <c r="AA1473" i="13"/>
  <c r="AA3319" i="13"/>
  <c r="AA2491" i="13"/>
  <c r="AA1336" i="13"/>
  <c r="AA1787" i="13"/>
  <c r="AA3477" i="13"/>
  <c r="AA3387" i="13"/>
  <c r="AA683" i="13"/>
  <c r="AA2890" i="13"/>
  <c r="AA3427" i="13"/>
  <c r="AA2492" i="13"/>
  <c r="AA697" i="13"/>
  <c r="AA3015" i="13"/>
  <c r="AA891" i="13"/>
  <c r="AA3083" i="13"/>
  <c r="AA1447" i="13"/>
  <c r="AA1471" i="13"/>
  <c r="AA2206" i="13"/>
  <c r="AA168" i="13"/>
  <c r="AA1509" i="13"/>
  <c r="AA2880" i="13"/>
  <c r="AA2118" i="13"/>
  <c r="AA2600" i="13"/>
  <c r="AA2480" i="13"/>
  <c r="AA3058" i="13"/>
  <c r="AA1128" i="13"/>
  <c r="AA801" i="13"/>
  <c r="AA1206" i="13"/>
  <c r="AA436" i="13"/>
  <c r="AA2997" i="13"/>
  <c r="AA338" i="13"/>
  <c r="AA2759" i="13"/>
  <c r="AA1915" i="13"/>
  <c r="AA3138" i="13"/>
  <c r="AA118" i="13"/>
  <c r="AA2780" i="13"/>
  <c r="AA565" i="13"/>
  <c r="AA3483" i="13"/>
  <c r="AA3422" i="13"/>
  <c r="AA2231" i="13"/>
  <c r="AA241" i="13"/>
  <c r="AA31" i="13"/>
  <c r="AA763" i="13"/>
  <c r="AA1656" i="13"/>
  <c r="AA3061" i="13"/>
  <c r="AA457" i="13"/>
  <c r="AA1479" i="13"/>
  <c r="AA111" i="13"/>
  <c r="AA1097" i="13"/>
  <c r="AA824" i="13"/>
  <c r="AA284" i="13"/>
  <c r="AA1807" i="13"/>
  <c r="AA919" i="13"/>
  <c r="AA719" i="13"/>
  <c r="AA1131" i="13"/>
  <c r="AA644" i="13"/>
  <c r="AA1382" i="13"/>
  <c r="AA2877" i="13"/>
  <c r="AA281" i="13"/>
  <c r="AA1614" i="13"/>
  <c r="AA211" i="13"/>
  <c r="AA1685" i="13"/>
  <c r="AA998" i="13"/>
  <c r="AA2381" i="13"/>
  <c r="AA2186" i="13"/>
  <c r="AA1808" i="13"/>
  <c r="AA497" i="13"/>
  <c r="AA1177" i="13"/>
  <c r="AA2586" i="13"/>
  <c r="AA1003" i="13"/>
  <c r="AA3308" i="13"/>
  <c r="AA1264" i="13"/>
  <c r="AA1248" i="13"/>
  <c r="AA1402" i="13"/>
  <c r="AA166" i="13"/>
  <c r="AA3423" i="13"/>
  <c r="AA2447" i="13"/>
  <c r="AA2063" i="13"/>
  <c r="AA3060" i="13"/>
  <c r="AA273" i="13"/>
  <c r="AA2610" i="13"/>
  <c r="AA2656" i="13"/>
  <c r="AA352" i="13"/>
  <c r="AA3337" i="13"/>
  <c r="AA1463" i="13"/>
  <c r="AA2418" i="13"/>
  <c r="AA3414" i="13"/>
  <c r="AA1846" i="13"/>
  <c r="AA997" i="13"/>
  <c r="AA1814" i="13"/>
  <c r="AA2234" i="13"/>
  <c r="AA3102" i="13"/>
  <c r="AA2816" i="13"/>
  <c r="AA2431" i="13"/>
  <c r="AA2724" i="13"/>
  <c r="AA3333" i="13"/>
  <c r="AA2878" i="13"/>
  <c r="AA353" i="13"/>
  <c r="AA2373" i="13"/>
  <c r="AA1037" i="13"/>
  <c r="AA973" i="13"/>
  <c r="AA3132" i="13"/>
  <c r="AA1448" i="13"/>
  <c r="AA3010" i="13"/>
  <c r="AA2087" i="13"/>
  <c r="AA2822" i="13"/>
  <c r="AA1876" i="13"/>
  <c r="AA499" i="13"/>
  <c r="AA2066" i="13"/>
  <c r="AA667" i="13"/>
  <c r="AA2772" i="13"/>
  <c r="AA656" i="13"/>
  <c r="AA2508" i="13"/>
  <c r="AA2086" i="13"/>
  <c r="AA3534" i="13"/>
  <c r="AA3410" i="13"/>
  <c r="AA2511" i="13"/>
  <c r="AA2962" i="13"/>
  <c r="AA829" i="13"/>
  <c r="AA1445" i="13"/>
  <c r="AA1104" i="13"/>
  <c r="AA1267" i="13"/>
  <c r="AA469" i="13"/>
  <c r="AA924" i="13"/>
  <c r="AA714" i="13"/>
  <c r="AA2663" i="13"/>
  <c r="AA2341" i="13"/>
  <c r="AA2536" i="13"/>
  <c r="AA1239" i="13"/>
  <c r="AA1450" i="13"/>
  <c r="AA625" i="13"/>
  <c r="AA492" i="13"/>
  <c r="AA1736" i="13"/>
  <c r="AA522" i="13"/>
  <c r="AA3431" i="13"/>
  <c r="AA600" i="13"/>
  <c r="AA695" i="13"/>
  <c r="AA2777" i="13"/>
  <c r="AA606" i="13"/>
  <c r="AA1121" i="13"/>
  <c r="AA3430" i="13"/>
  <c r="AA813" i="13"/>
  <c r="AA1476" i="13"/>
  <c r="AA1287" i="13"/>
  <c r="AA2837" i="13"/>
  <c r="AA1898" i="13"/>
  <c r="AA2225" i="13"/>
  <c r="AA2132" i="13"/>
  <c r="AA2665" i="13"/>
  <c r="AA1889" i="13"/>
  <c r="AA580" i="13"/>
  <c r="AA722" i="13"/>
  <c r="AA2716" i="13"/>
  <c r="AA2857" i="13"/>
  <c r="AA251" i="13"/>
  <c r="AA1467" i="13"/>
  <c r="AA1770" i="13"/>
  <c r="AA2939" i="13"/>
  <c r="AA2616" i="13"/>
  <c r="AA93" i="13"/>
  <c r="AA1793" i="13"/>
  <c r="AA2291" i="13"/>
  <c r="AA1686" i="13"/>
  <c r="AA217" i="13"/>
  <c r="AA3456" i="13"/>
  <c r="AA3037" i="13"/>
  <c r="AA3057" i="13"/>
  <c r="AA1312" i="13"/>
  <c r="AA2930" i="13"/>
  <c r="AA304" i="13"/>
  <c r="AA999" i="13"/>
  <c r="AA651" i="13"/>
  <c r="AA2145" i="13"/>
  <c r="AA283" i="13"/>
  <c r="AA1981" i="13"/>
  <c r="AA2427" i="13"/>
  <c r="AA2984" i="13"/>
  <c r="AA1558" i="13"/>
  <c r="AA631" i="13"/>
  <c r="AA175" i="13"/>
  <c r="AA476" i="13"/>
  <c r="AA694" i="13"/>
  <c r="AA449" i="13"/>
  <c r="AA2561" i="13"/>
  <c r="AA1355" i="13"/>
  <c r="AA2818" i="13"/>
  <c r="AA1296" i="13"/>
  <c r="AA3086" i="13"/>
  <c r="AA1077" i="13"/>
  <c r="AA1590" i="13"/>
  <c r="AA551" i="13"/>
  <c r="AA3436" i="13"/>
  <c r="AA1983" i="13"/>
  <c r="AA1566" i="13"/>
  <c r="AA3245" i="13"/>
  <c r="AA2811" i="13"/>
  <c r="AA819" i="13"/>
  <c r="AA1914" i="13"/>
  <c r="AA2261" i="13"/>
  <c r="AA589" i="13"/>
  <c r="AA2414" i="13"/>
  <c r="AA3121" i="13"/>
  <c r="AA1090" i="13"/>
  <c r="AA60" i="13"/>
  <c r="AA1572" i="13"/>
  <c r="AA1641" i="13"/>
  <c r="AA2211" i="13"/>
  <c r="AA1764" i="13"/>
  <c r="AA1555" i="13"/>
  <c r="AA318" i="13"/>
  <c r="AA2371" i="13"/>
  <c r="AA1998" i="13"/>
  <c r="AA2566" i="13"/>
  <c r="AA2056" i="13"/>
  <c r="AA904" i="13"/>
  <c r="AA1628" i="13"/>
  <c r="AA174" i="13"/>
  <c r="AA1316" i="13"/>
  <c r="AA2361" i="13"/>
  <c r="AA2763" i="13"/>
  <c r="AA3536" i="13"/>
  <c r="AA2327" i="13"/>
  <c r="AA1399" i="13"/>
  <c r="AA2412" i="13"/>
  <c r="AA2216" i="13"/>
  <c r="AA3510" i="13"/>
  <c r="AA502" i="13"/>
  <c r="AA157" i="13"/>
  <c r="AA1435" i="13"/>
  <c r="AA661" i="13"/>
  <c r="AA1969" i="13"/>
  <c r="AA597" i="13"/>
  <c r="AA985" i="13"/>
  <c r="AA2677" i="13"/>
  <c r="AA1409" i="13"/>
  <c r="AA811" i="13"/>
  <c r="AA2488" i="13"/>
  <c r="AA1636" i="13"/>
  <c r="AA473" i="13"/>
  <c r="AA2847" i="13"/>
  <c r="AA1830" i="13"/>
  <c r="AA2139" i="13"/>
  <c r="AA292" i="13"/>
  <c r="AA2286" i="13"/>
  <c r="AA46" i="13"/>
  <c r="AA520" i="13"/>
  <c r="AA2840" i="13"/>
  <c r="AA1139" i="13"/>
  <c r="AA2263" i="13"/>
  <c r="AA2873" i="13"/>
  <c r="AA550" i="13"/>
  <c r="AA1669" i="13"/>
  <c r="AA3007" i="13"/>
  <c r="AA3284" i="13"/>
  <c r="AA1719" i="13"/>
  <c r="AA407" i="13"/>
  <c r="AA2624" i="13"/>
  <c r="AA1411" i="13"/>
  <c r="AA1317" i="13"/>
  <c r="AA957" i="13"/>
  <c r="AA1367" i="13"/>
  <c r="AA1034" i="13"/>
  <c r="AA2760" i="13"/>
  <c r="AA2532" i="13"/>
  <c r="AA3365" i="13"/>
  <c r="AA2080" i="13"/>
  <c r="AA2001" i="13"/>
  <c r="AA2975" i="13"/>
  <c r="AA2875" i="13"/>
  <c r="AA1691" i="13"/>
  <c r="AA959" i="13"/>
  <c r="AA540" i="13"/>
  <c r="AA3248" i="13"/>
  <c r="AA2547" i="13"/>
  <c r="AA2468" i="13"/>
  <c r="AA2462" i="13"/>
  <c r="AA78" i="13"/>
  <c r="AA3376" i="13"/>
  <c r="AA3218" i="13"/>
  <c r="AA1269" i="13"/>
  <c r="AA2950" i="13"/>
  <c r="AA766" i="13"/>
  <c r="AA3110" i="13"/>
  <c r="AA298" i="13"/>
  <c r="AA1962" i="13"/>
  <c r="AA2490" i="13"/>
  <c r="AA595" i="13"/>
  <c r="AA993" i="13"/>
  <c r="AA1197" i="13"/>
  <c r="AA1004" i="13"/>
  <c r="AA2007" i="13"/>
  <c r="AA3287" i="13"/>
  <c r="AA115" i="13"/>
  <c r="AA1497" i="13"/>
  <c r="AA3146" i="13"/>
  <c r="AA2471" i="13"/>
  <c r="AA579" i="13"/>
  <c r="AA749" i="13"/>
  <c r="AA2302" i="13"/>
  <c r="AA1553" i="13"/>
  <c r="AA1462" i="13"/>
  <c r="AA415" i="13"/>
  <c r="AA3526" i="13"/>
  <c r="AA213" i="13"/>
  <c r="AA2621" i="13"/>
  <c r="AA2465" i="13"/>
  <c r="AA2501" i="13"/>
  <c r="AA3264" i="13"/>
  <c r="AA1217" i="13"/>
  <c r="AA1544" i="13"/>
  <c r="AA2750" i="13"/>
  <c r="AA2793" i="13"/>
  <c r="AA2919" i="13"/>
  <c r="AA215" i="13"/>
  <c r="AA2782" i="13"/>
  <c r="AA332" i="13"/>
  <c r="AA2388" i="13"/>
  <c r="AA1297" i="13"/>
  <c r="AA1478" i="13"/>
  <c r="AA95" i="13"/>
  <c r="AA3288" i="13"/>
  <c r="AA1101" i="13"/>
  <c r="AA1436" i="13"/>
  <c r="AA1866" i="13"/>
  <c r="AA2757" i="13"/>
  <c r="AA1542" i="13"/>
  <c r="AA1608" i="13"/>
  <c r="AA48" i="13"/>
  <c r="AA784" i="13"/>
  <c r="AA2886" i="13"/>
  <c r="AA3113" i="13"/>
  <c r="AA2498" i="13"/>
  <c r="AA2318" i="13"/>
  <c r="AA1343" i="13"/>
  <c r="AA3322" i="13"/>
  <c r="AA1730" i="13"/>
  <c r="AA250" i="13"/>
  <c r="AA2938" i="13"/>
  <c r="AA2245" i="13"/>
  <c r="AA591" i="13"/>
  <c r="AA1778" i="13"/>
  <c r="AA3147" i="13"/>
  <c r="AA3150" i="13"/>
  <c r="AA1722" i="13"/>
  <c r="AA862" i="13"/>
  <c r="AA689" i="13"/>
  <c r="AA1715" i="13"/>
  <c r="AA2655" i="13"/>
  <c r="AA1419" i="13"/>
  <c r="AA3178" i="13"/>
  <c r="AA1080" i="13"/>
  <c r="AA1763" i="13"/>
  <c r="AA1908" i="13"/>
  <c r="AA3071" i="13"/>
  <c r="AA1389" i="13"/>
  <c r="AA810" i="13"/>
  <c r="AA1331" i="13"/>
  <c r="AA1157" i="13"/>
  <c r="AA485" i="13"/>
  <c r="AA274" i="13"/>
  <c r="AA3253" i="13"/>
  <c r="AA1583" i="13"/>
  <c r="AA2289" i="13"/>
  <c r="AA1135" i="13"/>
  <c r="AA128" i="13"/>
  <c r="AA981" i="13"/>
  <c r="AA1442" i="13"/>
  <c r="AA1601" i="13"/>
  <c r="AA1663" i="13"/>
  <c r="AA42" i="13"/>
  <c r="AA159" i="13"/>
  <c r="AA103" i="13"/>
  <c r="AA3525" i="13"/>
  <c r="AA101" i="13"/>
  <c r="AA2380" i="13"/>
  <c r="AA3380" i="13"/>
  <c r="AA952" i="13"/>
  <c r="AA2032" i="13"/>
  <c r="AA2089" i="13"/>
  <c r="AA3036" i="13"/>
  <c r="AA2479" i="13"/>
  <c r="AA1109" i="13"/>
  <c r="AA423" i="13"/>
  <c r="AA2784" i="13"/>
  <c r="AA2266" i="13"/>
  <c r="AA1732" i="13"/>
  <c r="AA2868" i="13"/>
  <c r="AA1311" i="13"/>
  <c r="AA2039" i="13"/>
  <c r="AA380" i="13"/>
  <c r="AA3062" i="13"/>
  <c r="AA3002" i="13"/>
  <c r="AA3405" i="13"/>
  <c r="AA1225" i="13"/>
  <c r="AA2844" i="13"/>
  <c r="AA87" i="13"/>
  <c r="AA974" i="13"/>
  <c r="AA1064" i="13"/>
  <c r="AA2113" i="13"/>
  <c r="AA3505" i="13"/>
  <c r="AA2733" i="13"/>
  <c r="AA1221" i="13"/>
  <c r="AA2695" i="13"/>
  <c r="AA414" i="13"/>
  <c r="AA1527" i="13"/>
  <c r="AA2596" i="13"/>
  <c r="AA3076" i="13"/>
  <c r="AA2378" i="13"/>
  <c r="AA927" i="13"/>
  <c r="AA3054" i="13"/>
  <c r="AA227" i="13"/>
  <c r="AA2692" i="13"/>
  <c r="AA1242" i="13"/>
  <c r="AA1853" i="13"/>
  <c r="AA3386" i="13"/>
  <c r="AA1117" i="13"/>
  <c r="AA2444" i="13"/>
  <c r="AA1523" i="13"/>
  <c r="AA2535" i="13"/>
  <c r="AA1795" i="13"/>
  <c r="AA2800" i="13"/>
  <c r="AA1236" i="13"/>
  <c r="AA1314" i="13"/>
  <c r="AA2050" i="13"/>
  <c r="AA177" i="13"/>
  <c r="AA437" i="13"/>
  <c r="AA2082" i="13"/>
  <c r="AA2194" i="13"/>
  <c r="AA1633" i="13"/>
  <c r="AA1392" i="13"/>
  <c r="AA3047" i="13"/>
  <c r="AA795" i="13"/>
  <c r="AA2399" i="13"/>
  <c r="AA885" i="13"/>
  <c r="AA3302" i="13"/>
  <c r="AA2265" i="13"/>
  <c r="AA1092" i="13"/>
  <c r="AA1335" i="13"/>
  <c r="AA2783" i="13"/>
  <c r="AA577" i="13"/>
  <c r="AA1704" i="13"/>
  <c r="AA3404" i="13"/>
  <c r="AA3328" i="13"/>
  <c r="AA1027" i="13"/>
  <c r="AA1860" i="13"/>
  <c r="AA2190" i="13"/>
  <c r="AA1175" i="13"/>
  <c r="AA3069" i="13"/>
  <c r="AA2681" i="13"/>
  <c r="AA2933" i="13"/>
  <c r="AA3087" i="13"/>
  <c r="AA1947" i="13"/>
  <c r="AA1492" i="13"/>
  <c r="AA2711" i="13"/>
  <c r="AA26" i="13"/>
  <c r="AA1695" i="13"/>
  <c r="AA350" i="13"/>
  <c r="AA340" i="13"/>
  <c r="AA1852" i="13"/>
  <c r="AA2905" i="13"/>
  <c r="AA1792" i="13"/>
  <c r="AA2889" i="13"/>
  <c r="AA3097" i="13"/>
  <c r="AA2832" i="13"/>
  <c r="AA794" i="13"/>
  <c r="AA2495" i="13"/>
  <c r="AA329" i="13"/>
  <c r="AA964" i="13"/>
  <c r="AA1477" i="13"/>
  <c r="AA575" i="13"/>
  <c r="AA3027" i="13"/>
  <c r="AA374" i="13"/>
  <c r="AA3276" i="13"/>
  <c r="AA610" i="13"/>
  <c r="AA3234" i="13"/>
  <c r="AA734" i="13"/>
  <c r="AA3311" i="13"/>
  <c r="AA2243" i="13"/>
  <c r="AA659" i="13"/>
  <c r="AA150" i="13"/>
  <c r="AA2181" i="13"/>
  <c r="AA3079" i="13"/>
  <c r="AA2193" i="13"/>
  <c r="AA1431" i="13"/>
  <c r="AA3056" i="13"/>
  <c r="AA290" i="13"/>
  <c r="AA2085" i="13"/>
  <c r="AA1102" i="13"/>
  <c r="AA2059" i="13"/>
  <c r="AA2179" i="13"/>
  <c r="AA1927" i="13"/>
  <c r="AA325" i="13"/>
  <c r="AA3160" i="13"/>
  <c r="AA1067" i="13"/>
  <c r="AA875" i="13"/>
  <c r="AA1119" i="13"/>
  <c r="AA297" i="13"/>
  <c r="AA1022" i="13"/>
  <c r="AA230" i="13"/>
  <c r="AA1390" i="13"/>
  <c r="AA2689" i="13"/>
  <c r="AA2372" i="13"/>
  <c r="AA570" i="13"/>
  <c r="AA2851" i="13"/>
  <c r="AA906" i="13"/>
  <c r="AA183" i="13"/>
  <c r="AA344" i="13"/>
  <c r="AA3033" i="13"/>
  <c r="AA3419" i="13"/>
  <c r="AA3032" i="13"/>
  <c r="AA1107" i="13"/>
  <c r="AA855" i="13"/>
  <c r="AA3368" i="13"/>
  <c r="AA3415" i="13"/>
  <c r="AA2456" i="13"/>
  <c r="AA477" i="13"/>
  <c r="AA1011" i="13"/>
  <c r="AA1816" i="13"/>
  <c r="AA1838" i="13"/>
  <c r="AA1438" i="13"/>
  <c r="AA2061" i="13"/>
  <c r="AA2531" i="13"/>
  <c r="AA913" i="13"/>
  <c r="AA1444" i="13"/>
  <c r="AA3449" i="13"/>
  <c r="AA204" i="13"/>
  <c r="AA648" i="13"/>
  <c r="AA3127" i="13"/>
  <c r="AA375" i="13"/>
  <c r="AA3515" i="13"/>
  <c r="AA917" i="13"/>
  <c r="AA1106" i="13"/>
  <c r="AA1357" i="13"/>
  <c r="AA2088" i="13"/>
  <c r="AA1645" i="13"/>
  <c r="AA728" i="13"/>
  <c r="AA743" i="13"/>
  <c r="AA486" i="13"/>
  <c r="AA1405" i="13"/>
  <c r="AA2446" i="13"/>
  <c r="AA488" i="13"/>
  <c r="AA1760" i="13"/>
  <c r="AA3125" i="13"/>
  <c r="AA2035" i="13"/>
  <c r="AA1363" i="13"/>
  <c r="AA1326" i="13"/>
  <c r="AA886" i="13"/>
  <c r="AA1009" i="13"/>
  <c r="AA2438" i="13"/>
  <c r="AA970" i="13"/>
  <c r="AA2359" i="13"/>
  <c r="AA3541" i="13"/>
  <c r="AA1610" i="13"/>
  <c r="AA2701" i="13"/>
  <c r="AA3324" i="13"/>
  <c r="AA726" i="13"/>
  <c r="AA21" i="13"/>
  <c r="AA1857" i="13"/>
  <c r="AA991" i="13"/>
  <c r="AA2458" i="13"/>
  <c r="AA1855" i="13"/>
  <c r="AA2722" i="13"/>
  <c r="AA3416" i="13"/>
  <c r="AA1457" i="13"/>
  <c r="AA355" i="13"/>
  <c r="AA2018" i="13"/>
  <c r="AA3139" i="13"/>
  <c r="AA2348" i="13"/>
  <c r="AA2116" i="13"/>
  <c r="AA621" i="13"/>
  <c r="AA188" i="13"/>
  <c r="AA1640" i="13"/>
  <c r="AA1038" i="13"/>
  <c r="AA2775" i="13"/>
  <c r="AA3001" i="13"/>
  <c r="AA1943" i="13"/>
  <c r="AA2770" i="13"/>
  <c r="AA1420" i="13"/>
  <c r="AA2626" i="13"/>
  <c r="AA196" i="13"/>
  <c r="AA1650" i="13"/>
  <c r="AA82" i="13"/>
  <c r="AA140" i="13"/>
  <c r="AA1517" i="13"/>
  <c r="AA3195" i="13"/>
  <c r="AA1589" i="13"/>
  <c r="AA1515" i="13"/>
  <c r="AA2646" i="13"/>
  <c r="AA3271" i="13"/>
  <c r="AA2618" i="13"/>
  <c r="AA1110" i="13"/>
  <c r="AA199" i="13"/>
  <c r="AA3003" i="13"/>
  <c r="AA455" i="13"/>
  <c r="AA144" i="13"/>
  <c r="AA201" i="13"/>
  <c r="AA2744" i="13"/>
  <c r="AA1687" i="13"/>
  <c r="AA3166" i="13"/>
  <c r="AA897" i="13"/>
  <c r="AA1377" i="13"/>
  <c r="AA662" i="13"/>
  <c r="AA3256" i="13"/>
  <c r="AA2506" i="13"/>
  <c r="AA1414" i="13"/>
  <c r="AA56" i="13"/>
  <c r="AA1325" i="13"/>
  <c r="AA3012" i="13"/>
  <c r="AA790" i="13"/>
  <c r="AA2620" i="13"/>
  <c r="AA3262" i="13"/>
  <c r="AA3479" i="13"/>
  <c r="AA252" i="13"/>
  <c r="AA1540" i="13"/>
  <c r="AA1072" i="13"/>
  <c r="AA2144" i="13"/>
  <c r="AA2387" i="13"/>
  <c r="AA1743" i="13"/>
  <c r="AA545" i="13"/>
  <c r="AA1084" i="13"/>
  <c r="AA2496" i="13"/>
  <c r="AA1376" i="13"/>
  <c r="AA1459" i="13"/>
  <c r="AA2285" i="13"/>
  <c r="AA1718" i="13"/>
  <c r="AA925" i="13"/>
  <c r="AA58" i="13"/>
  <c r="AA2033" i="13"/>
  <c r="AA3516" i="13"/>
  <c r="AA3140" i="13"/>
  <c r="AA1677" i="13"/>
  <c r="AA853" i="13"/>
  <c r="AA804" i="13"/>
  <c r="AA1729" i="13"/>
  <c r="AA2977" i="13"/>
  <c r="AA2218" i="13"/>
  <c r="AA529" i="13"/>
  <c r="AA1551" i="13"/>
  <c r="AA635" i="13"/>
  <c r="AA3258" i="13"/>
  <c r="AA354" i="13"/>
  <c r="AA543" i="13"/>
  <c r="AA2858" i="13"/>
  <c r="AA3476" i="13"/>
  <c r="AA2174" i="13"/>
  <c r="AA1658" i="13"/>
  <c r="AA2424" i="13"/>
  <c r="AA2804" i="13"/>
  <c r="AA2311" i="13"/>
  <c r="AA3201" i="13"/>
  <c r="AA2178" i="13"/>
  <c r="AA186" i="13"/>
  <c r="AA2183" i="13"/>
  <c r="AA2697" i="13"/>
  <c r="AA3049" i="13"/>
  <c r="AA2187" i="13"/>
  <c r="AA1081" i="13"/>
  <c r="AA3363" i="13"/>
  <c r="AA3153" i="13"/>
  <c r="AA102" i="13"/>
  <c r="AA2425" i="13"/>
  <c r="AA2895" i="13"/>
  <c r="AA496" i="13"/>
  <c r="AA1726" i="13"/>
  <c r="AA761" i="13"/>
  <c r="AA1256" i="13"/>
  <c r="AA1933" i="13"/>
  <c r="AA3024" i="13"/>
  <c r="AA2002" i="13"/>
  <c r="AA1219" i="13"/>
  <c r="AA2402" i="13"/>
  <c r="AA1588" i="13"/>
  <c r="AA2949" i="13"/>
  <c r="AA3438" i="13"/>
  <c r="AA2044" i="13"/>
  <c r="AA607" i="13"/>
  <c r="AA2814" i="13"/>
  <c r="AA482" i="13"/>
  <c r="AA88" i="13"/>
  <c r="AA309" i="13"/>
  <c r="AA30" i="13"/>
  <c r="AA3500" i="13"/>
  <c r="AA2443" i="13"/>
  <c r="AA1384" i="13"/>
  <c r="AA3531" i="13"/>
  <c r="AA2897" i="13"/>
  <c r="AA2349" i="13"/>
  <c r="AA860" i="13"/>
  <c r="AA918" i="13"/>
  <c r="AA1120" i="13"/>
  <c r="AA2995" i="13"/>
  <c r="AA1681" i="13"/>
  <c r="AA3474" i="13"/>
  <c r="AA1970" i="13"/>
  <c r="AA2323" i="13"/>
  <c r="AA1076" i="13"/>
  <c r="AA90" i="13"/>
  <c r="AA1903" i="13"/>
  <c r="AA1345" i="13"/>
  <c r="AA3280" i="13"/>
  <c r="AA2557" i="13"/>
  <c r="AA1319" i="13"/>
  <c r="AA3492" i="13"/>
  <c r="AA1150" i="13"/>
  <c r="AA2148" i="13"/>
  <c r="AA2630" i="13"/>
  <c r="AA2259" i="13"/>
  <c r="AA2998" i="13"/>
  <c r="AA3507" i="13"/>
  <c r="AA190" i="13"/>
  <c r="AA2823" i="13"/>
  <c r="AA1789" i="13"/>
  <c r="AA1859" i="13"/>
  <c r="AA1040" i="13"/>
  <c r="AA1775" i="13"/>
  <c r="AA3137" i="13"/>
  <c r="AA1826" i="13"/>
  <c r="AA3200" i="13"/>
  <c r="AA576" i="13"/>
  <c r="AA2365" i="13"/>
  <c r="AA1035" i="13"/>
  <c r="AA2409" i="13"/>
  <c r="AA822" i="13"/>
  <c r="AA1100" i="13"/>
  <c r="AA312" i="13"/>
  <c r="AA1679" i="13"/>
  <c r="AA2223" i="13"/>
  <c r="AA2512" i="13"/>
  <c r="AA2585" i="13"/>
  <c r="AA367" i="13"/>
  <c r="AA1059" i="13"/>
  <c r="AA1622" i="13"/>
  <c r="AA2467" i="13"/>
  <c r="AA1512" i="13"/>
  <c r="AA3338" i="13"/>
  <c r="AA2042" i="13"/>
  <c r="AA2735" i="13"/>
  <c r="AA696" i="13"/>
  <c r="AA3503" i="13"/>
  <c r="AA3108" i="13"/>
  <c r="AA932" i="13"/>
  <c r="AA1124" i="13"/>
  <c r="AA1901" i="13"/>
  <c r="AA2135" i="13"/>
  <c r="AA1875" i="13"/>
  <c r="AA3369" i="13"/>
  <c r="AA1896" i="13"/>
  <c r="AA2729" i="13"/>
  <c r="AA2637" i="13"/>
  <c r="AA3542" i="13"/>
  <c r="AA1490" i="13"/>
  <c r="AA2831" i="13"/>
  <c r="AA2845" i="13"/>
  <c r="AA596" i="13"/>
  <c r="AA1769" i="13"/>
  <c r="AA777" i="13"/>
  <c r="AA1116" i="13"/>
  <c r="AA1577" i="13"/>
  <c r="AA1812" i="13"/>
  <c r="AA3142" i="13"/>
  <c r="AA578" i="13"/>
  <c r="AA1488" i="13"/>
  <c r="AA1818" i="13"/>
  <c r="AA916" i="13"/>
  <c r="AA2721" i="13"/>
  <c r="AA1928" i="13"/>
  <c r="AA1213" i="13"/>
  <c r="AA3242" i="13"/>
  <c r="AA1253" i="13"/>
  <c r="AA546" i="13"/>
  <c r="AA1327" i="13"/>
  <c r="AA1856" i="13"/>
  <c r="AA1950" i="13"/>
  <c r="AA1888" i="13"/>
  <c r="AA3115" i="13"/>
  <c r="AA704" i="13"/>
  <c r="AA164" i="13"/>
  <c r="AA1260" i="13"/>
  <c r="AA1545" i="13"/>
  <c r="AA370" i="13"/>
  <c r="AA2227" i="13"/>
  <c r="AA2797" i="13"/>
  <c r="AA3351" i="13"/>
  <c r="AA3170" i="13"/>
  <c r="AA2040" i="13"/>
  <c r="AA688" i="13"/>
  <c r="AA1809" i="13"/>
  <c r="AA1181" i="13"/>
  <c r="AA664" i="13"/>
  <c r="AA1847" i="13"/>
  <c r="AA3023" i="13"/>
  <c r="AA1341" i="13"/>
  <c r="AA1879" i="13"/>
  <c r="AA3359" i="13"/>
  <c r="AA2253" i="13"/>
  <c r="AA1271" i="13"/>
  <c r="AA1936" i="13"/>
  <c r="AA2529" i="13"/>
  <c r="AA3241" i="13"/>
  <c r="AA1398" i="13"/>
  <c r="AA3550" i="13"/>
  <c r="AA958" i="13"/>
  <c r="AA1543" i="13"/>
  <c r="AA1742" i="13"/>
  <c r="AA2694" i="13"/>
  <c r="AA3053" i="13"/>
  <c r="AA1144" i="13"/>
  <c r="AA491" i="13"/>
  <c r="AA586" i="13"/>
  <c r="AA1333" i="13"/>
  <c r="AA1698" i="13"/>
  <c r="AA854" i="13"/>
  <c r="AA1216" i="13"/>
  <c r="AA1796" i="13"/>
  <c r="AA369" i="13"/>
  <c r="AA954" i="13"/>
  <c r="AA1720" i="13"/>
  <c r="AA2317" i="13"/>
  <c r="AA1755" i="13"/>
  <c r="AA2233" i="13"/>
  <c r="AA2071" i="13"/>
  <c r="AA127" i="13"/>
  <c r="AA1781" i="13"/>
  <c r="AA3348" i="13"/>
  <c r="AA513" i="13"/>
  <c r="AA992" i="13"/>
  <c r="AA1272" i="13"/>
  <c r="AA1063" i="13"/>
  <c r="AA2102" i="13"/>
  <c r="AA2464" i="13"/>
  <c r="AA960" i="13"/>
  <c r="AA400" i="13"/>
  <c r="AA582" i="13"/>
  <c r="AA977" i="13"/>
  <c r="AA572" i="13"/>
  <c r="AA525" i="13"/>
  <c r="AA3190" i="13"/>
  <c r="AA1198" i="13"/>
  <c r="AA258" i="13"/>
  <c r="AA3352" i="13"/>
  <c r="AA3202" i="13"/>
  <c r="AA1321" i="13"/>
  <c r="AA2065" i="13"/>
  <c r="AA1521" i="13"/>
  <c r="AA791" i="13"/>
  <c r="AA1455" i="13"/>
  <c r="AA856" i="13"/>
  <c r="AA41" i="13"/>
  <c r="AA1564" i="13"/>
  <c r="AA1694" i="13"/>
  <c r="AA3204" i="13"/>
  <c r="AA3219" i="13"/>
  <c r="AA3318" i="13"/>
  <c r="AA1768" i="13"/>
  <c r="AA2390" i="13"/>
  <c r="AA947" i="13"/>
  <c r="AA894" i="13"/>
  <c r="AA1208" i="13"/>
  <c r="AA59" i="13"/>
  <c r="AA2489" i="13"/>
  <c r="AA2019" i="13"/>
  <c r="AA3452" i="13"/>
  <c r="AA2379" i="13"/>
  <c r="AA3217" i="13"/>
  <c r="AA480" i="13"/>
  <c r="AA1758" i="13"/>
  <c r="AA2899" i="13"/>
  <c r="AA2560" i="13"/>
  <c r="AA2093" i="13"/>
  <c r="AA2627" i="13"/>
  <c r="AA2499" i="13"/>
  <c r="AA2519" i="13"/>
  <c r="AA677" i="13"/>
  <c r="AA762" i="13"/>
  <c r="AA1054" i="13"/>
  <c r="AA1606" i="13"/>
  <c r="AA2836" i="13"/>
  <c r="AA775" i="13"/>
  <c r="AA2269" i="13"/>
  <c r="AA2976" i="13"/>
  <c r="AA109" i="13"/>
  <c r="AA1453" i="13"/>
  <c r="AA1710" i="13"/>
  <c r="AA1258" i="13"/>
  <c r="AA120" i="13"/>
  <c r="AA382" i="13"/>
  <c r="AA1803" i="13"/>
  <c r="AA3447" i="13"/>
  <c r="AA535" i="13"/>
  <c r="AA2503" i="13"/>
  <c r="AA2771" i="13"/>
  <c r="AA2433" i="13"/>
  <c r="AA1872" i="13"/>
  <c r="AA1699" i="13"/>
  <c r="AA2704" i="13"/>
  <c r="AA1851" i="13"/>
  <c r="AA895" i="13"/>
  <c r="AA1724" i="13"/>
  <c r="AA50" i="13"/>
  <c r="AA419" i="13"/>
  <c r="AA2674" i="13"/>
  <c r="AA110" i="13"/>
  <c r="AA1849" i="13"/>
  <c r="AA288" i="13"/>
  <c r="AA242" i="13"/>
  <c r="AA510" i="13"/>
  <c r="AA3034" i="13"/>
  <c r="AA805" i="13"/>
  <c r="AA1074" i="13"/>
  <c r="AA2909" i="13"/>
  <c r="AA1834" i="13"/>
  <c r="AA2021" i="13"/>
  <c r="AA3230" i="13"/>
  <c r="AA602" i="13"/>
  <c r="AA1082" i="13"/>
  <c r="AA1926" i="13"/>
  <c r="AA2872" i="13"/>
  <c r="AA2485" i="13"/>
  <c r="AA865" i="13"/>
  <c r="AA3156" i="13"/>
  <c r="AA3396" i="13"/>
  <c r="AA1053" i="13"/>
  <c r="AA671" i="13"/>
  <c r="AA2307" i="13"/>
  <c r="AA2642" i="13"/>
  <c r="AA2751" i="13"/>
  <c r="AA24" i="13"/>
  <c r="AA1953" i="13"/>
  <c r="AA2843" i="13"/>
  <c r="AA2410" i="13"/>
  <c r="AA459" i="13"/>
  <c r="AA2761" i="13"/>
  <c r="AA3326" i="13"/>
  <c r="AA685" i="13"/>
  <c r="AA234" i="13"/>
  <c r="AA1115" i="13"/>
  <c r="AA62" i="13"/>
  <c r="AA1279" i="13"/>
  <c r="AA1595" i="13"/>
  <c r="AA136" i="13"/>
  <c r="AA3506" i="13"/>
  <c r="AA1952" i="13"/>
  <c r="AA2244" i="13"/>
  <c r="AA3075" i="13"/>
  <c r="AA322" i="13"/>
  <c r="AA2691" i="13"/>
  <c r="AA2288" i="13"/>
  <c r="AA3161" i="13"/>
  <c r="AA145" i="13"/>
  <c r="AA1836" i="13"/>
  <c r="AA3223" i="13"/>
  <c r="AA3528" i="13"/>
  <c r="AA526" i="13"/>
  <c r="AA1461" i="13"/>
  <c r="AA410" i="13"/>
  <c r="AA884" i="13"/>
  <c r="AA94" i="13"/>
  <c r="AA2067" i="13"/>
  <c r="AA195" i="13"/>
  <c r="AA2455" i="13"/>
  <c r="AA2304" i="13"/>
  <c r="AA980" i="13"/>
  <c r="AA1030" i="13"/>
  <c r="AA3463" i="13"/>
  <c r="AA2528" i="13"/>
  <c r="AA1141" i="13"/>
  <c r="AA1780" i="13"/>
  <c r="AA1987" i="13"/>
  <c r="AA472" i="13"/>
  <c r="AA2565" i="13"/>
  <c r="AA1012" i="13"/>
  <c r="AA2028" i="13"/>
  <c r="AA1762" i="13"/>
  <c r="AA317" i="13"/>
  <c r="AA976" i="13"/>
  <c r="AA2156" i="13"/>
  <c r="AA259" i="13"/>
  <c r="AA2773" i="13"/>
  <c r="AA2935" i="13"/>
  <c r="AA792" i="13"/>
  <c r="AA2834" i="13"/>
  <c r="AA422" i="13"/>
  <c r="AA3301" i="13"/>
  <c r="AA1167" i="13"/>
  <c r="AA2945" i="13"/>
  <c r="AA1960" i="13"/>
  <c r="AA3330" i="13"/>
  <c r="AA2389" i="13"/>
  <c r="AA1548" i="13"/>
  <c r="AA1676" i="13"/>
  <c r="AA1751" i="13"/>
  <c r="AA381" i="13"/>
  <c r="AA1323" i="13"/>
  <c r="AA2617" i="13"/>
  <c r="AA2864" i="13"/>
  <c r="AA1651" i="13"/>
  <c r="AA3175" i="13"/>
  <c r="AA2107" i="13"/>
  <c r="AA863" i="13"/>
  <c r="AA1508" i="13"/>
  <c r="AA1702" i="13"/>
  <c r="AA216" i="13"/>
  <c r="AA869" i="13"/>
  <c r="AA658" i="13"/>
  <c r="AA182" i="13"/>
  <c r="AA2477" i="13"/>
  <c r="AA698" i="13"/>
  <c r="AA267" i="13"/>
  <c r="AA3320" i="13"/>
  <c r="AA3465" i="13"/>
  <c r="AA3473" i="13"/>
  <c r="AA3462" i="13"/>
  <c r="AA2420" i="13"/>
  <c r="AA2432" i="13"/>
  <c r="AA383" i="13"/>
  <c r="AA3273" i="13"/>
  <c r="AA2257" i="13"/>
  <c r="AA3205" i="13"/>
  <c r="AA633" i="13"/>
  <c r="AA1308" i="13"/>
  <c r="AA1690" i="13"/>
  <c r="AA225" i="13"/>
  <c r="AA2647" i="13"/>
  <c r="AA1244" i="13"/>
  <c r="AA902" i="13"/>
  <c r="AA1407" i="13"/>
  <c r="AA1334" i="13"/>
  <c r="AA2126" i="13"/>
  <c r="AA1501" i="13"/>
  <c r="AA3092" i="13"/>
  <c r="AA798" i="13"/>
  <c r="AA878" i="13"/>
  <c r="AA3270" i="13"/>
  <c r="AA77" i="13"/>
  <c r="AA2309" i="13"/>
  <c r="AA1301" i="13"/>
  <c r="AA2526" i="13"/>
  <c r="AA793" i="13"/>
  <c r="AA1113" i="13"/>
  <c r="AA2669" i="13"/>
  <c r="AA2768" i="13"/>
  <c r="AA430" i="13"/>
  <c r="AA778" i="13"/>
  <c r="AA1401" i="13"/>
  <c r="AA266" i="13"/>
  <c r="AA640" i="13"/>
  <c r="AA134" i="13"/>
  <c r="AA3254" i="13"/>
  <c r="AA2737" i="13"/>
  <c r="AA3496" i="13"/>
  <c r="AA1209" i="13"/>
  <c r="AA389" i="13"/>
  <c r="AA275" i="13"/>
  <c r="AA1171" i="13"/>
  <c r="AA2104" i="13"/>
  <c r="AA2991" i="13"/>
  <c r="AA1388" i="13"/>
  <c r="AA617" i="13"/>
  <c r="AA3295" i="13"/>
  <c r="AA1432" i="13"/>
  <c r="AA2487" i="13"/>
  <c r="AA3074" i="13"/>
  <c r="AA2305" i="13"/>
  <c r="AA3136" i="13"/>
  <c r="AA1585" i="13"/>
  <c r="AA368" i="13"/>
  <c r="AA156" i="13"/>
  <c r="AA92" i="13"/>
  <c r="AA1957" i="13"/>
  <c r="AA717" i="13"/>
  <c r="AA2096" i="13"/>
  <c r="AA2612" i="13"/>
  <c r="AA1714" i="13"/>
  <c r="AA1145" i="13"/>
  <c r="AA1460" i="13"/>
  <c r="AA3266" i="13"/>
  <c r="AA2778" i="13"/>
  <c r="AA1310" i="13"/>
  <c r="AA541" i="13"/>
  <c r="AA498" i="13"/>
  <c r="AA1422" i="13"/>
  <c r="AA2963" i="13"/>
  <c r="AA194" i="13"/>
  <c r="AA1660" i="13"/>
  <c r="AA1820" i="13"/>
  <c r="AA1018" i="13"/>
  <c r="AA2111" i="13"/>
  <c r="AA655" i="13"/>
  <c r="AA2969" i="13"/>
  <c r="AA2355" i="13"/>
  <c r="AA3168" i="13"/>
  <c r="AA1662" i="13"/>
  <c r="AA907" i="13"/>
  <c r="AA1006" i="13"/>
  <c r="AA769" i="13"/>
  <c r="AA3164" i="13"/>
  <c r="AA2741" i="13"/>
  <c r="AA599" i="13"/>
  <c r="AA3377" i="13"/>
  <c r="AA3281" i="13"/>
  <c r="AA1025" i="13"/>
  <c r="AA3356" i="13"/>
  <c r="AA943" i="13"/>
  <c r="AA2951" i="13"/>
  <c r="AA2592" i="13"/>
  <c r="AA171" i="13"/>
  <c r="AA1358" i="13"/>
  <c r="AA815" i="13"/>
  <c r="AA2482" i="13"/>
  <c r="AA1046" i="13"/>
  <c r="AA2199" i="13"/>
  <c r="AA2958" i="13"/>
  <c r="AA1014" i="13"/>
  <c r="AA3210" i="13"/>
  <c r="AA611" i="13"/>
  <c r="AA2147" i="13"/>
  <c r="AA2758" i="13"/>
  <c r="AA1344" i="13"/>
  <c r="AA2423" i="13"/>
  <c r="AA264" i="13"/>
  <c r="AA760" i="13"/>
  <c r="AA3504" i="13"/>
  <c r="AA1929" i="13"/>
  <c r="AA1164" i="13"/>
  <c r="AA637" i="13"/>
  <c r="AA857" i="13"/>
  <c r="AA143" i="13"/>
  <c r="AA533" i="13"/>
  <c r="AA3478" i="13"/>
  <c r="AA2738" i="13"/>
  <c r="AA2101" i="13"/>
  <c r="AA1415" i="13"/>
  <c r="AA1091" i="13"/>
  <c r="AA420" i="13"/>
  <c r="AA2276" i="13"/>
  <c r="AA341" i="13"/>
  <c r="AA3126" i="13"/>
  <c r="AA97" i="13"/>
  <c r="AA803" i="13"/>
  <c r="AA178" i="13"/>
  <c r="AA3064" i="13"/>
  <c r="AA152" i="13"/>
  <c r="AA564" i="13"/>
  <c r="AA1032" i="13"/>
  <c r="AA302" i="13"/>
  <c r="AA3425" i="13"/>
  <c r="AA2638" i="13"/>
  <c r="AA2767" i="13"/>
  <c r="AA2901" i="13"/>
  <c r="AA1369" i="13"/>
  <c r="AA2369" i="13"/>
  <c r="AA2867" i="13"/>
  <c r="AA474" i="13"/>
  <c r="AA3091" i="13"/>
  <c r="AA1182" i="13"/>
  <c r="AA3300" i="13"/>
  <c r="AA1211" i="13"/>
  <c r="AA160" i="13"/>
  <c r="AA1265" i="13"/>
  <c r="AA3513" i="13"/>
  <c r="AA1303" i="13"/>
  <c r="AA2937" i="13"/>
  <c r="AA1672" i="13"/>
  <c r="AA708" i="13"/>
  <c r="AA1546" i="13"/>
  <c r="AA2058" i="13"/>
  <c r="AA3244" i="13"/>
  <c r="AA1741" i="13"/>
  <c r="AA2605" i="13"/>
  <c r="AA363" i="13"/>
  <c r="AA868" i="13"/>
  <c r="AA1156" i="13"/>
  <c r="AA3317" i="13"/>
  <c r="AA1578" i="13"/>
  <c r="AA294" i="13"/>
  <c r="AA405" i="13"/>
  <c r="AA1756" i="13"/>
  <c r="AA584" i="13"/>
  <c r="AA278" i="13"/>
  <c r="AA2540" i="13"/>
  <c r="AA838" i="13"/>
  <c r="AA277" i="13"/>
  <c r="AA3229" i="13"/>
  <c r="AA663" i="13"/>
  <c r="AA1713" i="13"/>
  <c r="AA1734" i="13"/>
  <c r="AA2219" i="13"/>
  <c r="AA552" i="13"/>
  <c r="AA3309" i="13"/>
  <c r="AA833" i="13"/>
  <c r="AA3059" i="13"/>
  <c r="AA1843" i="13"/>
  <c r="AA1868" i="13"/>
  <c r="AA2746" i="13"/>
  <c r="AA2271" i="13"/>
  <c r="AA703" i="13"/>
  <c r="AA2926" i="13"/>
  <c r="AA1773" i="13"/>
  <c r="AA3104" i="13"/>
  <c r="AA2779" i="13"/>
  <c r="AA64" i="13"/>
  <c r="AA967" i="13"/>
  <c r="AA2072" i="13"/>
  <c r="AA2083" i="13"/>
  <c r="AA2670" i="13"/>
  <c r="AA1178" i="13"/>
  <c r="AA1161" i="13"/>
  <c r="AA1605" i="13"/>
  <c r="AA282" i="13"/>
  <c r="AA988" i="13"/>
  <c r="AA729" i="13"/>
  <c r="AA2505" i="13"/>
  <c r="AA1470" i="13"/>
  <c r="AA327" i="13"/>
  <c r="AA2554" i="13"/>
  <c r="AA23" i="13"/>
  <c r="AA113" i="13"/>
  <c r="AA2545" i="13"/>
  <c r="AA3232" i="13"/>
  <c r="AA737" i="13"/>
  <c r="AA2171" i="13"/>
  <c r="AA3374" i="13"/>
  <c r="AA768" i="13"/>
  <c r="AA2934" i="13"/>
  <c r="AA1010" i="13"/>
  <c r="AA191" i="13"/>
  <c r="AA3101" i="13"/>
  <c r="AA1554" i="13"/>
  <c r="AA81" i="13"/>
  <c r="AA2297" i="13"/>
  <c r="AA2992" i="13"/>
  <c r="AA2209" i="13"/>
  <c r="AA825" i="13"/>
  <c r="AA1342" i="13"/>
  <c r="AA1464" i="13"/>
  <c r="AA386" i="13"/>
  <c r="AA2719" i="13"/>
  <c r="AA1048" i="13"/>
  <c r="AA2942" i="13"/>
  <c r="AA2964" i="13"/>
  <c r="AA3267" i="13"/>
  <c r="AA923" i="13"/>
  <c r="AA2514" i="13"/>
  <c r="AA3051" i="13"/>
  <c r="AA2330" i="13"/>
  <c r="AA454" i="13"/>
  <c r="AA2973" i="13"/>
  <c r="AA1740" i="13"/>
  <c r="AA1274" i="13"/>
  <c r="AA1586" i="13"/>
  <c r="AA378" i="13"/>
  <c r="AA3508" i="13"/>
  <c r="AA2929" i="13"/>
  <c r="AA2539" i="13"/>
  <c r="AA3275" i="13"/>
  <c r="AA1661" i="13"/>
  <c r="AA1416" i="13"/>
  <c r="AA2434" i="13"/>
  <c r="AA2967" i="13"/>
  <c r="AA1574" i="13"/>
  <c r="AA1916" i="13"/>
  <c r="AA207" i="13"/>
  <c r="AA1887" i="13"/>
  <c r="AA847" i="13"/>
  <c r="AA1494" i="13"/>
  <c r="AA1557" i="13"/>
  <c r="AA3236" i="13"/>
  <c r="AA248" i="13"/>
  <c r="AA1468" i="13"/>
  <c r="AA2794" i="13"/>
  <c r="AA129" i="13"/>
  <c r="AA3237" i="13"/>
  <c r="AA2853" i="13"/>
  <c r="AA3225" i="13"/>
  <c r="AA2533" i="13"/>
  <c r="AA665" i="13"/>
  <c r="AA3549" i="13"/>
  <c r="AA2706" i="13"/>
  <c r="AA953" i="13"/>
  <c r="AA1620" i="13"/>
  <c r="AA2576" i="13"/>
  <c r="AA2595" i="13"/>
  <c r="AA3008" i="13"/>
  <c r="AA3385" i="13"/>
  <c r="AA1062" i="13"/>
  <c r="AA1283" i="13"/>
  <c r="AA2953" i="13"/>
  <c r="AA2398" i="13"/>
  <c r="AA3065" i="13"/>
  <c r="AA2413" i="13"/>
  <c r="AA3552" i="13"/>
  <c r="AA2270" i="13"/>
  <c r="AA2696" i="13"/>
  <c r="AA2329" i="13"/>
  <c r="AA3411" i="13"/>
  <c r="AA1648" i="13"/>
  <c r="AA1593" i="13"/>
  <c r="AA443" i="13"/>
  <c r="AA1210" i="13"/>
  <c r="AA604" i="13"/>
  <c r="AA1971" i="13"/>
  <c r="AA3042" i="13"/>
  <c r="AA2394" i="13"/>
  <c r="AA2052" i="13"/>
  <c r="AA1387" i="13"/>
  <c r="AA3172" i="13"/>
  <c r="AA3313" i="13"/>
  <c r="AA1212" i="13"/>
  <c r="AA1437" i="13"/>
  <c r="AA709" i="13"/>
  <c r="AA2204" i="13"/>
  <c r="AA2730" i="13"/>
  <c r="AA3443" i="13"/>
  <c r="AA366" i="13"/>
  <c r="AA2212" i="13"/>
  <c r="AA2252" i="13"/>
  <c r="AA1215" i="13"/>
  <c r="AA1204" i="13"/>
  <c r="AA1410" i="13"/>
  <c r="AA1506" i="13"/>
  <c r="AA2956" i="13"/>
  <c r="AA1499" i="13"/>
  <c r="AA789" i="13"/>
  <c r="AA933" i="13"/>
  <c r="AA2709" i="13"/>
  <c r="AA2913" i="13"/>
  <c r="AA2273" i="13"/>
  <c r="AA1678" i="13"/>
  <c r="AA2367" i="13"/>
  <c r="AA632" i="13"/>
  <c r="AA720" i="13"/>
  <c r="AA2060" i="13"/>
  <c r="AA2448" i="13"/>
  <c r="AA3290" i="13"/>
  <c r="AA3199" i="13"/>
  <c r="AA333" i="13"/>
  <c r="AA247" i="13"/>
  <c r="AA2149" i="13"/>
  <c r="AA1426" i="13"/>
  <c r="AA313" i="13"/>
  <c r="AA687" i="13"/>
  <c r="AA2985" i="13"/>
  <c r="AA1958" i="13"/>
  <c r="AA1707" i="13"/>
  <c r="AA567" i="13"/>
  <c r="AA257" i="13"/>
  <c r="AA1967" i="13"/>
  <c r="AA1315" i="13"/>
  <c r="AA1112" i="13"/>
  <c r="AA1309" i="13"/>
  <c r="AA393" i="13"/>
  <c r="AA516" i="13"/>
  <c r="AA675" i="13"/>
  <c r="AA707" i="13"/>
  <c r="AA2353" i="13"/>
  <c r="AA2460" i="13"/>
  <c r="AA3323" i="13"/>
  <c r="AA2008" i="13"/>
  <c r="AA548" i="13"/>
  <c r="AA3216" i="13"/>
  <c r="AA2813" i="13"/>
  <c r="AA29" i="13"/>
  <c r="AA2910" i="13"/>
  <c r="AA879" i="13"/>
  <c r="AA324" i="13"/>
  <c r="AA2103" i="13"/>
  <c r="AA1670" i="13"/>
  <c r="AA494" i="13"/>
  <c r="AA2382" i="13"/>
  <c r="AA1491" i="13"/>
  <c r="AA25" i="13"/>
  <c r="AA66" i="13"/>
  <c r="AA1870" i="13"/>
  <c r="AA3186" i="13"/>
  <c r="AA198" i="13"/>
  <c r="AA3073" i="13"/>
  <c r="AA724" i="13"/>
  <c r="AA269" i="13"/>
  <c r="AA1575" i="13"/>
  <c r="AA2240" i="13"/>
  <c r="AA2827" i="13"/>
  <c r="AA2497" i="13"/>
  <c r="AA532" i="13"/>
  <c r="AA3184" i="13"/>
  <c r="AA2904" i="13"/>
  <c r="AA519" i="13"/>
  <c r="AA2633" i="13"/>
  <c r="AA2611" i="13"/>
  <c r="AA816" i="13"/>
  <c r="AA1125" i="13"/>
  <c r="AA1877" i="13"/>
  <c r="AA3066" i="13"/>
  <c r="AA1624" i="13"/>
  <c r="AA945" i="13"/>
  <c r="AA736" i="13"/>
  <c r="AA1058" i="13"/>
  <c r="AA3117" i="13"/>
  <c r="AA2731" i="13"/>
  <c r="AA972" i="13"/>
  <c r="AA1439" i="13"/>
  <c r="AA1337" i="13"/>
  <c r="AA3325" i="13"/>
  <c r="AA218" i="13"/>
  <c r="AA2634" i="13"/>
  <c r="AA1725" i="13"/>
  <c r="AA3339" i="13"/>
  <c r="AA1218" i="13"/>
  <c r="AA2599" i="13"/>
  <c r="AA930" i="13"/>
  <c r="AA1142" i="13"/>
  <c r="AA1581" i="13"/>
  <c r="AA295" i="13"/>
  <c r="AA3257" i="13"/>
  <c r="AA590" i="13"/>
  <c r="AA2287" i="13"/>
  <c r="AA2928" i="13"/>
  <c r="AA787" i="13"/>
  <c r="AA3390" i="13"/>
  <c r="AA2641" i="13"/>
  <c r="AA2074" i="13"/>
  <c r="AA772" i="13"/>
  <c r="AA2152" i="13"/>
  <c r="AA2879" i="13"/>
  <c r="AA1255" i="13"/>
  <c r="AA80" i="13"/>
  <c r="AA781" i="13"/>
  <c r="AA3392" i="13"/>
  <c r="AA645" i="13"/>
  <c r="AA2494" i="13"/>
  <c r="AA614" i="13"/>
  <c r="AA47" i="13"/>
  <c r="AA2728" i="13"/>
  <c r="AA800" i="13"/>
  <c r="AA2281" i="13"/>
  <c r="AA2911" i="13"/>
  <c r="AA72" i="13"/>
  <c r="AA1096" i="13"/>
  <c r="AA1666" i="13"/>
  <c r="AA2650" i="13"/>
  <c r="AA356" i="13"/>
  <c r="AA3346" i="13"/>
  <c r="AA3231" i="13"/>
  <c r="AA483" i="13"/>
  <c r="AA1576" i="13"/>
  <c r="AA2300" i="13"/>
  <c r="AA920" i="13"/>
  <c r="AA287" i="13"/>
  <c r="AA2159" i="13"/>
  <c r="AA2064" i="13"/>
  <c r="AA2802" i="13"/>
  <c r="AA2062" i="13"/>
  <c r="AA2672" i="13"/>
  <c r="AA1560" i="13"/>
  <c r="AA1346" i="13"/>
  <c r="AA1839" i="13"/>
  <c r="AA1280" i="13"/>
  <c r="AA3547" i="13"/>
  <c r="AA3332" i="13"/>
  <c r="AA2732" i="13"/>
  <c r="AA1552" i="13"/>
  <c r="AA2817" i="13"/>
  <c r="AA876" i="13"/>
  <c r="AA3114" i="13"/>
  <c r="AA1642" i="13"/>
  <c r="AA2876" i="13"/>
  <c r="AA119" i="13"/>
  <c r="AA723" i="13"/>
  <c r="AA3408" i="13"/>
  <c r="AA311" i="13"/>
  <c r="AA285" i="13"/>
  <c r="AA493" i="13"/>
  <c r="AA1717" i="13"/>
  <c r="AA1017" i="13"/>
  <c r="AA831" i="13"/>
  <c r="AA2483" i="13"/>
  <c r="AA1539" i="13"/>
  <c r="AA401" i="13"/>
  <c r="AA3493" i="13"/>
  <c r="AA2006" i="13"/>
  <c r="AA2441" i="13"/>
  <c r="AA1944" i="13"/>
  <c r="AA1591" i="13"/>
  <c r="AA246" i="13"/>
  <c r="AA2974" i="13"/>
  <c r="AA2308" i="13"/>
  <c r="AA896" i="13"/>
  <c r="AA3022" i="13"/>
  <c r="AA2312" i="13"/>
  <c r="AA2256" i="13"/>
  <c r="AA692" i="13"/>
  <c r="AA944" i="13"/>
  <c r="AA1600" i="13"/>
  <c r="AA2796" i="13"/>
  <c r="AA3163" i="13"/>
  <c r="AA1626" i="13"/>
  <c r="AA3198" i="13"/>
  <c r="AA2580" i="13"/>
  <c r="AA208" i="13"/>
  <c r="AA2530" i="13"/>
  <c r="AA3011" i="13"/>
  <c r="AA2896" i="13"/>
  <c r="AA2582" i="13"/>
  <c r="AA1906" i="13"/>
  <c r="AA1528" i="13"/>
  <c r="AA305" i="13"/>
  <c r="AA372" i="13"/>
  <c r="AA1867" i="13"/>
  <c r="AA1700" i="13"/>
  <c r="AA3455" i="13"/>
  <c r="AA173" i="13"/>
  <c r="AA2129" i="13"/>
  <c r="AA955" i="13"/>
  <c r="AA1532" i="13"/>
  <c r="AA3321" i="13"/>
  <c r="AA2690" i="13"/>
  <c r="AA351" i="13"/>
  <c r="AA1997" i="13"/>
  <c r="AA2821" i="13"/>
  <c r="AA3350" i="13"/>
  <c r="AA3211" i="13"/>
  <c r="AA280" i="13"/>
  <c r="AA1396" i="13"/>
  <c r="AA1318" i="13"/>
  <c r="AA893" i="13"/>
  <c r="AA1955" i="13"/>
  <c r="AA74" i="13"/>
  <c r="AA408" i="13"/>
  <c r="AA730" i="13"/>
  <c r="AA2377" i="13"/>
  <c r="AA1665" i="13"/>
  <c r="AA2841" i="13"/>
  <c r="AA3466" i="13"/>
  <c r="AA1942" i="13"/>
  <c r="AA2328" i="13"/>
  <c r="AA3297" i="13"/>
  <c r="AA915" i="13"/>
  <c r="AA471" i="13"/>
  <c r="AA2749" i="13"/>
  <c r="AA1412" i="13"/>
  <c r="AA2166" i="13"/>
  <c r="AA2232" i="13"/>
  <c r="AA3085" i="13"/>
  <c r="AA3520" i="13"/>
  <c r="AA501" i="13"/>
  <c r="AA3193" i="13"/>
  <c r="AA2564" i="13"/>
  <c r="AA2195" i="13"/>
  <c r="AA475" i="13"/>
  <c r="AA2578" i="13"/>
  <c r="AA2803" i="13"/>
  <c r="AA2164" i="13"/>
  <c r="AA2517" i="13"/>
  <c r="AA1925" i="13"/>
  <c r="AA3017" i="13"/>
  <c r="AA112" i="13"/>
  <c r="AA399" i="13"/>
  <c r="AA2989" i="13"/>
  <c r="AA71" i="13"/>
  <c r="AA1863" i="13"/>
  <c r="AA1465" i="13"/>
  <c r="AA3388" i="13"/>
  <c r="AA2925" i="13"/>
  <c r="AA1404" i="13"/>
  <c r="AA1682" i="13"/>
  <c r="AA962" i="13"/>
  <c r="AA1644" i="13"/>
  <c r="AA2574" i="13"/>
  <c r="AA89" i="13"/>
  <c r="AA1350" i="13"/>
  <c r="AA3546" i="13"/>
  <c r="AA1964" i="13"/>
  <c r="AA114" i="13"/>
  <c r="AA1786" i="13"/>
  <c r="AA1974" i="13"/>
  <c r="AA3486" i="13"/>
  <c r="AA1257" i="13"/>
  <c r="AA2360" i="13"/>
  <c r="AA3366" i="13"/>
  <c r="AA270" i="13"/>
  <c r="AA1667" i="13"/>
  <c r="AA2154" i="13"/>
  <c r="AA3432" i="13"/>
  <c r="AA839" i="13"/>
  <c r="AA2411" i="13"/>
  <c r="AA2406" i="13"/>
  <c r="AA2898" i="13"/>
  <c r="AA3409" i="13"/>
  <c r="AA19" i="13"/>
  <c r="AA1978" i="13"/>
  <c r="AA888" i="13"/>
  <c r="AA3197" i="13"/>
  <c r="AA680" i="13"/>
  <c r="AA2960" i="13"/>
  <c r="AA3169" i="13"/>
  <c r="AA616" i="13"/>
  <c r="AA3487" i="13"/>
  <c r="AA1138" i="13"/>
  <c r="AA1273" i="13"/>
  <c r="AA881" i="13"/>
  <c r="AA2866" i="13"/>
  <c r="AA2046" i="13"/>
  <c r="AA2280" i="13"/>
  <c r="AA3407" i="13"/>
  <c r="AA673" i="13"/>
  <c r="AA2310" i="13"/>
  <c r="AA2215" i="13"/>
  <c r="AA39" i="13"/>
  <c r="AA1894" i="13"/>
  <c r="AA3307" i="13"/>
  <c r="AA221" i="13"/>
  <c r="AA3171" i="13"/>
  <c r="AA873" i="13"/>
  <c r="AA942" i="13"/>
  <c r="AA1349" i="13"/>
  <c r="AA83" i="13"/>
  <c r="AA463" i="13"/>
  <c r="AA3112" i="13"/>
  <c r="AA2809" i="13"/>
  <c r="AA1518" i="13"/>
  <c r="AA2278" i="13"/>
  <c r="AA376" i="13"/>
  <c r="AA3124" i="13"/>
  <c r="AA2601" i="13"/>
  <c r="AA559" i="13"/>
  <c r="AA2043" i="13"/>
  <c r="AA2645" i="13"/>
  <c r="AA403" i="13"/>
  <c r="AA1692" i="13"/>
  <c r="AA2092" i="13"/>
  <c r="AA3511" i="13"/>
  <c r="AA249" i="13"/>
  <c r="AA832" i="13"/>
  <c r="AA2570" i="13"/>
  <c r="AA52" i="13"/>
  <c r="AA524" i="13"/>
  <c r="AA660" i="13"/>
  <c r="AA170" i="13"/>
  <c r="AA3183" i="13"/>
  <c r="AA2254" i="13"/>
  <c r="AA628" i="13"/>
  <c r="AA2321" i="13"/>
  <c r="AA1753" i="13"/>
  <c r="AA740" i="13"/>
  <c r="AA3448" i="13"/>
  <c r="AA2640" i="13"/>
  <c r="AA1617" i="13"/>
  <c r="AA2182" i="13"/>
  <c r="AA360" i="13"/>
  <c r="AA1514" i="13"/>
  <c r="AA98" i="13"/>
  <c r="AA3389" i="13"/>
  <c r="AA1152" i="13"/>
  <c r="AA1905" i="13"/>
  <c r="AA2795" i="13"/>
  <c r="AA1203" i="13"/>
  <c r="AA1375" i="13"/>
  <c r="AA2916" i="13"/>
  <c r="AA2146" i="13"/>
  <c r="AA938" i="13"/>
  <c r="AA308" i="13"/>
  <c r="AA2955" i="13"/>
  <c r="AA1744" i="13"/>
  <c r="AA226" i="13"/>
  <c r="AA2940" i="13"/>
  <c r="AA534" i="13"/>
  <c r="AA539" i="13"/>
  <c r="AA2045" i="13"/>
  <c r="AA2339" i="13"/>
  <c r="AA814" i="13"/>
  <c r="AA220" i="13"/>
  <c r="AA2754" i="13"/>
  <c r="AA1711" i="13"/>
  <c r="AA2168" i="13"/>
  <c r="AA1364" i="13"/>
  <c r="AA3089" i="13"/>
  <c r="AA1270" i="13"/>
  <c r="AA107" i="13"/>
  <c r="AA3421" i="13"/>
  <c r="AA2954" i="13"/>
  <c r="AA745" i="13"/>
  <c r="AA2658" i="13"/>
  <c r="AA237" i="13"/>
  <c r="AA759" i="13"/>
  <c r="AA2370" i="13"/>
  <c r="AA984" i="13"/>
  <c r="AA1454" i="13"/>
  <c r="AA1777" i="13"/>
  <c r="AA2885" i="13"/>
  <c r="AA57" i="13"/>
  <c r="AA706" i="13"/>
  <c r="AA808" i="13"/>
  <c r="AA642" i="13"/>
  <c r="AA1418" i="13"/>
  <c r="AA254" i="13"/>
  <c r="AA2077" i="13"/>
  <c r="AA444" i="13"/>
  <c r="AA1639" i="13"/>
  <c r="AA1233" i="13"/>
  <c r="AA3406" i="13"/>
  <c r="AA3523" i="13"/>
  <c r="AA3494" i="13"/>
  <c r="AA2948" i="13"/>
  <c r="AA780" i="13"/>
  <c r="AA1250" i="13"/>
  <c r="AA2335" i="13"/>
  <c r="AA2214" i="13"/>
  <c r="AA1536" i="13"/>
  <c r="AA3148" i="13"/>
  <c r="AA2023" i="13"/>
  <c r="AA2572" i="13"/>
  <c r="AA1567" i="13"/>
  <c r="AA2202" i="13"/>
  <c r="AA1683" i="13"/>
  <c r="AA3128" i="13"/>
  <c r="AA1869" i="13"/>
  <c r="AA1659" i="13"/>
  <c r="AA3088" i="13"/>
  <c r="AA2076" i="13"/>
  <c r="AA890" i="13"/>
  <c r="AA2791" i="13"/>
  <c r="AA2337" i="13"/>
  <c r="AA983" i="13"/>
  <c r="AA753" i="13"/>
  <c r="AA303" i="13"/>
  <c r="AA3521" i="13"/>
  <c r="AA397" i="13"/>
  <c r="AA33" i="13"/>
  <c r="AA392" i="13"/>
  <c r="AA3013" i="13"/>
  <c r="AA2715" i="13"/>
  <c r="AA3378" i="13"/>
  <c r="AA3039" i="13"/>
  <c r="AA1169" i="13"/>
  <c r="AA1174" i="13"/>
  <c r="AA2894" i="13"/>
  <c r="AA2011" i="13"/>
  <c r="AA1524" i="13"/>
  <c r="AA3174" i="13"/>
  <c r="AA1674" i="13"/>
  <c r="AA3343" i="13"/>
  <c r="AA2003" i="13"/>
  <c r="AA2863" i="13"/>
  <c r="AA2589" i="13"/>
  <c r="AA747" i="13"/>
  <c r="AA49" i="13"/>
  <c r="AA1191" i="13"/>
  <c r="AA2201" i="13"/>
  <c r="AA2358" i="13"/>
  <c r="AA940" i="13"/>
  <c r="AA3157" i="13"/>
  <c r="AA2625" i="13"/>
  <c r="AA1798" i="13"/>
  <c r="AA3357" i="13"/>
  <c r="AA934" i="13"/>
  <c r="AA440" i="13"/>
  <c r="AA2084" i="13"/>
  <c r="AA255" i="13"/>
  <c r="AA846" i="13"/>
  <c r="AA971" i="13"/>
  <c r="AA2999" i="13"/>
  <c r="AA2053" i="13"/>
  <c r="AA1804" i="13"/>
  <c r="AA1085" i="13"/>
  <c r="AA2982" i="13"/>
  <c r="AA3342" i="13"/>
  <c r="AA2375" i="13"/>
  <c r="AA1262" i="13"/>
  <c r="AA3336" i="13"/>
  <c r="AA995" i="13"/>
  <c r="AA3460" i="13"/>
  <c r="AA467" i="13"/>
  <c r="AA3251" i="13"/>
  <c r="AA989" i="13"/>
  <c r="AA1910" i="13"/>
  <c r="AA994" i="13"/>
  <c r="AA2981" i="13"/>
  <c r="AA34" i="13"/>
  <c r="AA521" i="13"/>
  <c r="AA2435" i="13"/>
  <c r="AA2787" i="13"/>
  <c r="AA1500" i="13"/>
  <c r="AA3435" i="13"/>
  <c r="AA2598" i="13"/>
  <c r="AA1634" i="13"/>
  <c r="AA2869" i="13"/>
  <c r="AA1240" i="13"/>
  <c r="AA1149" i="13"/>
  <c r="AA3103" i="13"/>
  <c r="AA359" i="13"/>
  <c r="AA588" i="13"/>
  <c r="AA28" i="13"/>
  <c r="AA2017" i="13"/>
  <c r="AA3468" i="13"/>
  <c r="AA193" i="13"/>
  <c r="AA3384" i="13"/>
  <c r="AA963" i="13"/>
  <c r="AA346" i="13"/>
  <c r="AA1114" i="13"/>
  <c r="AA2520" i="13"/>
  <c r="AA2687" i="13"/>
  <c r="AA653" i="13"/>
  <c r="AA1133" i="13"/>
  <c r="AA1992" i="13"/>
  <c r="AA3283" i="13"/>
  <c r="AA710" i="13"/>
  <c r="AA385" i="13"/>
  <c r="AA975" i="13"/>
  <c r="AA1754" i="13"/>
  <c r="AA574" i="13"/>
  <c r="AA1884" i="13"/>
  <c r="AA1745" i="13"/>
  <c r="AA2629" i="13"/>
  <c r="AA2272" i="13"/>
  <c r="AA371" i="13"/>
  <c r="AA2854" i="13"/>
  <c r="AA3048" i="13"/>
  <c r="AA912" i="13"/>
  <c r="AA1892" i="13"/>
  <c r="AA3006" i="13"/>
  <c r="AA3078" i="13"/>
  <c r="AA2639" i="13"/>
  <c r="AA187" i="13"/>
  <c r="AA2748" i="13"/>
  <c r="AA2422" i="13"/>
  <c r="AA180" i="13"/>
  <c r="AA1535" i="13"/>
  <c r="AA1519" i="13"/>
  <c r="AA1538" i="13"/>
  <c r="AA3349" i="13"/>
  <c r="AA395" i="13"/>
  <c r="AA3167" i="13"/>
  <c r="AA1069" i="13"/>
  <c r="AA161" i="13"/>
  <c r="AA2374" i="13"/>
  <c r="AA1417" i="13"/>
  <c r="AA335" i="13"/>
  <c r="AA3019" i="13"/>
  <c r="AA666" i="13"/>
  <c r="AA330" i="13"/>
  <c r="AA2173" i="13"/>
  <c r="AA2686" i="13"/>
  <c r="AA592" i="13"/>
  <c r="AA1354" i="13"/>
  <c r="AA2500" i="13"/>
  <c r="AA1307" i="13"/>
  <c r="AA1075" i="13"/>
  <c r="AA412" i="13"/>
  <c r="AA245" i="13"/>
  <c r="AA858" i="13"/>
  <c r="AA1370" i="13"/>
  <c r="AA3247" i="13"/>
  <c r="AA1712" i="13"/>
  <c r="AA27" i="13"/>
  <c r="AA733" i="13"/>
  <c r="AA2581" i="13"/>
  <c r="AA2587" i="13"/>
  <c r="AA2812" i="13"/>
  <c r="AA2099" i="13"/>
  <c r="AA2622" i="13"/>
  <c r="AA2109" i="13"/>
  <c r="AA654" i="13"/>
  <c r="AA738" i="13"/>
  <c r="AA3299" i="13"/>
  <c r="AA1977" i="13"/>
  <c r="AA1137" i="13"/>
  <c r="AA176" i="13"/>
  <c r="AA1829" i="13"/>
  <c r="AA901" i="13"/>
  <c r="AA425" i="13"/>
  <c r="AA3162" i="13"/>
  <c r="AA1187" i="13"/>
  <c r="AA2569" i="13"/>
  <c r="AA2294" i="13"/>
  <c r="AA357" i="13"/>
  <c r="AA3395" i="13"/>
  <c r="AA1982" i="13"/>
  <c r="AA2160" i="13"/>
  <c r="AA1249" i="13"/>
  <c r="AA402" i="13"/>
  <c r="AA3314" i="13"/>
  <c r="AA2391" i="13"/>
  <c r="AA2031" i="13"/>
  <c r="AA3123" i="13"/>
  <c r="AA1562" i="13"/>
  <c r="AA2644" i="13"/>
  <c r="AA641" i="13"/>
  <c r="AA1618" i="13"/>
  <c r="AA2588" i="13"/>
  <c r="AA2475" i="13"/>
  <c r="AA705" i="13"/>
  <c r="AA1912" i="13"/>
  <c r="AA490" i="13"/>
  <c r="AA1668" i="13"/>
  <c r="AA2990" i="13"/>
  <c r="AA452" i="13"/>
  <c r="AA122" i="13"/>
  <c r="AA899" i="13"/>
  <c r="AA421" i="13"/>
  <c r="AA3185" i="13"/>
  <c r="AA3187" i="13"/>
  <c r="AA2180" i="13"/>
  <c r="AA1533" i="13"/>
  <c r="AA941" i="13"/>
  <c r="AA3354" i="13"/>
  <c r="AA2191" i="13"/>
  <c r="AA2952" i="13"/>
  <c r="AA639" i="13"/>
  <c r="AA2188" i="13"/>
  <c r="AA1305" i="13"/>
  <c r="AA2994" i="13"/>
  <c r="AA1361" i="13"/>
  <c r="AA1469" i="13"/>
  <c r="AA1848" i="13"/>
  <c r="AA2703" i="13"/>
  <c r="AA1520" i="13"/>
  <c r="AA1047" i="13"/>
  <c r="AA2054" i="13"/>
  <c r="AA1162" i="13"/>
  <c r="AA377" i="13"/>
  <c r="AA243" i="13"/>
  <c r="AA1045" i="13"/>
  <c r="AA2091" i="13"/>
  <c r="AA774" i="13"/>
  <c r="AA845" i="13"/>
  <c r="AA2546" i="13"/>
  <c r="AA3041" i="13"/>
  <c r="AA256" i="13"/>
  <c r="AA3461" i="13"/>
  <c r="AA2130" i="13"/>
  <c r="AA2048" i="13"/>
  <c r="AA347" i="13"/>
  <c r="AA1094" i="13"/>
  <c r="AA2351" i="13"/>
  <c r="AA1923" i="13"/>
  <c r="AA2632" i="13"/>
  <c r="AA569" i="13"/>
  <c r="AA2117" i="13"/>
  <c r="AA797" i="13"/>
  <c r="AA1504" i="13"/>
  <c r="AA1684" i="13"/>
  <c r="AA1510" i="13"/>
  <c r="AA1093" i="13"/>
  <c r="AA742" i="13"/>
  <c r="AA1988" i="13"/>
  <c r="AA2143" i="13"/>
  <c r="AA3133" i="13"/>
  <c r="AA3119" i="13"/>
  <c r="AA1619" i="13"/>
  <c r="AA773" i="13"/>
  <c r="AA184" i="13"/>
  <c r="AA2651" i="13"/>
  <c r="AA2708" i="13"/>
  <c r="AA2357" i="13"/>
  <c r="AA1194" i="13"/>
  <c r="AA2707" i="13"/>
  <c r="AA1890" i="13"/>
  <c r="AA3259" i="13"/>
  <c r="AA1980" i="13"/>
  <c r="AA2521" i="13"/>
  <c r="AA2859" i="13"/>
  <c r="AA1779" i="13"/>
  <c r="AA235" i="13"/>
  <c r="AA2262" i="13"/>
  <c r="AA1199" i="13"/>
  <c r="AA3445" i="13"/>
  <c r="AA2450" i="13"/>
  <c r="AA788" i="13"/>
  <c r="AA1005" i="13"/>
  <c r="AA2661" i="13"/>
  <c r="AA3020" i="13"/>
  <c r="AA1348" i="13"/>
  <c r="AA2383" i="13"/>
  <c r="AA3512" i="13"/>
  <c r="AA2189" i="13"/>
  <c r="AA1721" i="13"/>
  <c r="AA3005" i="13"/>
  <c r="AA1295" i="13"/>
  <c r="AA1118" i="13"/>
  <c r="AA1985" i="13"/>
  <c r="AA965" i="13"/>
  <c r="AA900" i="13"/>
  <c r="AA630" i="13"/>
  <c r="AA613" i="13"/>
  <c r="AA1391" i="13"/>
  <c r="AA3173" i="13"/>
  <c r="AA1430" i="13"/>
  <c r="AA515" i="13"/>
  <c r="AA2584" i="13"/>
  <c r="AA2552" i="13"/>
  <c r="AA2808" i="13"/>
  <c r="AA2005" i="13"/>
  <c r="AA3499" i="13"/>
  <c r="AA1245" i="13"/>
  <c r="AA2463" i="13"/>
  <c r="AA2755" i="13"/>
  <c r="AA2319" i="13"/>
  <c r="AA2131" i="13"/>
  <c r="AA1706" i="13"/>
  <c r="AA2196" i="13"/>
  <c r="AA1991" i="13"/>
  <c r="AA3100" i="13"/>
  <c r="AA315" i="13"/>
  <c r="AA3029" i="13"/>
  <c r="AA3530" i="13"/>
  <c r="AA849" i="13"/>
  <c r="AA1858" i="13"/>
  <c r="AA3111" i="13"/>
  <c r="AA3135" i="13"/>
  <c r="AA433" i="13"/>
  <c r="AA3177" i="13"/>
  <c r="AA135" i="13"/>
  <c r="AA3518" i="13"/>
  <c r="AA343" i="13"/>
  <c r="AA3543" i="13"/>
  <c r="AA2723" i="13"/>
  <c r="AA871" i="13"/>
  <c r="AA968" i="13"/>
  <c r="AA1505" i="13"/>
  <c r="AA32" i="13"/>
  <c r="AA711" i="13"/>
  <c r="AA2676" i="13"/>
  <c r="AA982" i="13"/>
  <c r="AA86" i="13"/>
  <c r="AA2573" i="13"/>
  <c r="AA2121" i="13"/>
  <c r="AA396" i="13"/>
  <c r="AA2027" i="13"/>
  <c r="AA2303" i="13"/>
  <c r="AA1184" i="13"/>
  <c r="AA1458" i="13"/>
  <c r="AA3334" i="13"/>
  <c r="AA2200" i="13"/>
  <c r="AA3426" i="13"/>
  <c r="AA2543" i="13"/>
  <c r="AA2470" i="13"/>
  <c r="AA3437" i="13"/>
  <c r="AA3233" i="13"/>
  <c r="AA864" i="13"/>
  <c r="AA2705" i="13"/>
  <c r="AA1833" i="13"/>
  <c r="AA852" i="13"/>
  <c r="AA3375" i="13"/>
  <c r="AA1259" i="13"/>
  <c r="AA1986" i="13"/>
  <c r="AA233" i="13"/>
  <c r="AA3095" i="13"/>
  <c r="AA623" i="13"/>
  <c r="AA1441" i="13"/>
  <c r="AA2038" i="13"/>
  <c r="AA1228" i="13"/>
  <c r="AA1021" i="13"/>
  <c r="AA3055" i="13"/>
  <c r="AA3490" i="13"/>
  <c r="AA3158" i="13"/>
  <c r="AA1513" i="13"/>
  <c r="AA3028" i="13"/>
  <c r="AA1559" i="13"/>
  <c r="AA530" i="13"/>
  <c r="AA192" i="13"/>
  <c r="AA1688" i="13"/>
  <c r="AA2161" i="13"/>
  <c r="AA821" i="13"/>
  <c r="AA3429" i="13"/>
  <c r="AA2408" i="13"/>
  <c r="AA1275" i="13"/>
  <c r="AA1227" i="13"/>
  <c r="AA2220" i="13"/>
  <c r="AA2504" i="13"/>
  <c r="AA746" i="13"/>
  <c r="AA2165" i="13"/>
  <c r="AA1406" i="13"/>
  <c r="AA1989" i="13"/>
  <c r="AA2241" i="13"/>
  <c r="AA1609" i="13"/>
  <c r="AA2881" i="13"/>
  <c r="AA2009" i="13"/>
  <c r="AA1268" i="13"/>
  <c r="AA601" i="13"/>
  <c r="AA3038" i="13"/>
  <c r="AA484" i="13"/>
  <c r="AA892" i="13"/>
  <c r="AA727" i="13"/>
  <c r="AA3120" i="13"/>
  <c r="AA2525" i="13"/>
  <c r="AA431" i="13"/>
  <c r="AA1108" i="13"/>
  <c r="AA2660" i="13"/>
  <c r="AA679" i="13"/>
  <c r="AA404" i="13"/>
  <c r="AA1060" i="13"/>
  <c r="AA2247" i="13"/>
  <c r="AA3222" i="13"/>
  <c r="AA2108" i="13"/>
  <c r="AA1502" i="13"/>
  <c r="AA1810" i="13"/>
  <c r="AA1472" i="13"/>
  <c r="AA2057" i="13"/>
  <c r="AA1241" i="13"/>
  <c r="AA2012" i="13"/>
  <c r="AA2828" i="13"/>
  <c r="AA2606" i="13"/>
  <c r="AA1561" i="13"/>
  <c r="AA3467" i="13"/>
  <c r="AA1385" i="13"/>
  <c r="AA802" i="13"/>
  <c r="AA1160" i="13"/>
  <c r="AA2941" i="13"/>
  <c r="AA3224" i="13"/>
  <c r="AA1747" i="13"/>
  <c r="AA627" i="13"/>
  <c r="AA162" i="13"/>
  <c r="AA2789" i="13"/>
  <c r="AA3208" i="13"/>
  <c r="AA2664" i="13"/>
  <c r="AA1748" i="13"/>
  <c r="AA1329" i="13"/>
  <c r="AA1637" i="13"/>
  <c r="AA2893" i="13"/>
  <c r="AA2397" i="13"/>
  <c r="AA2892" i="13"/>
  <c r="AA2284" i="13"/>
  <c r="AA320" i="13"/>
  <c r="AA2978" i="13"/>
  <c r="AA1878" i="13"/>
  <c r="AA937" i="13"/>
  <c r="AA76" i="13"/>
  <c r="AA1373" i="13"/>
  <c r="AA1801" i="13"/>
  <c r="AA1489" i="13"/>
  <c r="AA3482" i="13"/>
  <c r="AA926" i="13"/>
  <c r="AA2891" i="13"/>
  <c r="AA2855" i="13"/>
  <c r="AA721" i="13"/>
  <c r="AA125" i="13"/>
  <c r="AA1200" i="13"/>
  <c r="AA3454" i="13"/>
  <c r="AA1261" i="13"/>
  <c r="AA2345" i="13"/>
  <c r="AA1565" i="13"/>
  <c r="AA296" i="13"/>
  <c r="AA827" i="13"/>
  <c r="AA1937" i="13"/>
  <c r="AA1723" i="13"/>
  <c r="AA3144" i="13"/>
  <c r="AA2874" i="13"/>
  <c r="AA3021" i="13"/>
  <c r="AA716" i="13"/>
  <c r="AA796" i="13"/>
  <c r="AA2556" i="13"/>
  <c r="AA1481" i="13"/>
  <c r="AA1603" i="13"/>
  <c r="AA2049" i="13"/>
  <c r="AA1000" i="13"/>
  <c r="AA2151" i="13"/>
  <c r="AA3420" i="13"/>
  <c r="AA361" i="13"/>
  <c r="AA358" i="13"/>
  <c r="AA65" i="13"/>
  <c r="AA2653" i="13"/>
  <c r="AA3331" i="13"/>
  <c r="AA1220" i="13"/>
  <c r="AA100" i="13"/>
  <c r="AA2449" i="13"/>
  <c r="AA3304" i="13"/>
  <c r="AA2710" i="13"/>
  <c r="AA429" i="13"/>
  <c r="AA1127" i="13"/>
  <c r="AA167" i="13"/>
  <c r="AA299" i="13"/>
  <c r="AA1788" i="13"/>
  <c r="AA1372" i="13"/>
  <c r="AA1516" i="13"/>
  <c r="AA276" i="13"/>
  <c r="AA418" i="13"/>
  <c r="AA2469" i="13"/>
  <c r="AA1293" i="13"/>
  <c r="AA398" i="13"/>
  <c r="AA2299" i="13"/>
  <c r="AA2440" i="13"/>
  <c r="AA1051" i="13"/>
  <c r="AA1088" i="13"/>
  <c r="AA1604" i="13"/>
  <c r="AA2591" i="13"/>
  <c r="AA2726" i="13"/>
  <c r="AA1289" i="13"/>
  <c r="AA2979" i="13"/>
  <c r="AA643" i="13"/>
  <c r="AA1956" i="13"/>
  <c r="AA2081" i="13"/>
  <c r="AA3458" i="13"/>
  <c r="AA807" i="13"/>
  <c r="AA3373" i="13"/>
  <c r="AA874" i="13"/>
  <c r="AA424" i="13"/>
  <c r="AA2908" i="13"/>
  <c r="AA1979" i="13"/>
  <c r="AA262" i="13"/>
  <c r="AA1421" i="13"/>
  <c r="AA1907" i="13"/>
  <c r="AA1086" i="13"/>
  <c r="AA3107" i="13"/>
  <c r="AA2255" i="13"/>
  <c r="AA2807" i="13"/>
  <c r="AA1815" i="13"/>
  <c r="AA2870" i="13"/>
  <c r="AA3004" i="13"/>
  <c r="AA2395" i="13"/>
  <c r="AA450" i="13"/>
  <c r="AA573" i="13"/>
  <c r="AA3480" i="13"/>
  <c r="AA2376" i="13"/>
  <c r="AA1941" i="13"/>
  <c r="AA2756" i="13"/>
  <c r="AA2313" i="13"/>
  <c r="AA2436" i="13"/>
  <c r="AA2115" i="13"/>
  <c r="AA2484" i="13"/>
  <c r="AA1023" i="13"/>
  <c r="AA626" i="13"/>
  <c r="AA1697" i="13"/>
  <c r="AA1299" i="13"/>
  <c r="AA223" i="13"/>
  <c r="AA1166" i="13"/>
  <c r="AA3428" i="13"/>
  <c r="AA1231" i="13"/>
  <c r="AA751" i="13"/>
  <c r="AA2338" i="13"/>
  <c r="AA1837" i="13"/>
  <c r="AA228" i="13"/>
  <c r="AA1078" i="13"/>
  <c r="AA1934" i="13"/>
  <c r="AA3067" i="13"/>
  <c r="AA1340" i="13"/>
  <c r="AA2604" i="13"/>
  <c r="AA406" i="13"/>
  <c r="AA786" i="13"/>
  <c r="AA748" i="13"/>
  <c r="AA2917" i="13"/>
  <c r="AA3497" i="13"/>
  <c r="AA1013" i="13"/>
  <c r="AA1904" i="13"/>
  <c r="AA1276" i="13"/>
  <c r="AA38" i="13"/>
  <c r="AA834" i="13"/>
  <c r="AA3491" i="13"/>
  <c r="AA1443" i="13"/>
  <c r="AA2332" i="13"/>
  <c r="AA1434" i="13"/>
  <c r="AA2100" i="13"/>
  <c r="AA536" i="13"/>
  <c r="AA877" i="13"/>
  <c r="AA3310" i="13"/>
  <c r="AA2806" i="13"/>
  <c r="AA1192" i="13"/>
  <c r="AA872" i="13"/>
  <c r="AA2792" i="13"/>
  <c r="AA1155" i="13"/>
  <c r="AA2862" i="13"/>
  <c r="AA2562" i="13"/>
  <c r="AA328" i="13"/>
  <c r="AA3527" i="13"/>
  <c r="AA2172" i="13"/>
  <c r="AA2923" i="13"/>
  <c r="AA3070" i="13"/>
  <c r="AA1394" i="13"/>
  <c r="AA1196" i="13"/>
  <c r="AA2198" i="13"/>
  <c r="AA3370" i="13"/>
  <c r="AA2342" i="13"/>
  <c r="AA1647" i="13"/>
  <c r="AA1056" i="13"/>
  <c r="AA2334" i="13"/>
  <c r="AA657" i="13"/>
  <c r="AA2947" i="13"/>
  <c r="AA2602" i="13"/>
  <c r="AA2888" i="13"/>
  <c r="AA3391" i="13"/>
  <c r="AA1186" i="13"/>
  <c r="AA1290" i="13"/>
  <c r="AA1288" i="13"/>
  <c r="AA2740" i="13"/>
  <c r="AA2445" i="13"/>
  <c r="AA523" i="13"/>
  <c r="AA1026" i="13"/>
  <c r="AA2688" i="13"/>
  <c r="AA2405" i="13"/>
  <c r="AA35" i="13"/>
  <c r="AA1996" i="13"/>
  <c r="AA1359" i="13"/>
  <c r="AA3355" i="13"/>
  <c r="AA2098" i="13"/>
  <c r="AA678" i="13"/>
  <c r="AA2544" i="13"/>
  <c r="AA3315" i="13"/>
  <c r="AA2631" i="13"/>
  <c r="AA2921" i="13"/>
  <c r="AA310" i="13"/>
  <c r="AA1173" i="13"/>
  <c r="AA3399" i="13"/>
  <c r="AA1189" i="13"/>
  <c r="AA3372" i="13"/>
  <c r="AA2558" i="13"/>
  <c r="AA85" i="13"/>
  <c r="AA3329" i="13"/>
  <c r="AA1689" i="13"/>
  <c r="AA253" i="13"/>
  <c r="AA2207" i="13"/>
  <c r="AA2264" i="13"/>
  <c r="AA593" i="13"/>
  <c r="AA1052" i="13"/>
  <c r="AA2675" i="13"/>
  <c r="AA54" i="13"/>
  <c r="AA1629" i="13"/>
  <c r="AA3084" i="13"/>
  <c r="AA1825" i="13"/>
  <c r="AA141" i="13"/>
  <c r="AA1226" i="13"/>
  <c r="AA36" i="13"/>
  <c r="AA2393" i="13"/>
  <c r="AA2124" i="13"/>
  <c r="AA870" i="13"/>
  <c r="AA142" i="13"/>
  <c r="AA1556" i="13"/>
  <c r="AA2659" i="13"/>
  <c r="AA2417" i="13"/>
  <c r="AA1043" i="13"/>
  <c r="AA1918" i="13"/>
  <c r="AA2221" i="13"/>
  <c r="AA3149" i="13"/>
  <c r="AA1159" i="13"/>
  <c r="AA2838" i="13"/>
  <c r="AA1895" i="13"/>
  <c r="AA2861" i="13"/>
  <c r="AA240" i="13"/>
  <c r="AA1371" i="13"/>
  <c r="AA2078" i="13"/>
  <c r="AA1380" i="13"/>
  <c r="AA3046" i="13"/>
  <c r="AA75" i="13"/>
  <c r="AA1071" i="13"/>
  <c r="AA1761" i="13"/>
  <c r="AA1483" i="13"/>
  <c r="AA1940" i="13"/>
  <c r="AA3361" i="13"/>
  <c r="AA2114" i="13"/>
  <c r="AA818" i="13"/>
  <c r="AA2068" i="13"/>
  <c r="AA1028" i="13"/>
  <c r="AA844" i="13"/>
  <c r="AA553" i="13"/>
  <c r="AA1935" i="13"/>
  <c r="AA1039" i="13"/>
  <c r="AA686" i="13"/>
  <c r="AA1959" i="13"/>
  <c r="AA3529" i="13"/>
  <c r="AA84" i="13"/>
  <c r="AA2025" i="13"/>
  <c r="AA2192" i="13"/>
  <c r="AA2516" i="13"/>
  <c r="AA1123" i="13"/>
  <c r="AA1568" i="13"/>
  <c r="AA3298" i="13"/>
  <c r="AA1616" i="13"/>
  <c r="AA554" i="13"/>
  <c r="AA321" i="13"/>
  <c r="AA3045" i="13"/>
  <c r="AA224" i="13"/>
  <c r="AA44" i="13"/>
  <c r="AA2142" i="13"/>
  <c r="AA1143" i="13"/>
  <c r="AA2095" i="13"/>
  <c r="AA1657" i="13"/>
  <c r="AA506" i="13"/>
  <c r="AA3537" i="13"/>
  <c r="AA1766" i="13"/>
  <c r="AA2473" i="13"/>
  <c r="AA765" i="13"/>
  <c r="AA445" i="13"/>
  <c r="AA2242" i="13"/>
  <c r="AA1880" i="13"/>
  <c r="AA2819" i="13"/>
  <c r="AA1625" i="13"/>
  <c r="AA1237" i="13"/>
  <c r="AA823" i="13"/>
  <c r="AA2163" i="13"/>
  <c r="AA1874" i="13"/>
  <c r="AA2983" i="13"/>
  <c r="AA1646" i="13"/>
  <c r="AA384" i="13"/>
  <c r="AA3540" i="13"/>
  <c r="AA342" i="13"/>
  <c r="AA713" i="13"/>
  <c r="AA464" i="13"/>
  <c r="AA1607" i="13"/>
  <c r="AA3116" i="13"/>
  <c r="AA3207" i="13"/>
  <c r="AA585" i="13"/>
  <c r="AA2169" i="13"/>
  <c r="AA1899" i="13"/>
  <c r="AA2702" i="13"/>
  <c r="AA1599" i="13"/>
  <c r="AA1029" i="13"/>
  <c r="AA117" i="13"/>
  <c r="AA289" i="13"/>
  <c r="AA2034" i="13"/>
  <c r="AA820" i="13"/>
  <c r="AA1806" i="13"/>
  <c r="AA2041" i="13"/>
  <c r="AA3444" i="13"/>
  <c r="AA1886" i="13"/>
  <c r="AA1882" i="13"/>
  <c r="AA2648" i="13"/>
  <c r="AA2277" i="13"/>
  <c r="AA43" i="13"/>
  <c r="AA2283" i="13"/>
  <c r="AA1771" i="13"/>
  <c r="AA326" i="13"/>
  <c r="AA1002" i="13"/>
  <c r="AA2453" i="13"/>
  <c r="AA1324" i="13"/>
  <c r="AA1921" i="13"/>
  <c r="AA691" i="13"/>
  <c r="AA1403" i="13"/>
  <c r="AA1049" i="13"/>
  <c r="AA1671" i="13"/>
  <c r="AA2959" i="13"/>
  <c r="AA2550" i="13"/>
  <c r="AA2246" i="13"/>
  <c r="AA1339" i="13"/>
  <c r="AA2766" i="13"/>
  <c r="AA124" i="13"/>
  <c r="AA447" i="13"/>
  <c r="AA712" i="13"/>
  <c r="AA1251" i="13"/>
  <c r="AA239" i="13"/>
  <c r="AA1840" i="13"/>
  <c r="AA3129" i="13"/>
  <c r="AA1931" i="13"/>
  <c r="AA104" i="13"/>
  <c r="AA2150" i="13"/>
  <c r="AA2946" i="13"/>
  <c r="AA2094" i="13"/>
  <c r="AA806" i="13"/>
  <c r="AA2428" i="13"/>
  <c r="AA883" i="13"/>
  <c r="AA301" i="13"/>
  <c r="AA828" i="13"/>
  <c r="AA1924" i="13"/>
  <c r="AA1865" i="13"/>
  <c r="AA2805" i="13"/>
  <c r="AA2230" i="13"/>
  <c r="AA3312" i="13"/>
  <c r="AA231" i="13"/>
  <c r="AA3018" i="13"/>
  <c r="AA594" i="13"/>
  <c r="AA1799" i="13"/>
  <c r="AA3094" i="13"/>
  <c r="AA3243" i="13"/>
  <c r="AA3040" i="13"/>
  <c r="AA68" i="13"/>
  <c r="AA146" i="13"/>
  <c r="AA1286" i="13"/>
  <c r="AA2029" i="13"/>
  <c r="AA1749" i="13"/>
  <c r="AA1621" i="13"/>
  <c r="AA132" i="13"/>
  <c r="AA1587" i="13"/>
  <c r="AA2846" i="13"/>
  <c r="AA1170" i="13"/>
  <c r="AA1949" i="13"/>
  <c r="AA3014" i="13"/>
  <c r="AA1946" i="13"/>
  <c r="AA2679" i="13"/>
  <c r="AA2513" i="13"/>
  <c r="AA1635" i="13"/>
  <c r="AA487" i="13"/>
  <c r="AA1534" i="13"/>
  <c r="AA1452" i="13"/>
  <c r="AA1864" i="13"/>
  <c r="AA1185" i="13"/>
  <c r="AA851" i="13"/>
  <c r="AA3240" i="13"/>
  <c r="AA1976" i="13"/>
  <c r="AA105" i="13"/>
  <c r="AA1163" i="13"/>
  <c r="AA2315" i="13"/>
  <c r="AA2401" i="13"/>
  <c r="AA2274" i="13"/>
  <c r="AA2325" i="13"/>
  <c r="AA2177" i="13"/>
  <c r="AA2907" i="13"/>
  <c r="AA1362" i="13"/>
  <c r="AA3401" i="13"/>
  <c r="AA2608" i="13"/>
  <c r="AA3303" i="13"/>
  <c r="AA1739" i="13"/>
  <c r="AA1224" i="13"/>
  <c r="AA1019" i="13"/>
  <c r="AA1065" i="13"/>
  <c r="AA3517" i="13"/>
  <c r="AA2920" i="13"/>
  <c r="AA2322" i="13"/>
  <c r="AA2649" i="13"/>
  <c r="AA37" i="13"/>
  <c r="AA2175" i="13"/>
  <c r="AA2105" i="13"/>
  <c r="AA2906" i="13"/>
  <c r="AA1440" i="13"/>
  <c r="AA1592" i="13"/>
  <c r="AA3096" i="13"/>
  <c r="AA1291" i="13"/>
  <c r="AA2970" i="13"/>
  <c r="AA783" i="13"/>
  <c r="AA1016" i="13"/>
  <c r="AA1909" i="13"/>
  <c r="AA388" i="13"/>
  <c r="AA1378" i="13"/>
  <c r="AA1784" i="13"/>
  <c r="AA1939" i="13"/>
  <c r="AA2555" i="13"/>
  <c r="AA2268" i="13"/>
  <c r="AA2037" i="13"/>
  <c r="AA3143" i="13"/>
  <c r="AA2352" i="13"/>
  <c r="AA1511" i="13"/>
  <c r="AA2439" i="13"/>
  <c r="AA1386" i="13"/>
  <c r="AA3282" i="13"/>
  <c r="AA2788" i="13"/>
  <c r="AA1584" i="13"/>
  <c r="AA715" i="13"/>
  <c r="AA882" i="13"/>
  <c r="AA504" i="13"/>
  <c r="AA1630" i="13"/>
  <c r="AA2036" i="13"/>
  <c r="AA1791" i="13"/>
  <c r="AA268" i="13"/>
  <c r="AA2055" i="13"/>
  <c r="AA2301" i="13"/>
  <c r="AA432" i="13"/>
  <c r="AA776" i="13"/>
  <c r="AA2714" i="13"/>
  <c r="AA2852" i="13"/>
  <c r="AA2203" i="13"/>
  <c r="AA1752" i="13"/>
  <c r="AA3255" i="13"/>
  <c r="AA1563" i="13"/>
  <c r="AA3118" i="13"/>
  <c r="AA1008" i="13"/>
  <c r="AA538" i="13"/>
  <c r="AA1802" i="13"/>
  <c r="AA1031" i="13"/>
  <c r="AA2856" i="13"/>
  <c r="AA123" i="13"/>
  <c r="AA1475" i="13"/>
  <c r="AA3451" i="13"/>
  <c r="AA2476" i="13"/>
  <c r="AA649" i="13"/>
  <c r="AA2713" i="13"/>
  <c r="J7" i="13"/>
  <c r="G7" i="13" l="1"/>
  <c r="K4" i="13"/>
  <c r="J4" i="13"/>
  <c r="H4" i="13" l="1"/>
  <c r="G4" i="13"/>
  <c r="I4" i="13" s="1"/>
  <c r="J6" i="13"/>
  <c r="G6" i="13" l="1"/>
  <c r="J3" i="13"/>
  <c r="K3" i="13"/>
  <c r="H3" i="13" l="1"/>
  <c r="G3" i="13"/>
  <c r="K11" i="13"/>
  <c r="J11" i="13"/>
  <c r="I3" i="13" l="1"/>
  <c r="H11" i="13"/>
  <c r="G11" i="13"/>
  <c r="K6" i="13"/>
  <c r="K13" i="13"/>
  <c r="I11" i="13" l="1"/>
  <c r="H6" i="13"/>
  <c r="I6" i="13" s="1"/>
  <c r="K5" i="13"/>
  <c r="J5" i="13"/>
  <c r="H5" i="13" l="1"/>
  <c r="G5" i="13"/>
  <c r="J14" i="13"/>
  <c r="K14" i="13"/>
  <c r="I5" i="13" l="1"/>
  <c r="H14" i="13"/>
  <c r="G14" i="13"/>
  <c r="K7" i="13"/>
  <c r="I14" i="13" l="1"/>
  <c r="H7" i="13"/>
  <c r="I7" i="13" s="1"/>
  <c r="K8" i="13"/>
  <c r="J8" i="13"/>
  <c r="H8" i="13" l="1"/>
  <c r="G8" i="13"/>
  <c r="J15" i="13"/>
  <c r="I8" i="13" l="1"/>
  <c r="G15" i="13"/>
  <c r="K15" i="13"/>
  <c r="H15" i="13" l="1"/>
  <c r="I15" i="13" s="1"/>
  <c r="K9" i="13"/>
  <c r="J9" i="13"/>
  <c r="H9" i="13" l="1"/>
  <c r="G9" i="13"/>
  <c r="J16" i="13"/>
  <c r="I9" i="13" l="1"/>
  <c r="G16" i="13"/>
  <c r="K16" i="13"/>
  <c r="H16" i="13" l="1"/>
  <c r="I16" i="13" s="1"/>
  <c r="C30" i="6" l="1"/>
  <c r="D30" i="6"/>
  <c r="J13" i="13" l="1"/>
  <c r="J12" i="13"/>
  <c r="K12" i="13"/>
  <c r="H12" i="13" l="1"/>
  <c r="G12" i="13"/>
  <c r="H13" i="13"/>
  <c r="G13" i="13"/>
  <c r="I12" i="13" l="1"/>
  <c r="I13" i="13"/>
  <c r="K10" i="13" l="1"/>
  <c r="J10" i="13"/>
  <c r="H10" i="13" l="1"/>
  <c r="G10" i="13"/>
  <c r="I10" i="13" l="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<sst xmlns="http://schemas.openxmlformats.org/spreadsheetml/2006/main" count="316" uniqueCount="169">
  <si>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</si>
  <si>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</si>
  <si>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</si>
  <si>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</si>
  <si>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</si>
  <si>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</si>
  <si>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</si>
  <si>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</si>
  <si>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</si>
  <si>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</si>
  <si>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</si>
  <si>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</si>
  <si>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</si>
  <si>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</si>
  <si>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</si>
  <si>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</si>
  <si>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</si>
  <si>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</si>
  <si>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</si>
  <si>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</si>
  <si>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</si>
  <si>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</si>
  <si>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</si>
  <si>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</si>
  <si>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</si>
  <si>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</si>
  <si>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</si>
  <si>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</si>
  <si>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</si>
  <si>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</si>
  <si>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</si>
  <si>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</si>
  <si>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</si>
  <si>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</si>
  <si>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</si>
  <si>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</si>
  <si>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</si>
  <si>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</si>
  <si>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</si>
  <si>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</si>
  <si>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</si>
  <si>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</si>
  <si>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</si>
  <si>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</si>
  <si>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</si>
  <si>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</si>
  <si>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</si>
  <si>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</si>
  <si>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</si>
  <si>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</si>
  <si>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</si>
  <si>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</si>
  <si>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</si>
  <si>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</si>
  <si>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</si>
  <si>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</si>
  <si>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</si>
  <si>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</si>
  <si>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</si>
  <si>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</si>
  <si>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</si>
  <si>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</si>
  <si>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</si>
  <si>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UnitedKingdom::Exchange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</si>
  <si>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</si>
  <si>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</si>
  <si>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</si>
  <si>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</si>
  <si>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</si>
  <si>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</si>
  <si>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</si>
  <si>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</si>
  <si>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</si>
  <si>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</si>
  <si>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>SwapFixedFreq</t>
  </si>
  <si>
    <t>JPY</t>
  </si>
  <si>
    <t>IborType</t>
  </si>
  <si>
    <t>SB</t>
  </si>
  <si>
    <t>GBP</t>
  </si>
  <si>
    <t>IndexTenor</t>
  </si>
  <si>
    <t>AB</t>
  </si>
  <si>
    <t>EUR</t>
  </si>
  <si>
    <t>Months</t>
  </si>
  <si>
    <t>CHF</t>
  </si>
  <si>
    <t>Currency</t>
  </si>
  <si>
    <t>General Settings</t>
  </si>
  <si>
    <t>3M</t>
  </si>
  <si>
    <t>2M</t>
  </si>
  <si>
    <t>1M</t>
  </si>
  <si>
    <t>SW</t>
  </si>
  <si>
    <t>Quote Object ID</t>
  </si>
  <si>
    <t>Index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</si>
  <si>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</si>
  <si>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</si>
  <si>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</si>
  <si>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</si>
  <si>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</si>
  <si>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</si>
  <si>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</si>
  <si>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</si>
  <si>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</si>
  <si>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ConvAdj Quote Object ID</t>
  </si>
  <si>
    <t>Future Code</t>
  </si>
  <si>
    <t>Main Cycle</t>
  </si>
  <si>
    <t>#</t>
  </si>
  <si>
    <t>Actual/360</t>
  </si>
  <si>
    <t>Modified Following</t>
  </si>
  <si>
    <t>0D</t>
  </si>
  <si>
    <t>Spread</t>
  </si>
  <si>
    <t>Day Count Convention</t>
  </si>
  <si>
    <t>Business Day Convention</t>
  </si>
  <si>
    <t>Freq</t>
  </si>
  <si>
    <t>Fwd start</t>
  </si>
  <si>
    <t>Discounting2</t>
  </si>
  <si>
    <t>Discounting</t>
  </si>
  <si>
    <t>MoneyMarketDayCounter</t>
  </si>
  <si>
    <t>30/360 (Bond Basis)</t>
  </si>
  <si>
    <t>BondBasisDayCounter</t>
  </si>
  <si>
    <t>Extrapolation</t>
  </si>
  <si>
    <t>Instruments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</si>
  <si>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</si>
  <si>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</si>
  <si>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</si>
  <si>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</si>
  <si>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</si>
  <si>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</si>
  <si>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</si>
  <si>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</si>
  <si>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</si>
  <si>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</si>
  <si>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</si>
  <si>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</si>
  <si>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</si>
  <si>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Rate Helper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</si>
  <si>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</si>
  <si>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</si>
  <si>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</si>
  <si>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</si>
  <si>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</si>
  <si>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</si>
  <si>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</si>
  <si>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</si>
  <si>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</si>
  <si>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</si>
  <si>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</si>
  <si>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IMM Mkt Futures</t>
  </si>
  <si>
    <t>Mkt Swaps</t>
  </si>
  <si>
    <t>Tenor</t>
  </si>
  <si>
    <t>Swap Index</t>
  </si>
  <si>
    <t>1w</t>
  </si>
  <si>
    <t>IMM</t>
  </si>
  <si>
    <t>SERIAL</t>
  </si>
  <si>
    <t>CALENDAR SETTINGS</t>
  </si>
  <si>
    <t>US Calendar</t>
  </si>
  <si>
    <t>HolidayCheck</t>
  </si>
  <si>
    <t>Length of the curve</t>
  </si>
  <si>
    <t>Libor Calendar</t>
  </si>
  <si>
    <t>Join Calendar Rule</t>
  </si>
  <si>
    <t>Join Calendar</t>
  </si>
  <si>
    <t>JoinHolidays</t>
  </si>
  <si>
    <t>Switzerland</t>
  </si>
  <si>
    <t>ON</t>
  </si>
  <si>
    <t>SN</t>
  </si>
  <si>
    <t>6M</t>
  </si>
  <si>
    <t>TN</t>
  </si>
  <si>
    <t>Future Type</t>
  </si>
  <si>
    <t>Future Date</t>
  </si>
  <si>
    <t>Settl Days</t>
  </si>
  <si>
    <t>_SYNTH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</si>
</sst>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ddd\,\ d\-mmm\-yyyy"/>
    <numFmt numFmtId="165" formatCode="0.0000%"/>
    <numFmt numFmtId="166" formatCode="0.0000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  <numFmt numFmtId="176" formatCode="ddd\,\ dd\-mmm\-yyyy"/>
    <numFmt numFmtId="177" formatCode="[$-F800]dddd\,\ mmmm\ dd\,\ yyyy"/>
    <numFmt numFmtId="178" formatCode="_-* #,##0.00_-;\-* #,##0.00_-;_-* &quot;-&quot;??_-;_-@_-"/>
    <numFmt numFmtId="179" formatCode="dd\-mmm\-yy"/>
  </numFmts>
  <fonts count="3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Microsoft Sans Serif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5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sz val="8"/>
      <color indexed="9"/>
      <name val="Courier New"/>
      <family val="3"/>
    </font>
    <font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8"/>
      <color rgb="FFFF0000"/>
      <name val="Courier New"/>
      <family val="3"/>
    </font>
    <font>
      <sz val="11"/>
      <color rgb="FF000000"/>
      <name val="Calibri"/>
      <family val="2"/>
    </font>
    <font>
      <i/>
      <sz val="8"/>
      <color indexed="10"/>
      <name val="Courier New"/>
      <family val="3"/>
    </font>
    <font>
      <u/>
      <sz val="8"/>
      <name val="Courier New"/>
      <family val="3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4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0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3" fontId="11" fillId="0" borderId="0"/>
    <xf numFmtId="174" fontId="12" fillId="8" borderId="0">
      <alignment horizontal="center" vertical="center"/>
    </xf>
    <xf numFmtId="175" fontId="10" fillId="0" borderId="0" applyFont="0" applyFill="0" applyBorder="0" applyAlignment="0" applyProtection="0"/>
    <xf numFmtId="175" fontId="10" fillId="0" borderId="0" applyFont="0" applyFill="0" applyBorder="0" applyAlignment="0" applyProtection="0"/>
    <xf numFmtId="0" fontId="9" fillId="0" borderId="0"/>
    <xf numFmtId="0" fontId="15" fillId="0" borderId="0"/>
    <xf numFmtId="0" fontId="16" fillId="0" borderId="0"/>
    <xf numFmtId="9" fontId="15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/>
    <xf numFmtId="9" fontId="24" fillId="0" borderId="0" applyFont="0" applyFill="0" applyBorder="0" applyAlignment="0" applyProtection="0"/>
    <xf numFmtId="9" fontId="1" fillId="0" borderId="0" applyFont="0" applyFill="0" applyBorder="0" applyAlignment="0" applyProtection="0"/>
    <xf numFmtId="178" fontId="24" fillId="0" borderId="0" applyFont="0" applyFill="0" applyBorder="0" applyAlignment="0" applyProtection="0"/>
  </cellStyleXfs>
  <cellXfs count="300">
    <xf numFmtId="0" fontId="0" fillId="0" borderId="0" xfId="0"/>
    <xf numFmtId="0" fontId="2" fillId="2" borderId="0" xfId="3" applyFont="1" applyFill="1" applyBorder="1"/>
    <xf numFmtId="0" fontId="2" fillId="2" borderId="16" xfId="3" applyFont="1" applyFill="1" applyBorder="1"/>
    <xf numFmtId="0" fontId="2" fillId="2" borderId="4" xfId="1" applyFont="1" applyFill="1" applyBorder="1" applyAlignment="1">
      <alignment horizontal="center"/>
    </xf>
    <xf numFmtId="164" fontId="2" fillId="2" borderId="27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4" fontId="2" fillId="2" borderId="28" xfId="1" applyNumberFormat="1" applyFont="1" applyFill="1" applyBorder="1" applyAlignment="1">
      <alignment horizontal="right"/>
    </xf>
    <xf numFmtId="168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6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7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69" fontId="2" fillId="6" borderId="6" xfId="1" applyNumberFormat="1" applyFont="1" applyFill="1" applyBorder="1" applyAlignment="1">
      <alignment horizontal="center"/>
    </xf>
    <xf numFmtId="0" fontId="3" fillId="5" borderId="28" xfId="1" applyFont="1" applyFill="1" applyBorder="1" applyAlignment="1">
      <alignment horizontal="right"/>
    </xf>
    <xf numFmtId="1" fontId="5" fillId="4" borderId="1" xfId="1" applyNumberFormat="1" applyFont="1" applyFill="1" applyBorder="1" applyAlignment="1">
      <alignment horizontal="left"/>
    </xf>
    <xf numFmtId="169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6" xfId="1" applyFont="1" applyFill="1" applyBorder="1"/>
    <xf numFmtId="170" fontId="2" fillId="2" borderId="4" xfId="1" applyNumberFormat="1" applyFont="1" applyFill="1" applyBorder="1" applyAlignment="1">
      <alignment horizontal="center"/>
    </xf>
    <xf numFmtId="0" fontId="2" fillId="5" borderId="27" xfId="1" applyFont="1" applyFill="1" applyBorder="1"/>
    <xf numFmtId="0" fontId="2" fillId="5" borderId="27" xfId="3" applyFont="1" applyFill="1" applyBorder="1"/>
    <xf numFmtId="0" fontId="2" fillId="5" borderId="28" xfId="3" applyFont="1" applyFill="1" applyBorder="1"/>
    <xf numFmtId="0" fontId="3" fillId="2" borderId="0" xfId="3" applyFont="1" applyFill="1" applyBorder="1"/>
    <xf numFmtId="0" fontId="1" fillId="2" borderId="12" xfId="1" applyFill="1" applyBorder="1"/>
    <xf numFmtId="0" fontId="1" fillId="2" borderId="13" xfId="1" applyFill="1" applyBorder="1"/>
    <xf numFmtId="0" fontId="1" fillId="2" borderId="14" xfId="1" applyFill="1" applyBorder="1"/>
    <xf numFmtId="0" fontId="13" fillId="2" borderId="15" xfId="1" applyFont="1" applyFill="1" applyBorder="1"/>
    <xf numFmtId="170" fontId="8" fillId="4" borderId="10" xfId="1" quotePrefix="1" applyNumberFormat="1" applyFont="1" applyFill="1" applyBorder="1" applyAlignment="1" applyProtection="1">
      <alignment horizontal="center"/>
    </xf>
    <xf numFmtId="0" fontId="14" fillId="5" borderId="9" xfId="1" applyFont="1" applyFill="1" applyBorder="1"/>
    <xf numFmtId="0" fontId="13" fillId="2" borderId="16" xfId="1" applyFont="1" applyFill="1" applyBorder="1"/>
    <xf numFmtId="170" fontId="8" fillId="4" borderId="10" xfId="1" applyNumberFormat="1" applyFont="1" applyFill="1" applyBorder="1" applyAlignment="1" applyProtection="1">
      <alignment horizontal="center"/>
    </xf>
    <xf numFmtId="0" fontId="13" fillId="2" borderId="0" xfId="1" applyFont="1" applyFill="1" applyBorder="1"/>
    <xf numFmtId="0" fontId="8" fillId="2" borderId="12" xfId="1" applyFont="1" applyFill="1" applyBorder="1"/>
    <xf numFmtId="0" fontId="8" fillId="2" borderId="13" xfId="1" applyFont="1" applyFill="1" applyBorder="1"/>
    <xf numFmtId="0" fontId="8" fillId="2" borderId="14" xfId="1" applyFont="1" applyFill="1" applyBorder="1"/>
    <xf numFmtId="15" fontId="8" fillId="2" borderId="15" xfId="1" applyNumberFormat="1" applyFont="1" applyFill="1" applyBorder="1"/>
    <xf numFmtId="0" fontId="8" fillId="5" borderId="9" xfId="1" applyNumberFormat="1" applyFont="1" applyFill="1" applyBorder="1"/>
    <xf numFmtId="0" fontId="8" fillId="2" borderId="16" xfId="1" applyFont="1" applyFill="1" applyBorder="1"/>
    <xf numFmtId="170" fontId="8" fillId="4" borderId="10" xfId="1" quotePrefix="1" applyNumberFormat="1" applyFont="1" applyFill="1" applyBorder="1" applyAlignment="1" applyProtection="1">
      <alignment horizontal="left"/>
    </xf>
    <xf numFmtId="0" fontId="8" fillId="2" borderId="15" xfId="1" applyFont="1" applyFill="1" applyBorder="1"/>
    <xf numFmtId="0" fontId="8" fillId="2" borderId="0" xfId="1" applyFont="1" applyFill="1" applyBorder="1"/>
    <xf numFmtId="0" fontId="2" fillId="2" borderId="26" xfId="1" applyFont="1" applyFill="1" applyBorder="1" applyAlignment="1">
      <alignment horizontal="center"/>
    </xf>
    <xf numFmtId="0" fontId="2" fillId="9" borderId="0" xfId="3" applyFont="1" applyFill="1"/>
    <xf numFmtId="0" fontId="9" fillId="9" borderId="0" xfId="10" applyFill="1"/>
    <xf numFmtId="0" fontId="2" fillId="10" borderId="30" xfId="3" applyFont="1" applyFill="1" applyBorder="1"/>
    <xf numFmtId="0" fontId="2" fillId="10" borderId="29" xfId="3" applyFont="1" applyFill="1" applyBorder="1"/>
    <xf numFmtId="0" fontId="2" fillId="10" borderId="16" xfId="3" applyFont="1" applyFill="1" applyBorder="1"/>
    <xf numFmtId="0" fontId="2" fillId="10" borderId="15" xfId="3" applyFont="1" applyFill="1" applyBorder="1"/>
    <xf numFmtId="0" fontId="2" fillId="10" borderId="14" xfId="3" applyFont="1" applyFill="1" applyBorder="1"/>
    <xf numFmtId="0" fontId="2" fillId="10" borderId="12" xfId="3" applyFont="1" applyFill="1" applyBorder="1"/>
    <xf numFmtId="0" fontId="18" fillId="0" borderId="0" xfId="1" applyFont="1"/>
    <xf numFmtId="0" fontId="17" fillId="3" borderId="23" xfId="1" applyFont="1" applyFill="1" applyBorder="1" applyAlignment="1">
      <alignment horizontal="center" vertical="center" wrapText="1"/>
    </xf>
    <xf numFmtId="0" fontId="17" fillId="3" borderId="22" xfId="1" applyFont="1" applyFill="1" applyBorder="1" applyAlignment="1">
      <alignment horizontal="center" vertical="center" wrapText="1"/>
    </xf>
    <xf numFmtId="0" fontId="17" fillId="3" borderId="21" xfId="1" applyFont="1" applyFill="1" applyBorder="1" applyAlignment="1">
      <alignment horizontal="center" vertical="center" wrapText="1"/>
    </xf>
    <xf numFmtId="167" fontId="18" fillId="0" borderId="0" xfId="1" applyNumberFormat="1" applyFont="1"/>
    <xf numFmtId="0" fontId="17" fillId="5" borderId="20" xfId="1" applyFont="1" applyFill="1" applyBorder="1" applyAlignment="1">
      <alignment horizontal="right"/>
    </xf>
    <xf numFmtId="3" fontId="18" fillId="6" borderId="19" xfId="1" applyNumberFormat="1" applyFont="1" applyFill="1" applyBorder="1" applyAlignment="1">
      <alignment horizontal="center"/>
    </xf>
    <xf numFmtId="0" fontId="18" fillId="2" borderId="16" xfId="1" applyFont="1" applyFill="1" applyBorder="1" applyAlignment="1"/>
    <xf numFmtId="165" fontId="18" fillId="2" borderId="0" xfId="1" applyNumberFormat="1" applyFont="1" applyFill="1" applyBorder="1" applyAlignment="1"/>
    <xf numFmtId="10" fontId="18" fillId="0" borderId="0" xfId="1" applyNumberFormat="1" applyFont="1"/>
    <xf numFmtId="0" fontId="17" fillId="5" borderId="18" xfId="1" applyFont="1" applyFill="1" applyBorder="1" applyAlignment="1">
      <alignment horizontal="right"/>
    </xf>
    <xf numFmtId="3" fontId="18" fillId="6" borderId="17" xfId="1" applyNumberFormat="1" applyFont="1" applyFill="1" applyBorder="1" applyAlignment="1">
      <alignment horizontal="center"/>
    </xf>
    <xf numFmtId="0" fontId="18" fillId="6" borderId="17" xfId="1" applyFont="1" applyFill="1" applyBorder="1" applyAlignment="1">
      <alignment horizontal="center"/>
    </xf>
    <xf numFmtId="14" fontId="18" fillId="0" borderId="0" xfId="1" applyNumberFormat="1" applyFont="1"/>
    <xf numFmtId="0" fontId="18" fillId="2" borderId="14" xfId="1" applyFont="1" applyFill="1" applyBorder="1" applyAlignment="1"/>
    <xf numFmtId="165" fontId="18" fillId="2" borderId="13" xfId="1" applyNumberFormat="1" applyFont="1" applyFill="1" applyBorder="1" applyAlignment="1"/>
    <xf numFmtId="0" fontId="18" fillId="0" borderId="0" xfId="1" applyFont="1" applyAlignment="1">
      <alignment horizontal="left"/>
    </xf>
    <xf numFmtId="176" fontId="18" fillId="2" borderId="0" xfId="1" applyNumberFormat="1" applyFont="1" applyFill="1" applyBorder="1" applyAlignment="1"/>
    <xf numFmtId="176" fontId="18" fillId="2" borderId="15" xfId="1" applyNumberFormat="1" applyFont="1" applyFill="1" applyBorder="1" applyAlignment="1"/>
    <xf numFmtId="176" fontId="18" fillId="2" borderId="13" xfId="1" applyNumberFormat="1" applyFont="1" applyFill="1" applyBorder="1" applyAlignment="1"/>
    <xf numFmtId="176" fontId="18" fillId="2" borderId="12" xfId="1" applyNumberFormat="1" applyFont="1" applyFill="1" applyBorder="1" applyAlignment="1"/>
    <xf numFmtId="176" fontId="18" fillId="0" borderId="0" xfId="1" applyNumberFormat="1" applyFont="1" applyAlignment="1">
      <alignment horizontal="left"/>
    </xf>
    <xf numFmtId="0" fontId="18" fillId="2" borderId="0" xfId="1" applyNumberFormat="1" applyFont="1" applyFill="1" applyBorder="1" applyAlignment="1">
      <alignment horizontal="center"/>
    </xf>
    <xf numFmtId="0" fontId="18" fillId="2" borderId="2" xfId="1" applyNumberFormat="1" applyFont="1" applyFill="1" applyBorder="1" applyAlignment="1">
      <alignment horizontal="center"/>
    </xf>
    <xf numFmtId="0" fontId="18" fillId="2" borderId="7" xfId="1" applyNumberFormat="1" applyFont="1" applyFill="1" applyBorder="1" applyAlignment="1">
      <alignment horizontal="center"/>
    </xf>
    <xf numFmtId="165" fontId="18" fillId="0" borderId="0" xfId="1" applyNumberFormat="1" applyFont="1"/>
    <xf numFmtId="176" fontId="2" fillId="2" borderId="26" xfId="1" applyNumberFormat="1" applyFont="1" applyFill="1" applyBorder="1" applyAlignment="1">
      <alignment horizontal="right"/>
    </xf>
    <xf numFmtId="0" fontId="2" fillId="9" borderId="15" xfId="3" applyFont="1" applyFill="1" applyBorder="1"/>
    <xf numFmtId="176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0" fontId="2" fillId="9" borderId="31" xfId="3" applyFont="1" applyFill="1" applyBorder="1"/>
    <xf numFmtId="0" fontId="7" fillId="7" borderId="32" xfId="3" applyFont="1" applyFill="1" applyBorder="1" applyAlignment="1">
      <alignment horizontal="centerContinuous"/>
    </xf>
    <xf numFmtId="0" fontId="7" fillId="7" borderId="24" xfId="3" applyFont="1" applyFill="1" applyBorder="1" applyAlignment="1">
      <alignment horizontal="centerContinuous"/>
    </xf>
    <xf numFmtId="0" fontId="2" fillId="9" borderId="33" xfId="3" applyFont="1" applyFill="1" applyBorder="1"/>
    <xf numFmtId="0" fontId="20" fillId="7" borderId="25" xfId="3" applyFont="1" applyFill="1" applyBorder="1" applyAlignment="1">
      <alignment horizontal="centerContinuous"/>
    </xf>
    <xf numFmtId="0" fontId="18" fillId="2" borderId="16" xfId="1" applyFont="1" applyFill="1" applyBorder="1"/>
    <xf numFmtId="0" fontId="18" fillId="2" borderId="0" xfId="1" applyFont="1" applyFill="1" applyBorder="1"/>
    <xf numFmtId="0" fontId="18" fillId="2" borderId="15" xfId="1" applyFont="1" applyFill="1" applyBorder="1"/>
    <xf numFmtId="0" fontId="21" fillId="0" borderId="0" xfId="1" applyFont="1"/>
    <xf numFmtId="0" fontId="18" fillId="2" borderId="16" xfId="1" applyFont="1" applyFill="1" applyBorder="1" applyAlignment="1">
      <alignment horizontal="center"/>
    </xf>
    <xf numFmtId="0" fontId="18" fillId="4" borderId="10" xfId="1" applyNumberFormat="1" applyFont="1" applyFill="1" applyBorder="1" applyAlignment="1" applyProtection="1">
      <alignment horizontal="center" vertical="center"/>
    </xf>
    <xf numFmtId="0" fontId="19" fillId="4" borderId="9" xfId="1" applyNumberFormat="1" applyFont="1" applyFill="1" applyBorder="1" applyAlignment="1" applyProtection="1">
      <alignment horizontal="left" vertical="center"/>
    </xf>
    <xf numFmtId="0" fontId="18" fillId="2" borderId="3" xfId="1" applyFont="1" applyFill="1" applyBorder="1" applyAlignment="1">
      <alignment horizontal="left"/>
    </xf>
    <xf numFmtId="171" fontId="19" fillId="4" borderId="10" xfId="1" applyNumberFormat="1" applyFont="1" applyFill="1" applyBorder="1" applyAlignment="1" applyProtection="1">
      <alignment horizontal="left"/>
    </xf>
    <xf numFmtId="0" fontId="18" fillId="2" borderId="14" xfId="1" applyFont="1" applyFill="1" applyBorder="1"/>
    <xf numFmtId="0" fontId="18" fillId="2" borderId="13" xfId="1" applyFont="1" applyFill="1" applyBorder="1"/>
    <xf numFmtId="0" fontId="18" fillId="2" borderId="12" xfId="1" applyFont="1" applyFill="1" applyBorder="1"/>
    <xf numFmtId="0" fontId="21" fillId="0" borderId="0" xfId="1" quotePrefix="1" applyFont="1"/>
    <xf numFmtId="0" fontId="23" fillId="2" borderId="16" xfId="1" applyFont="1" applyFill="1" applyBorder="1"/>
    <xf numFmtId="0" fontId="18" fillId="2" borderId="26" xfId="1" applyFont="1" applyFill="1" applyBorder="1" applyAlignment="1">
      <alignment horizontal="center"/>
    </xf>
    <xf numFmtId="0" fontId="18" fillId="2" borderId="3" xfId="2" applyNumberFormat="1" applyFont="1" applyFill="1" applyBorder="1" applyAlignment="1">
      <alignment horizontal="left"/>
    </xf>
    <xf numFmtId="172" fontId="18" fillId="2" borderId="26" xfId="2" applyNumberFormat="1" applyFont="1" applyFill="1" applyBorder="1" applyAlignment="1">
      <alignment horizontal="center"/>
    </xf>
    <xf numFmtId="171" fontId="19" fillId="4" borderId="1" xfId="1" applyNumberFormat="1" applyFont="1" applyFill="1" applyBorder="1" applyAlignment="1" applyProtection="1">
      <alignment horizontal="left"/>
    </xf>
    <xf numFmtId="171" fontId="21" fillId="0" borderId="0" xfId="1" applyNumberFormat="1" applyFont="1"/>
    <xf numFmtId="0" fontId="18" fillId="2" borderId="9" xfId="1" applyFont="1" applyFill="1" applyBorder="1" applyAlignment="1">
      <alignment horizontal="center"/>
    </xf>
    <xf numFmtId="0" fontId="23" fillId="2" borderId="14" xfId="1" applyFont="1" applyFill="1" applyBorder="1"/>
    <xf numFmtId="0" fontId="23" fillId="2" borderId="13" xfId="1" applyFont="1" applyFill="1" applyBorder="1"/>
    <xf numFmtId="0" fontId="18" fillId="4" borderId="9" xfId="1" applyNumberFormat="1" applyFont="1" applyFill="1" applyBorder="1" applyAlignment="1" applyProtection="1">
      <alignment horizontal="center" vertical="center"/>
    </xf>
    <xf numFmtId="0" fontId="18" fillId="4" borderId="9" xfId="1" applyNumberFormat="1" applyFont="1" applyFill="1" applyBorder="1" applyAlignment="1" applyProtection="1">
      <alignment horizontal="left" vertical="center"/>
    </xf>
    <xf numFmtId="0" fontId="18" fillId="2" borderId="9" xfId="1" applyFont="1" applyFill="1" applyBorder="1"/>
    <xf numFmtId="171" fontId="19" fillId="4" borderId="9" xfId="1" applyNumberFormat="1" applyFont="1" applyFill="1" applyBorder="1" applyAlignment="1" applyProtection="1">
      <alignment horizontal="left"/>
    </xf>
    <xf numFmtId="0" fontId="18" fillId="2" borderId="9" xfId="1" applyNumberFormat="1" applyFont="1" applyFill="1" applyBorder="1" applyAlignment="1">
      <alignment horizontal="center"/>
    </xf>
    <xf numFmtId="0" fontId="18" fillId="0" borderId="9" xfId="2" applyNumberFormat="1" applyFont="1" applyFill="1" applyBorder="1" applyAlignment="1">
      <alignment horizontal="center"/>
    </xf>
    <xf numFmtId="165" fontId="18" fillId="2" borderId="9" xfId="1" applyNumberFormat="1" applyFont="1" applyFill="1" applyBorder="1" applyAlignment="1"/>
    <xf numFmtId="0" fontId="18" fillId="2" borderId="9" xfId="1" applyNumberFormat="1" applyFont="1" applyFill="1" applyBorder="1" applyAlignment="1">
      <alignment horizontal="left"/>
    </xf>
    <xf numFmtId="0" fontId="18" fillId="2" borderId="9" xfId="1" applyNumberFormat="1" applyFont="1" applyFill="1" applyBorder="1" applyAlignment="1"/>
    <xf numFmtId="0" fontId="18" fillId="2" borderId="26" xfId="1" applyNumberFormat="1" applyFont="1" applyFill="1" applyBorder="1" applyAlignment="1">
      <alignment horizontal="left"/>
    </xf>
    <xf numFmtId="0" fontId="18" fillId="0" borderId="0" xfId="1" applyFont="1" applyBorder="1" applyAlignment="1">
      <alignment horizontal="center"/>
    </xf>
    <xf numFmtId="0" fontId="18" fillId="0" borderId="26" xfId="2" applyNumberFormat="1" applyFont="1" applyFill="1" applyBorder="1" applyAlignment="1">
      <alignment horizontal="center"/>
    </xf>
    <xf numFmtId="0" fontId="17" fillId="3" borderId="25" xfId="1" applyFont="1" applyFill="1" applyBorder="1" applyAlignment="1">
      <alignment horizontal="center" vertical="center" wrapText="1"/>
    </xf>
    <xf numFmtId="0" fontId="0" fillId="0" borderId="0" xfId="0"/>
    <xf numFmtId="0" fontId="18" fillId="0" borderId="0" xfId="1" applyFont="1"/>
    <xf numFmtId="0" fontId="18" fillId="0" borderId="0" xfId="1" applyFont="1" applyAlignment="1">
      <alignment horizontal="left"/>
    </xf>
    <xf numFmtId="164" fontId="18" fillId="2" borderId="1" xfId="1" applyNumberFormat="1" applyFont="1" applyFill="1" applyBorder="1" applyAlignment="1">
      <alignment horizontal="right"/>
    </xf>
    <xf numFmtId="164" fontId="18" fillId="2" borderId="2" xfId="1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center"/>
    </xf>
    <xf numFmtId="165" fontId="18" fillId="2" borderId="2" xfId="2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left"/>
    </xf>
    <xf numFmtId="164" fontId="18" fillId="2" borderId="4" xfId="1" applyNumberFormat="1" applyFont="1" applyFill="1" applyBorder="1" applyAlignment="1">
      <alignment horizontal="right"/>
    </xf>
    <xf numFmtId="164" fontId="18" fillId="2" borderId="0" xfId="1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center"/>
    </xf>
    <xf numFmtId="165" fontId="18" fillId="2" borderId="0" xfId="2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left"/>
    </xf>
    <xf numFmtId="164" fontId="18" fillId="2" borderId="6" xfId="1" applyNumberFormat="1" applyFont="1" applyFill="1" applyBorder="1" applyAlignment="1">
      <alignment horizontal="right"/>
    </xf>
    <xf numFmtId="164" fontId="18" fillId="2" borderId="7" xfId="1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center"/>
    </xf>
    <xf numFmtId="165" fontId="18" fillId="2" borderId="7" xfId="2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left"/>
    </xf>
    <xf numFmtId="166" fontId="18" fillId="2" borderId="0" xfId="1" applyNumberFormat="1" applyFont="1" applyFill="1" applyBorder="1" applyAlignment="1">
      <alignment horizontal="right"/>
    </xf>
    <xf numFmtId="0" fontId="17" fillId="3" borderId="9" xfId="1" applyFont="1" applyFill="1" applyBorder="1" applyAlignment="1">
      <alignment horizontal="center" vertical="center" wrapText="1"/>
    </xf>
    <xf numFmtId="0" fontId="26" fillId="0" borderId="0" xfId="0" applyFont="1"/>
    <xf numFmtId="0" fontId="17" fillId="11" borderId="34" xfId="1" applyFont="1" applyFill="1" applyBorder="1" applyAlignment="1">
      <alignment horizontal="center"/>
    </xf>
    <xf numFmtId="0" fontId="18" fillId="0" borderId="0" xfId="1" applyFont="1" applyAlignment="1">
      <alignment horizontal="right"/>
    </xf>
    <xf numFmtId="0" fontId="18" fillId="0" borderId="34" xfId="1" applyFont="1" applyBorder="1" applyAlignment="1">
      <alignment horizontal="center"/>
    </xf>
    <xf numFmtId="0" fontId="17" fillId="11" borderId="30" xfId="1" applyFont="1" applyFill="1" applyBorder="1" applyAlignment="1">
      <alignment horizontal="centerContinuous"/>
    </xf>
    <xf numFmtId="0" fontId="17" fillId="11" borderId="31" xfId="1" applyFont="1" applyFill="1" applyBorder="1" applyAlignment="1">
      <alignment horizontal="centerContinuous"/>
    </xf>
    <xf numFmtId="0" fontId="17" fillId="11" borderId="29" xfId="1" applyFont="1" applyFill="1" applyBorder="1" applyAlignment="1">
      <alignment horizontal="centerContinuous"/>
    </xf>
    <xf numFmtId="0" fontId="17" fillId="11" borderId="25" xfId="1" applyFont="1" applyFill="1" applyBorder="1" applyAlignment="1">
      <alignment horizontal="centerContinuous"/>
    </xf>
    <xf numFmtId="0" fontId="17" fillId="11" borderId="35" xfId="1" applyFont="1" applyFill="1" applyBorder="1" applyAlignment="1">
      <alignment horizontal="centerContinuous"/>
    </xf>
    <xf numFmtId="0" fontId="17" fillId="12" borderId="35" xfId="1" applyFont="1" applyFill="1" applyBorder="1" applyAlignment="1">
      <alignment horizontal="center"/>
    </xf>
    <xf numFmtId="0" fontId="18" fillId="10" borderId="27" xfId="1" applyFont="1" applyFill="1" applyBorder="1"/>
    <xf numFmtId="177" fontId="18" fillId="0" borderId="0" xfId="1" applyNumberFormat="1" applyFont="1"/>
    <xf numFmtId="0" fontId="17" fillId="12" borderId="0" xfId="1" applyFont="1" applyFill="1" applyBorder="1" applyAlignment="1">
      <alignment horizontal="center" vertical="center"/>
    </xf>
    <xf numFmtId="0" fontId="17" fillId="11" borderId="30" xfId="1" applyFont="1" applyFill="1" applyBorder="1" applyAlignment="1">
      <alignment horizontal="center"/>
    </xf>
    <xf numFmtId="0" fontId="18" fillId="0" borderId="7" xfId="1" applyFont="1" applyBorder="1" applyAlignment="1">
      <alignment horizontal="center" vertical="center"/>
    </xf>
    <xf numFmtId="0" fontId="17" fillId="11" borderId="25" xfId="1" applyFont="1" applyFill="1" applyBorder="1" applyAlignment="1">
      <alignment horizontal="center"/>
    </xf>
    <xf numFmtId="0" fontId="17" fillId="11" borderId="32" xfId="1" applyFont="1" applyFill="1" applyBorder="1" applyAlignment="1">
      <alignment horizontal="center"/>
    </xf>
    <xf numFmtId="0" fontId="17" fillId="11" borderId="32" xfId="1" applyFont="1" applyFill="1" applyBorder="1" applyAlignment="1">
      <alignment horizontal="center" vertical="center"/>
    </xf>
    <xf numFmtId="0" fontId="17" fillId="11" borderId="24" xfId="1" applyFont="1" applyFill="1" applyBorder="1" applyAlignment="1">
      <alignment horizontal="center" vertical="center"/>
    </xf>
    <xf numFmtId="176" fontId="18" fillId="0" borderId="0" xfId="1" applyNumberFormat="1" applyFont="1" applyBorder="1"/>
    <xf numFmtId="165" fontId="18" fillId="0" borderId="15" xfId="2" quotePrefix="1" applyNumberFormat="1" applyFont="1" applyBorder="1" applyAlignment="1"/>
    <xf numFmtId="0" fontId="18" fillId="0" borderId="16" xfId="1" applyFont="1" applyBorder="1"/>
    <xf numFmtId="176" fontId="18" fillId="0" borderId="0" xfId="1" applyNumberFormat="1" applyFont="1" applyBorder="1" applyAlignment="1"/>
    <xf numFmtId="165" fontId="18" fillId="0" borderId="0" xfId="2" quotePrefix="1" applyNumberFormat="1" applyFont="1" applyBorder="1" applyAlignment="1"/>
    <xf numFmtId="165" fontId="18" fillId="0" borderId="13" xfId="2" quotePrefix="1" applyNumberFormat="1" applyFont="1" applyBorder="1" applyAlignment="1"/>
    <xf numFmtId="165" fontId="18" fillId="0" borderId="12" xfId="2" quotePrefix="1" applyNumberFormat="1" applyFont="1" applyBorder="1" applyAlignment="1"/>
    <xf numFmtId="176" fontId="18" fillId="0" borderId="13" xfId="1" applyNumberFormat="1" applyFont="1" applyBorder="1"/>
    <xf numFmtId="165" fontId="18" fillId="0" borderId="0" xfId="2" applyNumberFormat="1" applyFont="1" applyBorder="1"/>
    <xf numFmtId="0" fontId="18" fillId="0" borderId="0" xfId="1" applyFont="1" applyBorder="1" applyAlignment="1">
      <alignment horizontal="right" vertical="center"/>
    </xf>
    <xf numFmtId="0" fontId="18" fillId="0" borderId="0" xfId="1" applyFont="1" applyBorder="1"/>
    <xf numFmtId="165" fontId="18" fillId="0" borderId="0" xfId="15" applyNumberFormat="1" applyFont="1" applyBorder="1"/>
    <xf numFmtId="165" fontId="18" fillId="0" borderId="0" xfId="2" applyNumberFormat="1" applyFont="1"/>
    <xf numFmtId="165" fontId="18" fillId="0" borderId="0" xfId="1" applyNumberFormat="1" applyFont="1" applyBorder="1"/>
    <xf numFmtId="165" fontId="27" fillId="0" borderId="16" xfId="2" applyNumberFormat="1" applyFont="1" applyBorder="1"/>
    <xf numFmtId="0" fontId="18" fillId="0" borderId="14" xfId="1" applyFont="1" applyBorder="1"/>
    <xf numFmtId="165" fontId="18" fillId="0" borderId="13" xfId="2" applyNumberFormat="1" applyFont="1" applyBorder="1"/>
    <xf numFmtId="165" fontId="18" fillId="0" borderId="13" xfId="15" applyNumberFormat="1" applyFont="1" applyBorder="1"/>
    <xf numFmtId="0" fontId="17" fillId="11" borderId="32" xfId="1" applyFont="1" applyFill="1" applyBorder="1" applyAlignment="1">
      <alignment horizontal="centerContinuous"/>
    </xf>
    <xf numFmtId="0" fontId="17" fillId="12" borderId="38" xfId="1" applyFont="1" applyFill="1" applyBorder="1" applyAlignment="1">
      <alignment horizontal="center"/>
    </xf>
    <xf numFmtId="0" fontId="17" fillId="12" borderId="39" xfId="1" applyFont="1" applyFill="1" applyBorder="1" applyAlignment="1">
      <alignment horizontal="center"/>
    </xf>
    <xf numFmtId="0" fontId="17" fillId="12" borderId="40" xfId="1" applyFont="1" applyFill="1" applyBorder="1" applyAlignment="1">
      <alignment horizontal="center"/>
    </xf>
    <xf numFmtId="0" fontId="18" fillId="13" borderId="16" xfId="1" applyFont="1" applyFill="1" applyBorder="1" applyAlignment="1">
      <alignment vertical="center"/>
    </xf>
    <xf numFmtId="0" fontId="18" fillId="13" borderId="36" xfId="1" applyFont="1" applyFill="1" applyBorder="1"/>
    <xf numFmtId="176" fontId="18" fillId="13" borderId="27" xfId="1" applyNumberFormat="1" applyFont="1" applyFill="1" applyBorder="1"/>
    <xf numFmtId="0" fontId="17" fillId="11" borderId="31" xfId="1" applyFont="1" applyFill="1" applyBorder="1" applyAlignment="1">
      <alignment horizontal="center" vertical="center"/>
    </xf>
    <xf numFmtId="165" fontId="18" fillId="0" borderId="15" xfId="1" applyNumberFormat="1" applyFont="1" applyBorder="1" applyAlignment="1">
      <alignment horizontal="right"/>
    </xf>
    <xf numFmtId="0" fontId="26" fillId="13" borderId="0" xfId="0" applyFont="1" applyFill="1"/>
    <xf numFmtId="0" fontId="18" fillId="13" borderId="30" xfId="1" applyFont="1" applyFill="1" applyBorder="1"/>
    <xf numFmtId="0" fontId="18" fillId="13" borderId="38" xfId="1" applyFont="1" applyFill="1" applyBorder="1"/>
    <xf numFmtId="176" fontId="18" fillId="13" borderId="39" xfId="1" applyNumberFormat="1" applyFont="1" applyFill="1" applyBorder="1"/>
    <xf numFmtId="0" fontId="18" fillId="10" borderId="39" xfId="1" applyFont="1" applyFill="1" applyBorder="1"/>
    <xf numFmtId="0" fontId="18" fillId="0" borderId="32" xfId="1" applyFont="1" applyBorder="1"/>
    <xf numFmtId="176" fontId="18" fillId="0" borderId="32" xfId="1" applyNumberFormat="1" applyFont="1" applyBorder="1"/>
    <xf numFmtId="10" fontId="18" fillId="0" borderId="32" xfId="1" applyNumberFormat="1" applyFont="1" applyBorder="1"/>
    <xf numFmtId="165" fontId="18" fillId="0" borderId="32" xfId="2" quotePrefix="1" applyNumberFormat="1" applyFont="1" applyBorder="1" applyAlignment="1"/>
    <xf numFmtId="165" fontId="18" fillId="0" borderId="32" xfId="1" applyNumberFormat="1" applyFont="1" applyBorder="1"/>
    <xf numFmtId="0" fontId="18" fillId="0" borderId="32" xfId="1" applyFont="1" applyBorder="1" applyAlignment="1">
      <alignment horizontal="right"/>
    </xf>
    <xf numFmtId="0" fontId="18" fillId="0" borderId="31" xfId="1" applyFont="1" applyBorder="1" applyAlignment="1">
      <alignment horizontal="right"/>
    </xf>
    <xf numFmtId="0" fontId="18" fillId="13" borderId="16" xfId="1" applyFont="1" applyFill="1" applyBorder="1"/>
    <xf numFmtId="0" fontId="18" fillId="0" borderId="31" xfId="1" applyFont="1" applyBorder="1"/>
    <xf numFmtId="0" fontId="26" fillId="0" borderId="31" xfId="0" applyFont="1" applyBorder="1"/>
    <xf numFmtId="0" fontId="18" fillId="13" borderId="37" xfId="1" applyNumberFormat="1" applyFont="1" applyFill="1" applyBorder="1"/>
    <xf numFmtId="9" fontId="18" fillId="13" borderId="36" xfId="1" applyNumberFormat="1" applyFont="1" applyFill="1" applyBorder="1"/>
    <xf numFmtId="10" fontId="18" fillId="13" borderId="27" xfId="1" applyNumberFormat="1" applyFont="1" applyFill="1" applyBorder="1"/>
    <xf numFmtId="10" fontId="18" fillId="13" borderId="37" xfId="1" applyNumberFormat="1" applyFont="1" applyFill="1" applyBorder="1"/>
    <xf numFmtId="0" fontId="18" fillId="13" borderId="40" xfId="1" applyFont="1" applyFill="1" applyBorder="1"/>
    <xf numFmtId="9" fontId="18" fillId="13" borderId="38" xfId="1" applyNumberFormat="1" applyFont="1" applyFill="1" applyBorder="1"/>
    <xf numFmtId="10" fontId="18" fillId="13" borderId="39" xfId="1" applyNumberFormat="1" applyFont="1" applyFill="1" applyBorder="1"/>
    <xf numFmtId="10" fontId="18" fillId="13" borderId="40" xfId="1" applyNumberFormat="1" applyFont="1" applyFill="1" applyBorder="1"/>
    <xf numFmtId="10" fontId="18" fillId="0" borderId="0" xfId="1" applyNumberFormat="1" applyFont="1"/>
    <xf numFmtId="166" fontId="18" fillId="2" borderId="7" xfId="1" applyNumberFormat="1" applyFont="1" applyFill="1" applyBorder="1" applyAlignment="1">
      <alignment horizontal="right"/>
    </xf>
    <xf numFmtId="0" fontId="18" fillId="2" borderId="5" xfId="1" applyFont="1" applyFill="1" applyBorder="1" applyAlignment="1">
      <alignment horizontal="left"/>
    </xf>
    <xf numFmtId="0" fontId="18" fillId="2" borderId="8" xfId="1" applyFont="1" applyFill="1" applyBorder="1" applyAlignment="1">
      <alignment horizontal="left"/>
    </xf>
    <xf numFmtId="0" fontId="18" fillId="0" borderId="34" xfId="1" applyFont="1" applyBorder="1" applyAlignment="1">
      <alignment horizontal="center"/>
    </xf>
    <xf numFmtId="0" fontId="17" fillId="11" borderId="35" xfId="1" applyFont="1" applyFill="1" applyBorder="1" applyAlignment="1">
      <alignment horizontal="center" wrapText="1"/>
    </xf>
    <xf numFmtId="0" fontId="28" fillId="2" borderId="0" xfId="1" applyFont="1" applyFill="1" applyBorder="1" applyAlignment="1">
      <alignment horizontal="center"/>
    </xf>
    <xf numFmtId="0" fontId="18" fillId="0" borderId="0" xfId="1" applyFont="1" applyFill="1" applyBorder="1" applyAlignment="1">
      <alignment horizontal="center"/>
    </xf>
    <xf numFmtId="0" fontId="18" fillId="0" borderId="0" xfId="1" applyFont="1" applyFill="1" applyBorder="1"/>
    <xf numFmtId="0" fontId="18" fillId="0" borderId="0" xfId="2" applyNumberFormat="1" applyFont="1" applyFill="1" applyBorder="1" applyAlignment="1">
      <alignment horizontal="center"/>
    </xf>
    <xf numFmtId="0" fontId="18" fillId="0" borderId="0" xfId="1" applyNumberFormat="1" applyFont="1" applyFill="1" applyBorder="1" applyAlignment="1">
      <alignment horizontal="center"/>
    </xf>
    <xf numFmtId="165" fontId="18" fillId="0" borderId="0" xfId="1" applyNumberFormat="1" applyFont="1" applyFill="1" applyBorder="1" applyAlignment="1"/>
    <xf numFmtId="0" fontId="18" fillId="0" borderId="0" xfId="1" applyNumberFormat="1" applyFont="1" applyFill="1" applyBorder="1" applyAlignment="1">
      <alignment horizontal="left"/>
    </xf>
    <xf numFmtId="0" fontId="18" fillId="0" borderId="0" xfId="1" applyNumberFormat="1" applyFont="1" applyFill="1" applyBorder="1" applyAlignment="1"/>
    <xf numFmtId="0" fontId="18" fillId="0" borderId="0" xfId="1" applyNumberFormat="1" applyFont="1" applyFill="1" applyBorder="1" applyAlignment="1" applyProtection="1">
      <alignment horizontal="left" vertical="center"/>
    </xf>
    <xf numFmtId="0" fontId="18" fillId="0" borderId="0" xfId="1" applyFont="1" applyFill="1" applyBorder="1" applyAlignment="1">
      <alignment horizontal="left"/>
    </xf>
    <xf numFmtId="0" fontId="18" fillId="2" borderId="30" xfId="1" applyFont="1" applyFill="1" applyBorder="1" applyAlignment="1">
      <alignment horizontal="center"/>
    </xf>
    <xf numFmtId="0" fontId="18" fillId="2" borderId="31" xfId="1" applyFont="1" applyFill="1" applyBorder="1"/>
    <xf numFmtId="0" fontId="18" fillId="2" borderId="31" xfId="1" applyFont="1" applyFill="1" applyBorder="1" applyAlignment="1">
      <alignment horizontal="center"/>
    </xf>
    <xf numFmtId="0" fontId="17" fillId="3" borderId="28" xfId="1" applyFont="1" applyFill="1" applyBorder="1" applyAlignment="1">
      <alignment horizontal="center" vertical="center" wrapText="1"/>
    </xf>
    <xf numFmtId="166" fontId="18" fillId="2" borderId="2" xfId="1" applyNumberFormat="1" applyFont="1" applyFill="1" applyBorder="1" applyAlignment="1">
      <alignment horizontal="right"/>
    </xf>
    <xf numFmtId="0" fontId="21" fillId="10" borderId="30" xfId="1" applyFont="1" applyFill="1" applyBorder="1"/>
    <xf numFmtId="0" fontId="18" fillId="10" borderId="31" xfId="1" applyFont="1" applyFill="1" applyBorder="1"/>
    <xf numFmtId="0" fontId="18" fillId="10" borderId="31" xfId="1" applyFont="1" applyFill="1" applyBorder="1" applyAlignment="1">
      <alignment horizontal="center"/>
    </xf>
    <xf numFmtId="0" fontId="22" fillId="10" borderId="31" xfId="1" applyFont="1" applyFill="1" applyBorder="1" applyAlignment="1">
      <alignment horizontal="center" vertical="center"/>
    </xf>
    <xf numFmtId="0" fontId="18" fillId="10" borderId="29" xfId="1" applyFont="1" applyFill="1" applyBorder="1"/>
    <xf numFmtId="0" fontId="21" fillId="10" borderId="14" xfId="1" applyFont="1" applyFill="1" applyBorder="1"/>
    <xf numFmtId="0" fontId="21" fillId="10" borderId="13" xfId="1" applyFont="1" applyFill="1" applyBorder="1"/>
    <xf numFmtId="0" fontId="21" fillId="10" borderId="12" xfId="1" applyFont="1" applyFill="1" applyBorder="1"/>
    <xf numFmtId="0" fontId="22" fillId="2" borderId="41" xfId="1" applyFont="1" applyFill="1" applyBorder="1" applyAlignment="1">
      <alignment horizontal="center" vertical="center"/>
    </xf>
    <xf numFmtId="0" fontId="18" fillId="2" borderId="2" xfId="1" applyFont="1" applyFill="1" applyBorder="1"/>
    <xf numFmtId="0" fontId="22" fillId="2" borderId="2" xfId="1" applyFont="1" applyFill="1" applyBorder="1" applyAlignment="1">
      <alignment horizontal="left" vertical="center"/>
    </xf>
    <xf numFmtId="0" fontId="18" fillId="10" borderId="13" xfId="1" applyNumberFormat="1" applyFont="1" applyFill="1" applyBorder="1" applyAlignment="1"/>
    <xf numFmtId="165" fontId="21" fillId="0" borderId="0" xfId="1" applyNumberFormat="1" applyFont="1"/>
    <xf numFmtId="0" fontId="17" fillId="11" borderId="35" xfId="1" applyFont="1" applyFill="1" applyBorder="1" applyAlignment="1">
      <alignment horizontal="center"/>
    </xf>
    <xf numFmtId="0" fontId="26" fillId="0" borderId="42" xfId="0" applyFont="1" applyBorder="1"/>
    <xf numFmtId="0" fontId="18" fillId="0" borderId="42" xfId="1" applyFont="1" applyBorder="1"/>
    <xf numFmtId="0" fontId="18" fillId="0" borderId="43" xfId="1" applyFont="1" applyBorder="1"/>
    <xf numFmtId="0" fontId="17" fillId="3" borderId="0" xfId="1" applyFont="1" applyFill="1" applyBorder="1" applyAlignment="1">
      <alignment horizontal="center" vertical="center" wrapText="1"/>
    </xf>
    <xf numFmtId="0" fontId="18" fillId="0" borderId="0" xfId="1" applyFont="1" applyBorder="1" applyAlignment="1">
      <alignment horizontal="right"/>
    </xf>
    <xf numFmtId="0" fontId="18" fillId="0" borderId="13" xfId="1" applyFont="1" applyBorder="1" applyAlignment="1">
      <alignment horizontal="right" vertical="center"/>
    </xf>
    <xf numFmtId="165" fontId="18" fillId="0" borderId="12" xfId="1" applyNumberFormat="1" applyFont="1" applyBorder="1" applyAlignment="1">
      <alignment horizontal="right"/>
    </xf>
    <xf numFmtId="0" fontId="22" fillId="10" borderId="16" xfId="1" applyFont="1" applyFill="1" applyBorder="1"/>
    <xf numFmtId="0" fontId="22" fillId="4" borderId="9" xfId="1" applyNumberFormat="1" applyFont="1" applyFill="1" applyBorder="1" applyAlignment="1" applyProtection="1">
      <alignment horizontal="center" vertical="center"/>
    </xf>
    <xf numFmtId="171" fontId="30" fillId="4" borderId="9" xfId="1" applyNumberFormat="1" applyFont="1" applyFill="1" applyBorder="1" applyAlignment="1" applyProtection="1">
      <alignment horizontal="left"/>
    </xf>
    <xf numFmtId="0" fontId="22" fillId="10" borderId="15" xfId="1" applyFont="1" applyFill="1" applyBorder="1"/>
    <xf numFmtId="0" fontId="22" fillId="0" borderId="0" xfId="1" applyFont="1"/>
    <xf numFmtId="172" fontId="22" fillId="0" borderId="9" xfId="1" applyNumberFormat="1" applyFont="1" applyFill="1" applyBorder="1" applyAlignment="1">
      <alignment horizontal="right"/>
    </xf>
    <xf numFmtId="0" fontId="22" fillId="2" borderId="9" xfId="1" applyFont="1" applyFill="1" applyBorder="1" applyAlignment="1">
      <alignment horizontal="center" vertical="center" wrapText="1"/>
    </xf>
    <xf numFmtId="0" fontId="22" fillId="0" borderId="9" xfId="1" applyFont="1" applyFill="1" applyBorder="1" applyAlignment="1">
      <alignment horizontal="center"/>
    </xf>
    <xf numFmtId="0" fontId="19" fillId="4" borderId="10" xfId="1" applyNumberFormat="1" applyFont="1" applyFill="1" applyBorder="1" applyAlignment="1" applyProtection="1">
      <alignment vertical="center"/>
    </xf>
    <xf numFmtId="0" fontId="18" fillId="2" borderId="28" xfId="1" applyNumberFormat="1" applyFont="1" applyFill="1" applyBorder="1" applyAlignment="1">
      <alignment horizontal="left"/>
    </xf>
    <xf numFmtId="0" fontId="19" fillId="4" borderId="28" xfId="1" applyNumberFormat="1" applyFont="1" applyFill="1" applyBorder="1" applyAlignment="1" applyProtection="1"/>
    <xf numFmtId="0" fontId="18" fillId="2" borderId="27" xfId="1" applyNumberFormat="1" applyFont="1" applyFill="1" applyBorder="1" applyAlignment="1">
      <alignment horizontal="left"/>
    </xf>
    <xf numFmtId="0" fontId="19" fillId="4" borderId="27" xfId="1" applyNumberFormat="1" applyFont="1" applyFill="1" applyBorder="1" applyAlignment="1" applyProtection="1"/>
    <xf numFmtId="0" fontId="19" fillId="4" borderId="26" xfId="1" applyNumberFormat="1" applyFont="1" applyFill="1" applyBorder="1" applyAlignment="1" applyProtection="1"/>
    <xf numFmtId="0" fontId="26" fillId="10" borderId="30" xfId="0" applyFont="1" applyFill="1" applyBorder="1"/>
    <xf numFmtId="0" fontId="26" fillId="10" borderId="31" xfId="0" applyFont="1" applyFill="1" applyBorder="1"/>
    <xf numFmtId="0" fontId="26" fillId="10" borderId="29" xfId="0" applyFont="1" applyFill="1" applyBorder="1"/>
    <xf numFmtId="0" fontId="26" fillId="10" borderId="16" xfId="0" applyFont="1" applyFill="1" applyBorder="1"/>
    <xf numFmtId="0" fontId="26" fillId="10" borderId="15" xfId="0" applyFont="1" applyFill="1" applyBorder="1"/>
    <xf numFmtId="0" fontId="26" fillId="10" borderId="14" xfId="0" applyFont="1" applyFill="1" applyBorder="1"/>
    <xf numFmtId="0" fontId="26" fillId="10" borderId="13" xfId="0" applyFont="1" applyFill="1" applyBorder="1"/>
    <xf numFmtId="0" fontId="26" fillId="10" borderId="12" xfId="0" applyFont="1" applyFill="1" applyBorder="1"/>
    <xf numFmtId="0" fontId="26" fillId="0" borderId="0" xfId="0" applyFont="1" applyFill="1" applyBorder="1"/>
    <xf numFmtId="0" fontId="18" fillId="2" borderId="9" xfId="1" applyFont="1" applyFill="1" applyBorder="1" applyAlignment="1">
      <alignment horizontal="center" vertical="center" wrapText="1"/>
    </xf>
    <xf numFmtId="0" fontId="31" fillId="2" borderId="0" xfId="1" applyFont="1" applyFill="1" applyBorder="1"/>
    <xf numFmtId="0" fontId="18" fillId="2" borderId="11" xfId="1" applyFont="1" applyFill="1" applyBorder="1" applyAlignment="1">
      <alignment horizontal="center" vertical="center" wrapText="1"/>
    </xf>
    <xf numFmtId="0" fontId="18" fillId="2" borderId="10" xfId="1" applyFont="1" applyFill="1" applyBorder="1" applyAlignment="1">
      <alignment horizontal="center" vertical="center" wrapText="1"/>
    </xf>
    <xf numFmtId="0" fontId="18" fillId="2" borderId="3" xfId="1" applyFont="1" applyFill="1" applyBorder="1" applyAlignment="1">
      <alignment horizontal="center"/>
    </xf>
    <xf numFmtId="0" fontId="18" fillId="2" borderId="11" xfId="1" applyFont="1" applyFill="1" applyBorder="1" applyAlignment="1">
      <alignment horizontal="center"/>
    </xf>
    <xf numFmtId="179" fontId="18" fillId="2" borderId="26" xfId="1" applyNumberFormat="1" applyFont="1" applyFill="1" applyBorder="1" applyAlignment="1">
      <alignment horizontal="center"/>
    </xf>
    <xf numFmtId="0" fontId="31" fillId="2" borderId="29" xfId="1" applyFont="1" applyFill="1" applyBorder="1"/>
    <xf numFmtId="0" fontId="31" fillId="2" borderId="15" xfId="1" applyFont="1" applyFill="1" applyBorder="1"/>
    <xf numFmtId="0" fontId="31" fillId="2" borderId="12" xfId="1" applyFont="1" applyFill="1" applyBorder="1"/>
    <xf numFmtId="0" fontId="31" fillId="0" borderId="0" xfId="1" applyFont="1" applyFill="1" applyBorder="1"/>
    <xf numFmtId="0" fontId="17" fillId="11" borderId="30" xfId="1" applyFont="1" applyFill="1" applyBorder="1" applyAlignment="1">
      <alignment horizontal="center" vertical="center"/>
    </xf>
    <xf numFmtId="0" fontId="17" fillId="11" borderId="29" xfId="1" applyFont="1" applyFill="1" applyBorder="1" applyAlignment="1">
      <alignment horizontal="center" vertical="center"/>
    </xf>
    <xf numFmtId="0" fontId="17" fillId="11" borderId="31" xfId="1" applyFont="1" applyFill="1" applyBorder="1" applyAlignment="1">
      <alignment horizontal="center" vertical="center" wrapText="1"/>
    </xf>
    <xf numFmtId="0" fontId="17" fillId="3" borderId="25" xfId="1" applyFont="1" applyFill="1" applyBorder="1" applyAlignment="1">
      <alignment horizontal="center" vertical="center" wrapText="1"/>
    </xf>
    <xf numFmtId="0" fontId="17" fillId="3" borderId="24" xfId="1" applyFont="1" applyFill="1" applyBorder="1" applyAlignment="1">
      <alignment horizontal="center" vertical="center" wrapText="1"/>
    </xf>
    <xf numFmtId="0" fontId="18" fillId="0" borderId="13" xfId="1" applyFont="1" applyBorder="1"/>
  </cellXfs>
  <cellStyles count="20">
    <cellStyle name="Comma 2" xfId="19"/>
    <cellStyle name="Migliaia (0)_AZIONI" xfId="4"/>
    <cellStyle name="Migliaia_AZIONI" xfId="5"/>
    <cellStyle name="Normal" xfId="0" builtinId="0"/>
    <cellStyle name="Normal 2" xfId="1"/>
    <cellStyle name="Normal 2 2" xfId="11"/>
    <cellStyle name="Normal 3" xfId="12"/>
    <cellStyle name="Normal 3 2" xfId="16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2 2" xfId="17"/>
    <cellStyle name="Percent 2 2 2" xfId="18"/>
    <cellStyle name="Percent 3" xfId="13"/>
    <cellStyle name="Percent 4" xfId="14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Monitor!$AA$18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Monitor!$Z$19:$Z$3552</c:f>
              <c:numCache>
                <c:formatCode>ddd\,\ dd\-mmm\-yyyy</c:formatCode>
                <c:ptCount val="3534"/>
                <c:pt idx="0">
                  <c:v>42139</c:v>
                </c:pt>
                <c:pt idx="1">
                  <c:v>42142</c:v>
                </c:pt>
                <c:pt idx="2">
                  <c:v>42143</c:v>
                </c:pt>
                <c:pt idx="3">
                  <c:v>42144</c:v>
                </c:pt>
                <c:pt idx="4">
                  <c:v>42145</c:v>
                </c:pt>
                <c:pt idx="5">
                  <c:v>42146</c:v>
                </c:pt>
                <c:pt idx="6">
                  <c:v>42150</c:v>
                </c:pt>
                <c:pt idx="7">
                  <c:v>42151</c:v>
                </c:pt>
                <c:pt idx="8">
                  <c:v>42152</c:v>
                </c:pt>
                <c:pt idx="9">
                  <c:v>42153</c:v>
                </c:pt>
                <c:pt idx="10">
                  <c:v>42156</c:v>
                </c:pt>
                <c:pt idx="11">
                  <c:v>42157</c:v>
                </c:pt>
                <c:pt idx="12">
                  <c:v>42158</c:v>
                </c:pt>
                <c:pt idx="13">
                  <c:v>42159</c:v>
                </c:pt>
                <c:pt idx="14">
                  <c:v>42160</c:v>
                </c:pt>
                <c:pt idx="15">
                  <c:v>42163</c:v>
                </c:pt>
                <c:pt idx="16">
                  <c:v>42164</c:v>
                </c:pt>
                <c:pt idx="17">
                  <c:v>42165</c:v>
                </c:pt>
                <c:pt idx="18">
                  <c:v>42166</c:v>
                </c:pt>
                <c:pt idx="19">
                  <c:v>42167</c:v>
                </c:pt>
                <c:pt idx="20">
                  <c:v>42170</c:v>
                </c:pt>
                <c:pt idx="21">
                  <c:v>42171</c:v>
                </c:pt>
                <c:pt idx="22">
                  <c:v>42172</c:v>
                </c:pt>
                <c:pt idx="23">
                  <c:v>42173</c:v>
                </c:pt>
                <c:pt idx="24">
                  <c:v>42174</c:v>
                </c:pt>
                <c:pt idx="25">
                  <c:v>42177</c:v>
                </c:pt>
                <c:pt idx="26">
                  <c:v>42178</c:v>
                </c:pt>
                <c:pt idx="27">
                  <c:v>42179</c:v>
                </c:pt>
                <c:pt idx="28">
                  <c:v>42180</c:v>
                </c:pt>
                <c:pt idx="29">
                  <c:v>42181</c:v>
                </c:pt>
                <c:pt idx="30">
                  <c:v>42184</c:v>
                </c:pt>
                <c:pt idx="31">
                  <c:v>42185</c:v>
                </c:pt>
                <c:pt idx="32">
                  <c:v>42186</c:v>
                </c:pt>
                <c:pt idx="33">
                  <c:v>42187</c:v>
                </c:pt>
                <c:pt idx="34">
                  <c:v>42188</c:v>
                </c:pt>
                <c:pt idx="35">
                  <c:v>42191</c:v>
                </c:pt>
                <c:pt idx="36">
                  <c:v>42192</c:v>
                </c:pt>
                <c:pt idx="37">
                  <c:v>42193</c:v>
                </c:pt>
                <c:pt idx="38">
                  <c:v>42194</c:v>
                </c:pt>
                <c:pt idx="39">
                  <c:v>42195</c:v>
                </c:pt>
                <c:pt idx="40">
                  <c:v>42198</c:v>
                </c:pt>
                <c:pt idx="41">
                  <c:v>42199</c:v>
                </c:pt>
                <c:pt idx="42">
                  <c:v>42200</c:v>
                </c:pt>
                <c:pt idx="43">
                  <c:v>42201</c:v>
                </c:pt>
                <c:pt idx="44">
                  <c:v>42202</c:v>
                </c:pt>
                <c:pt idx="45">
                  <c:v>42205</c:v>
                </c:pt>
                <c:pt idx="46">
                  <c:v>42206</c:v>
                </c:pt>
                <c:pt idx="47">
                  <c:v>42207</c:v>
                </c:pt>
                <c:pt idx="48">
                  <c:v>42208</c:v>
                </c:pt>
                <c:pt idx="49">
                  <c:v>42209</c:v>
                </c:pt>
                <c:pt idx="50">
                  <c:v>42212</c:v>
                </c:pt>
                <c:pt idx="51">
                  <c:v>42213</c:v>
                </c:pt>
                <c:pt idx="52">
                  <c:v>42214</c:v>
                </c:pt>
                <c:pt idx="53">
                  <c:v>42215</c:v>
                </c:pt>
                <c:pt idx="54">
                  <c:v>42216</c:v>
                </c:pt>
                <c:pt idx="55">
                  <c:v>42219</c:v>
                </c:pt>
                <c:pt idx="56">
                  <c:v>42220</c:v>
                </c:pt>
                <c:pt idx="57">
                  <c:v>42221</c:v>
                </c:pt>
                <c:pt idx="58">
                  <c:v>42222</c:v>
                </c:pt>
                <c:pt idx="59">
                  <c:v>42223</c:v>
                </c:pt>
                <c:pt idx="60">
                  <c:v>42226</c:v>
                </c:pt>
                <c:pt idx="61">
                  <c:v>42227</c:v>
                </c:pt>
                <c:pt idx="62">
                  <c:v>42228</c:v>
                </c:pt>
                <c:pt idx="63">
                  <c:v>42229</c:v>
                </c:pt>
                <c:pt idx="64">
                  <c:v>42230</c:v>
                </c:pt>
                <c:pt idx="65">
                  <c:v>42233</c:v>
                </c:pt>
                <c:pt idx="66">
                  <c:v>42234</c:v>
                </c:pt>
                <c:pt idx="67">
                  <c:v>42235</c:v>
                </c:pt>
                <c:pt idx="68">
                  <c:v>42236</c:v>
                </c:pt>
                <c:pt idx="69">
                  <c:v>42237</c:v>
                </c:pt>
                <c:pt idx="70">
                  <c:v>42240</c:v>
                </c:pt>
                <c:pt idx="71">
                  <c:v>42241</c:v>
                </c:pt>
                <c:pt idx="72">
                  <c:v>42242</c:v>
                </c:pt>
                <c:pt idx="73">
                  <c:v>42243</c:v>
                </c:pt>
                <c:pt idx="74">
                  <c:v>42244</c:v>
                </c:pt>
                <c:pt idx="75">
                  <c:v>42248</c:v>
                </c:pt>
                <c:pt idx="76">
                  <c:v>42249</c:v>
                </c:pt>
                <c:pt idx="77">
                  <c:v>42250</c:v>
                </c:pt>
                <c:pt idx="78">
                  <c:v>42251</c:v>
                </c:pt>
                <c:pt idx="79">
                  <c:v>42254</c:v>
                </c:pt>
                <c:pt idx="80">
                  <c:v>42255</c:v>
                </c:pt>
                <c:pt idx="81">
                  <c:v>42256</c:v>
                </c:pt>
                <c:pt idx="82">
                  <c:v>42257</c:v>
                </c:pt>
                <c:pt idx="83">
                  <c:v>42258</c:v>
                </c:pt>
                <c:pt idx="84">
                  <c:v>42261</c:v>
                </c:pt>
                <c:pt idx="85">
                  <c:v>42262</c:v>
                </c:pt>
                <c:pt idx="86">
                  <c:v>42263</c:v>
                </c:pt>
                <c:pt idx="87">
                  <c:v>42264</c:v>
                </c:pt>
                <c:pt idx="88">
                  <c:v>42265</c:v>
                </c:pt>
                <c:pt idx="89">
                  <c:v>42268</c:v>
                </c:pt>
                <c:pt idx="90">
                  <c:v>42269</c:v>
                </c:pt>
                <c:pt idx="91">
                  <c:v>42270</c:v>
                </c:pt>
                <c:pt idx="92">
                  <c:v>42271</c:v>
                </c:pt>
                <c:pt idx="93">
                  <c:v>42272</c:v>
                </c:pt>
                <c:pt idx="94">
                  <c:v>42275</c:v>
                </c:pt>
                <c:pt idx="95">
                  <c:v>42276</c:v>
                </c:pt>
                <c:pt idx="96">
                  <c:v>42277</c:v>
                </c:pt>
                <c:pt idx="97">
                  <c:v>42278</c:v>
                </c:pt>
                <c:pt idx="98">
                  <c:v>42279</c:v>
                </c:pt>
                <c:pt idx="99">
                  <c:v>42282</c:v>
                </c:pt>
                <c:pt idx="100">
                  <c:v>42283</c:v>
                </c:pt>
                <c:pt idx="101">
                  <c:v>42284</c:v>
                </c:pt>
                <c:pt idx="102">
                  <c:v>42285</c:v>
                </c:pt>
                <c:pt idx="103">
                  <c:v>42286</c:v>
                </c:pt>
                <c:pt idx="104">
                  <c:v>42289</c:v>
                </c:pt>
                <c:pt idx="105">
                  <c:v>42290</c:v>
                </c:pt>
                <c:pt idx="106">
                  <c:v>42291</c:v>
                </c:pt>
                <c:pt idx="107">
                  <c:v>42292</c:v>
                </c:pt>
                <c:pt idx="108">
                  <c:v>42293</c:v>
                </c:pt>
                <c:pt idx="109">
                  <c:v>42296</c:v>
                </c:pt>
                <c:pt idx="110">
                  <c:v>42297</c:v>
                </c:pt>
                <c:pt idx="111">
                  <c:v>42298</c:v>
                </c:pt>
                <c:pt idx="112">
                  <c:v>42299</c:v>
                </c:pt>
                <c:pt idx="113">
                  <c:v>42300</c:v>
                </c:pt>
                <c:pt idx="114">
                  <c:v>42303</c:v>
                </c:pt>
                <c:pt idx="115">
                  <c:v>42304</c:v>
                </c:pt>
                <c:pt idx="116">
                  <c:v>42305</c:v>
                </c:pt>
                <c:pt idx="117">
                  <c:v>42306</c:v>
                </c:pt>
                <c:pt idx="118">
                  <c:v>42307</c:v>
                </c:pt>
                <c:pt idx="119">
                  <c:v>42310</c:v>
                </c:pt>
                <c:pt idx="120">
                  <c:v>42311</c:v>
                </c:pt>
                <c:pt idx="121">
                  <c:v>42312</c:v>
                </c:pt>
                <c:pt idx="122">
                  <c:v>42313</c:v>
                </c:pt>
                <c:pt idx="123">
                  <c:v>42314</c:v>
                </c:pt>
                <c:pt idx="124">
                  <c:v>42317</c:v>
                </c:pt>
                <c:pt idx="125">
                  <c:v>42318</c:v>
                </c:pt>
                <c:pt idx="126">
                  <c:v>42319</c:v>
                </c:pt>
                <c:pt idx="127">
                  <c:v>42320</c:v>
                </c:pt>
                <c:pt idx="128">
                  <c:v>42321</c:v>
                </c:pt>
                <c:pt idx="129">
                  <c:v>42324</c:v>
                </c:pt>
                <c:pt idx="130">
                  <c:v>42325</c:v>
                </c:pt>
                <c:pt idx="131">
                  <c:v>42326</c:v>
                </c:pt>
                <c:pt idx="132">
                  <c:v>42327</c:v>
                </c:pt>
                <c:pt idx="133">
                  <c:v>42328</c:v>
                </c:pt>
                <c:pt idx="134">
                  <c:v>42331</c:v>
                </c:pt>
                <c:pt idx="135">
                  <c:v>42332</c:v>
                </c:pt>
                <c:pt idx="136">
                  <c:v>42333</c:v>
                </c:pt>
                <c:pt idx="137">
                  <c:v>42334</c:v>
                </c:pt>
                <c:pt idx="138">
                  <c:v>42335</c:v>
                </c:pt>
                <c:pt idx="139">
                  <c:v>42338</c:v>
                </c:pt>
                <c:pt idx="140">
                  <c:v>42339</c:v>
                </c:pt>
                <c:pt idx="141">
                  <c:v>42340</c:v>
                </c:pt>
                <c:pt idx="142">
                  <c:v>42341</c:v>
                </c:pt>
                <c:pt idx="143">
                  <c:v>42342</c:v>
                </c:pt>
                <c:pt idx="144">
                  <c:v>42345</c:v>
                </c:pt>
                <c:pt idx="145">
                  <c:v>42346</c:v>
                </c:pt>
                <c:pt idx="146">
                  <c:v>42347</c:v>
                </c:pt>
                <c:pt idx="147">
                  <c:v>42348</c:v>
                </c:pt>
                <c:pt idx="148">
                  <c:v>42349</c:v>
                </c:pt>
                <c:pt idx="149">
                  <c:v>42352</c:v>
                </c:pt>
                <c:pt idx="150">
                  <c:v>42353</c:v>
                </c:pt>
                <c:pt idx="151">
                  <c:v>42354</c:v>
                </c:pt>
                <c:pt idx="152">
                  <c:v>42355</c:v>
                </c:pt>
                <c:pt idx="153">
                  <c:v>42356</c:v>
                </c:pt>
                <c:pt idx="154">
                  <c:v>42359</c:v>
                </c:pt>
                <c:pt idx="155">
                  <c:v>42360</c:v>
                </c:pt>
                <c:pt idx="156">
                  <c:v>42361</c:v>
                </c:pt>
                <c:pt idx="157">
                  <c:v>42362</c:v>
                </c:pt>
                <c:pt idx="158">
                  <c:v>42367</c:v>
                </c:pt>
                <c:pt idx="159">
                  <c:v>42368</c:v>
                </c:pt>
                <c:pt idx="160">
                  <c:v>42369</c:v>
                </c:pt>
                <c:pt idx="161">
                  <c:v>42373</c:v>
                </c:pt>
                <c:pt idx="162">
                  <c:v>42374</c:v>
                </c:pt>
                <c:pt idx="163">
                  <c:v>42375</c:v>
                </c:pt>
                <c:pt idx="164">
                  <c:v>42376</c:v>
                </c:pt>
                <c:pt idx="165">
                  <c:v>42377</c:v>
                </c:pt>
                <c:pt idx="166">
                  <c:v>42380</c:v>
                </c:pt>
                <c:pt idx="167">
                  <c:v>42381</c:v>
                </c:pt>
                <c:pt idx="168">
                  <c:v>42382</c:v>
                </c:pt>
                <c:pt idx="169">
                  <c:v>42383</c:v>
                </c:pt>
                <c:pt idx="170">
                  <c:v>42384</c:v>
                </c:pt>
                <c:pt idx="171">
                  <c:v>42387</c:v>
                </c:pt>
                <c:pt idx="172">
                  <c:v>42388</c:v>
                </c:pt>
                <c:pt idx="173">
                  <c:v>42389</c:v>
                </c:pt>
                <c:pt idx="174">
                  <c:v>42390</c:v>
                </c:pt>
                <c:pt idx="175">
                  <c:v>42391</c:v>
                </c:pt>
                <c:pt idx="176">
                  <c:v>42394</c:v>
                </c:pt>
                <c:pt idx="177">
                  <c:v>42395</c:v>
                </c:pt>
                <c:pt idx="178">
                  <c:v>42396</c:v>
                </c:pt>
                <c:pt idx="179">
                  <c:v>42397</c:v>
                </c:pt>
                <c:pt idx="180">
                  <c:v>42398</c:v>
                </c:pt>
                <c:pt idx="181">
                  <c:v>42401</c:v>
                </c:pt>
                <c:pt idx="182">
                  <c:v>42402</c:v>
                </c:pt>
                <c:pt idx="183">
                  <c:v>42403</c:v>
                </c:pt>
                <c:pt idx="184">
                  <c:v>42404</c:v>
                </c:pt>
                <c:pt idx="185">
                  <c:v>42405</c:v>
                </c:pt>
                <c:pt idx="186">
                  <c:v>42408</c:v>
                </c:pt>
                <c:pt idx="187">
                  <c:v>42409</c:v>
                </c:pt>
                <c:pt idx="188">
                  <c:v>42410</c:v>
                </c:pt>
                <c:pt idx="189">
                  <c:v>42411</c:v>
                </c:pt>
                <c:pt idx="190">
                  <c:v>42412</c:v>
                </c:pt>
                <c:pt idx="191">
                  <c:v>42415</c:v>
                </c:pt>
                <c:pt idx="192">
                  <c:v>42416</c:v>
                </c:pt>
                <c:pt idx="193">
                  <c:v>42417</c:v>
                </c:pt>
                <c:pt idx="194">
                  <c:v>42418</c:v>
                </c:pt>
                <c:pt idx="195">
                  <c:v>42419</c:v>
                </c:pt>
                <c:pt idx="196">
                  <c:v>42422</c:v>
                </c:pt>
                <c:pt idx="197">
                  <c:v>42423</c:v>
                </c:pt>
                <c:pt idx="198">
                  <c:v>42424</c:v>
                </c:pt>
                <c:pt idx="199">
                  <c:v>42425</c:v>
                </c:pt>
                <c:pt idx="200">
                  <c:v>42426</c:v>
                </c:pt>
                <c:pt idx="201">
                  <c:v>42429</c:v>
                </c:pt>
                <c:pt idx="202">
                  <c:v>42430</c:v>
                </c:pt>
                <c:pt idx="203">
                  <c:v>42431</c:v>
                </c:pt>
                <c:pt idx="204">
                  <c:v>42432</c:v>
                </c:pt>
                <c:pt idx="205">
                  <c:v>42433</c:v>
                </c:pt>
                <c:pt idx="206">
                  <c:v>42436</c:v>
                </c:pt>
                <c:pt idx="207">
                  <c:v>42437</c:v>
                </c:pt>
                <c:pt idx="208">
                  <c:v>42438</c:v>
                </c:pt>
                <c:pt idx="209">
                  <c:v>42439</c:v>
                </c:pt>
                <c:pt idx="210">
                  <c:v>42440</c:v>
                </c:pt>
                <c:pt idx="211">
                  <c:v>42443</c:v>
                </c:pt>
                <c:pt idx="212">
                  <c:v>42444</c:v>
                </c:pt>
                <c:pt idx="213">
                  <c:v>42445</c:v>
                </c:pt>
                <c:pt idx="214">
                  <c:v>42446</c:v>
                </c:pt>
                <c:pt idx="215">
                  <c:v>42447</c:v>
                </c:pt>
                <c:pt idx="216">
                  <c:v>42450</c:v>
                </c:pt>
                <c:pt idx="217">
                  <c:v>42451</c:v>
                </c:pt>
                <c:pt idx="218">
                  <c:v>42452</c:v>
                </c:pt>
                <c:pt idx="219">
                  <c:v>42453</c:v>
                </c:pt>
                <c:pt idx="220">
                  <c:v>42458</c:v>
                </c:pt>
                <c:pt idx="221">
                  <c:v>42459</c:v>
                </c:pt>
                <c:pt idx="222">
                  <c:v>42460</c:v>
                </c:pt>
                <c:pt idx="223">
                  <c:v>42461</c:v>
                </c:pt>
                <c:pt idx="224">
                  <c:v>42464</c:v>
                </c:pt>
                <c:pt idx="225">
                  <c:v>42465</c:v>
                </c:pt>
                <c:pt idx="226">
                  <c:v>42466</c:v>
                </c:pt>
                <c:pt idx="227">
                  <c:v>42467</c:v>
                </c:pt>
                <c:pt idx="228">
                  <c:v>42468</c:v>
                </c:pt>
                <c:pt idx="229">
                  <c:v>42471</c:v>
                </c:pt>
                <c:pt idx="230">
                  <c:v>42472</c:v>
                </c:pt>
                <c:pt idx="231">
                  <c:v>42473</c:v>
                </c:pt>
                <c:pt idx="232">
                  <c:v>42474</c:v>
                </c:pt>
                <c:pt idx="233">
                  <c:v>42475</c:v>
                </c:pt>
                <c:pt idx="234">
                  <c:v>42478</c:v>
                </c:pt>
                <c:pt idx="235">
                  <c:v>42479</c:v>
                </c:pt>
                <c:pt idx="236">
                  <c:v>42480</c:v>
                </c:pt>
                <c:pt idx="237">
                  <c:v>42481</c:v>
                </c:pt>
                <c:pt idx="238">
                  <c:v>42482</c:v>
                </c:pt>
                <c:pt idx="239">
                  <c:v>42485</c:v>
                </c:pt>
                <c:pt idx="240">
                  <c:v>42486</c:v>
                </c:pt>
                <c:pt idx="241">
                  <c:v>42487</c:v>
                </c:pt>
                <c:pt idx="242">
                  <c:v>42488</c:v>
                </c:pt>
                <c:pt idx="243">
                  <c:v>42489</c:v>
                </c:pt>
                <c:pt idx="244">
                  <c:v>42493</c:v>
                </c:pt>
                <c:pt idx="245">
                  <c:v>42494</c:v>
                </c:pt>
                <c:pt idx="246">
                  <c:v>42496</c:v>
                </c:pt>
                <c:pt idx="247">
                  <c:v>42496</c:v>
                </c:pt>
                <c:pt idx="248">
                  <c:v>42499</c:v>
                </c:pt>
                <c:pt idx="249">
                  <c:v>42500</c:v>
                </c:pt>
                <c:pt idx="250">
                  <c:v>42501</c:v>
                </c:pt>
                <c:pt idx="251">
                  <c:v>42502</c:v>
                </c:pt>
                <c:pt idx="252">
                  <c:v>42503</c:v>
                </c:pt>
                <c:pt idx="253">
                  <c:v>42507</c:v>
                </c:pt>
                <c:pt idx="254">
                  <c:v>42507</c:v>
                </c:pt>
                <c:pt idx="255">
                  <c:v>42508</c:v>
                </c:pt>
                <c:pt idx="256">
                  <c:v>42509</c:v>
                </c:pt>
                <c:pt idx="257">
                  <c:v>42510</c:v>
                </c:pt>
                <c:pt idx="258">
                  <c:v>42513</c:v>
                </c:pt>
                <c:pt idx="259">
                  <c:v>42514</c:v>
                </c:pt>
                <c:pt idx="260">
                  <c:v>42515</c:v>
                </c:pt>
                <c:pt idx="261">
                  <c:v>42516</c:v>
                </c:pt>
                <c:pt idx="262">
                  <c:v>42517</c:v>
                </c:pt>
                <c:pt idx="263">
                  <c:v>42521</c:v>
                </c:pt>
                <c:pt idx="264">
                  <c:v>42522</c:v>
                </c:pt>
                <c:pt idx="265">
                  <c:v>42523</c:v>
                </c:pt>
                <c:pt idx="266">
                  <c:v>42524</c:v>
                </c:pt>
                <c:pt idx="267">
                  <c:v>42527</c:v>
                </c:pt>
                <c:pt idx="268">
                  <c:v>42528</c:v>
                </c:pt>
                <c:pt idx="269">
                  <c:v>42529</c:v>
                </c:pt>
                <c:pt idx="270">
                  <c:v>42530</c:v>
                </c:pt>
                <c:pt idx="271">
                  <c:v>42531</c:v>
                </c:pt>
                <c:pt idx="272">
                  <c:v>42534</c:v>
                </c:pt>
                <c:pt idx="273">
                  <c:v>42535</c:v>
                </c:pt>
                <c:pt idx="274">
                  <c:v>42536</c:v>
                </c:pt>
                <c:pt idx="275">
                  <c:v>42537</c:v>
                </c:pt>
                <c:pt idx="276">
                  <c:v>42538</c:v>
                </c:pt>
                <c:pt idx="277">
                  <c:v>42541</c:v>
                </c:pt>
                <c:pt idx="278">
                  <c:v>42542</c:v>
                </c:pt>
                <c:pt idx="279">
                  <c:v>42543</c:v>
                </c:pt>
                <c:pt idx="280">
                  <c:v>42544</c:v>
                </c:pt>
                <c:pt idx="281">
                  <c:v>42545</c:v>
                </c:pt>
                <c:pt idx="282">
                  <c:v>42548</c:v>
                </c:pt>
                <c:pt idx="283">
                  <c:v>42549</c:v>
                </c:pt>
                <c:pt idx="284">
                  <c:v>42550</c:v>
                </c:pt>
                <c:pt idx="285">
                  <c:v>42551</c:v>
                </c:pt>
                <c:pt idx="286">
                  <c:v>42552</c:v>
                </c:pt>
                <c:pt idx="287">
                  <c:v>42555</c:v>
                </c:pt>
                <c:pt idx="288">
                  <c:v>42556</c:v>
                </c:pt>
                <c:pt idx="289">
                  <c:v>42557</c:v>
                </c:pt>
                <c:pt idx="290">
                  <c:v>42558</c:v>
                </c:pt>
                <c:pt idx="291">
                  <c:v>42559</c:v>
                </c:pt>
                <c:pt idx="292">
                  <c:v>42562</c:v>
                </c:pt>
                <c:pt idx="293">
                  <c:v>42563</c:v>
                </c:pt>
                <c:pt idx="294">
                  <c:v>42564</c:v>
                </c:pt>
                <c:pt idx="295">
                  <c:v>42565</c:v>
                </c:pt>
                <c:pt idx="296">
                  <c:v>42566</c:v>
                </c:pt>
                <c:pt idx="297">
                  <c:v>42569</c:v>
                </c:pt>
                <c:pt idx="298">
                  <c:v>42570</c:v>
                </c:pt>
                <c:pt idx="299">
                  <c:v>42571</c:v>
                </c:pt>
                <c:pt idx="300">
                  <c:v>42572</c:v>
                </c:pt>
                <c:pt idx="301">
                  <c:v>42573</c:v>
                </c:pt>
                <c:pt idx="302">
                  <c:v>42576</c:v>
                </c:pt>
                <c:pt idx="303">
                  <c:v>42577</c:v>
                </c:pt>
                <c:pt idx="304">
                  <c:v>42578</c:v>
                </c:pt>
                <c:pt idx="305">
                  <c:v>42579</c:v>
                </c:pt>
                <c:pt idx="306">
                  <c:v>42580</c:v>
                </c:pt>
                <c:pt idx="307">
                  <c:v>42584</c:v>
                </c:pt>
                <c:pt idx="308">
                  <c:v>42584</c:v>
                </c:pt>
                <c:pt idx="309">
                  <c:v>42585</c:v>
                </c:pt>
                <c:pt idx="310">
                  <c:v>42586</c:v>
                </c:pt>
                <c:pt idx="311">
                  <c:v>42587</c:v>
                </c:pt>
                <c:pt idx="312">
                  <c:v>42590</c:v>
                </c:pt>
                <c:pt idx="313">
                  <c:v>42591</c:v>
                </c:pt>
                <c:pt idx="314">
                  <c:v>42592</c:v>
                </c:pt>
                <c:pt idx="315">
                  <c:v>42593</c:v>
                </c:pt>
                <c:pt idx="316">
                  <c:v>42594</c:v>
                </c:pt>
                <c:pt idx="317">
                  <c:v>42597</c:v>
                </c:pt>
                <c:pt idx="318">
                  <c:v>42598</c:v>
                </c:pt>
                <c:pt idx="319">
                  <c:v>42599</c:v>
                </c:pt>
                <c:pt idx="320">
                  <c:v>42600</c:v>
                </c:pt>
                <c:pt idx="321">
                  <c:v>42601</c:v>
                </c:pt>
                <c:pt idx="322">
                  <c:v>42604</c:v>
                </c:pt>
                <c:pt idx="323">
                  <c:v>42605</c:v>
                </c:pt>
                <c:pt idx="324">
                  <c:v>42606</c:v>
                </c:pt>
                <c:pt idx="325">
                  <c:v>42607</c:v>
                </c:pt>
                <c:pt idx="326">
                  <c:v>42608</c:v>
                </c:pt>
                <c:pt idx="327">
                  <c:v>42612</c:v>
                </c:pt>
                <c:pt idx="328">
                  <c:v>42613</c:v>
                </c:pt>
                <c:pt idx="329">
                  <c:v>42614</c:v>
                </c:pt>
                <c:pt idx="330">
                  <c:v>42615</c:v>
                </c:pt>
                <c:pt idx="331">
                  <c:v>42618</c:v>
                </c:pt>
                <c:pt idx="332">
                  <c:v>42619</c:v>
                </c:pt>
                <c:pt idx="333">
                  <c:v>42620</c:v>
                </c:pt>
                <c:pt idx="334">
                  <c:v>42621</c:v>
                </c:pt>
                <c:pt idx="335">
                  <c:v>42622</c:v>
                </c:pt>
                <c:pt idx="336">
                  <c:v>42625</c:v>
                </c:pt>
                <c:pt idx="337">
                  <c:v>42626</c:v>
                </c:pt>
                <c:pt idx="338">
                  <c:v>42627</c:v>
                </c:pt>
                <c:pt idx="339">
                  <c:v>42628</c:v>
                </c:pt>
                <c:pt idx="340">
                  <c:v>42629</c:v>
                </c:pt>
                <c:pt idx="341">
                  <c:v>42632</c:v>
                </c:pt>
                <c:pt idx="342">
                  <c:v>42633</c:v>
                </c:pt>
                <c:pt idx="343">
                  <c:v>42634</c:v>
                </c:pt>
                <c:pt idx="344">
                  <c:v>42635</c:v>
                </c:pt>
                <c:pt idx="345">
                  <c:v>42636</c:v>
                </c:pt>
                <c:pt idx="346">
                  <c:v>42639</c:v>
                </c:pt>
                <c:pt idx="347">
                  <c:v>42640</c:v>
                </c:pt>
                <c:pt idx="348">
                  <c:v>42641</c:v>
                </c:pt>
                <c:pt idx="349">
                  <c:v>42642</c:v>
                </c:pt>
                <c:pt idx="350">
                  <c:v>42643</c:v>
                </c:pt>
                <c:pt idx="351">
                  <c:v>42646</c:v>
                </c:pt>
                <c:pt idx="352">
                  <c:v>42647</c:v>
                </c:pt>
                <c:pt idx="353">
                  <c:v>42648</c:v>
                </c:pt>
                <c:pt idx="354">
                  <c:v>42649</c:v>
                </c:pt>
                <c:pt idx="355">
                  <c:v>42650</c:v>
                </c:pt>
                <c:pt idx="356">
                  <c:v>42653</c:v>
                </c:pt>
                <c:pt idx="357">
                  <c:v>42654</c:v>
                </c:pt>
                <c:pt idx="358">
                  <c:v>42655</c:v>
                </c:pt>
                <c:pt idx="359">
                  <c:v>42656</c:v>
                </c:pt>
                <c:pt idx="360">
                  <c:v>42657</c:v>
                </c:pt>
                <c:pt idx="361">
                  <c:v>42660</c:v>
                </c:pt>
                <c:pt idx="362">
                  <c:v>42661</c:v>
                </c:pt>
                <c:pt idx="363">
                  <c:v>42662</c:v>
                </c:pt>
                <c:pt idx="364">
                  <c:v>42663</c:v>
                </c:pt>
                <c:pt idx="365">
                  <c:v>42664</c:v>
                </c:pt>
                <c:pt idx="366">
                  <c:v>42667</c:v>
                </c:pt>
                <c:pt idx="367">
                  <c:v>42668</c:v>
                </c:pt>
                <c:pt idx="368">
                  <c:v>42669</c:v>
                </c:pt>
                <c:pt idx="369">
                  <c:v>42670</c:v>
                </c:pt>
                <c:pt idx="370">
                  <c:v>42671</c:v>
                </c:pt>
                <c:pt idx="371">
                  <c:v>42674</c:v>
                </c:pt>
                <c:pt idx="372">
                  <c:v>42675</c:v>
                </c:pt>
                <c:pt idx="373">
                  <c:v>42676</c:v>
                </c:pt>
                <c:pt idx="374">
                  <c:v>42677</c:v>
                </c:pt>
                <c:pt idx="375">
                  <c:v>42678</c:v>
                </c:pt>
                <c:pt idx="376">
                  <c:v>42681</c:v>
                </c:pt>
                <c:pt idx="377">
                  <c:v>42682</c:v>
                </c:pt>
                <c:pt idx="378">
                  <c:v>42683</c:v>
                </c:pt>
                <c:pt idx="379">
                  <c:v>42684</c:v>
                </c:pt>
                <c:pt idx="380">
                  <c:v>42685</c:v>
                </c:pt>
                <c:pt idx="381">
                  <c:v>42688</c:v>
                </c:pt>
                <c:pt idx="382">
                  <c:v>42689</c:v>
                </c:pt>
                <c:pt idx="383">
                  <c:v>42690</c:v>
                </c:pt>
                <c:pt idx="384">
                  <c:v>42691</c:v>
                </c:pt>
                <c:pt idx="385">
                  <c:v>42692</c:v>
                </c:pt>
                <c:pt idx="386">
                  <c:v>42695</c:v>
                </c:pt>
                <c:pt idx="387">
                  <c:v>42696</c:v>
                </c:pt>
                <c:pt idx="388">
                  <c:v>42697</c:v>
                </c:pt>
                <c:pt idx="389">
                  <c:v>42698</c:v>
                </c:pt>
                <c:pt idx="390">
                  <c:v>42699</c:v>
                </c:pt>
                <c:pt idx="391">
                  <c:v>42702</c:v>
                </c:pt>
                <c:pt idx="392">
                  <c:v>42703</c:v>
                </c:pt>
                <c:pt idx="393">
                  <c:v>42704</c:v>
                </c:pt>
                <c:pt idx="394">
                  <c:v>42705</c:v>
                </c:pt>
                <c:pt idx="395">
                  <c:v>42706</c:v>
                </c:pt>
                <c:pt idx="396">
                  <c:v>42709</c:v>
                </c:pt>
                <c:pt idx="397">
                  <c:v>42710</c:v>
                </c:pt>
                <c:pt idx="398">
                  <c:v>42711</c:v>
                </c:pt>
                <c:pt idx="399">
                  <c:v>42712</c:v>
                </c:pt>
                <c:pt idx="400">
                  <c:v>42713</c:v>
                </c:pt>
                <c:pt idx="401">
                  <c:v>42716</c:v>
                </c:pt>
                <c:pt idx="402">
                  <c:v>42717</c:v>
                </c:pt>
                <c:pt idx="403">
                  <c:v>42718</c:v>
                </c:pt>
                <c:pt idx="404">
                  <c:v>42719</c:v>
                </c:pt>
                <c:pt idx="405">
                  <c:v>42720</c:v>
                </c:pt>
                <c:pt idx="406">
                  <c:v>42723</c:v>
                </c:pt>
                <c:pt idx="407">
                  <c:v>42724</c:v>
                </c:pt>
                <c:pt idx="408">
                  <c:v>42725</c:v>
                </c:pt>
                <c:pt idx="409">
                  <c:v>42726</c:v>
                </c:pt>
                <c:pt idx="410">
                  <c:v>42727</c:v>
                </c:pt>
                <c:pt idx="411">
                  <c:v>42732</c:v>
                </c:pt>
                <c:pt idx="412">
                  <c:v>42733</c:v>
                </c:pt>
                <c:pt idx="413">
                  <c:v>42734</c:v>
                </c:pt>
                <c:pt idx="414">
                  <c:v>42738</c:v>
                </c:pt>
                <c:pt idx="415">
                  <c:v>42739</c:v>
                </c:pt>
                <c:pt idx="416">
                  <c:v>42740</c:v>
                </c:pt>
                <c:pt idx="417">
                  <c:v>42741</c:v>
                </c:pt>
                <c:pt idx="418">
                  <c:v>42744</c:v>
                </c:pt>
                <c:pt idx="419">
                  <c:v>42745</c:v>
                </c:pt>
                <c:pt idx="420">
                  <c:v>42746</c:v>
                </c:pt>
                <c:pt idx="421">
                  <c:v>42747</c:v>
                </c:pt>
                <c:pt idx="422">
                  <c:v>42748</c:v>
                </c:pt>
                <c:pt idx="423">
                  <c:v>42751</c:v>
                </c:pt>
                <c:pt idx="424">
                  <c:v>42752</c:v>
                </c:pt>
                <c:pt idx="425">
                  <c:v>42753</c:v>
                </c:pt>
                <c:pt idx="426">
                  <c:v>42754</c:v>
                </c:pt>
                <c:pt idx="427">
                  <c:v>42755</c:v>
                </c:pt>
                <c:pt idx="428">
                  <c:v>42758</c:v>
                </c:pt>
                <c:pt idx="429">
                  <c:v>42759</c:v>
                </c:pt>
                <c:pt idx="430">
                  <c:v>42760</c:v>
                </c:pt>
                <c:pt idx="431">
                  <c:v>42761</c:v>
                </c:pt>
                <c:pt idx="432">
                  <c:v>42762</c:v>
                </c:pt>
                <c:pt idx="433">
                  <c:v>42765</c:v>
                </c:pt>
                <c:pt idx="434">
                  <c:v>42766</c:v>
                </c:pt>
                <c:pt idx="435">
                  <c:v>42767</c:v>
                </c:pt>
                <c:pt idx="436">
                  <c:v>42768</c:v>
                </c:pt>
                <c:pt idx="437">
                  <c:v>42769</c:v>
                </c:pt>
                <c:pt idx="438">
                  <c:v>42772</c:v>
                </c:pt>
                <c:pt idx="439">
                  <c:v>42773</c:v>
                </c:pt>
                <c:pt idx="440">
                  <c:v>42774</c:v>
                </c:pt>
                <c:pt idx="441">
                  <c:v>42775</c:v>
                </c:pt>
                <c:pt idx="442">
                  <c:v>42776</c:v>
                </c:pt>
                <c:pt idx="443">
                  <c:v>42779</c:v>
                </c:pt>
                <c:pt idx="444">
                  <c:v>42780</c:v>
                </c:pt>
                <c:pt idx="445">
                  <c:v>42781</c:v>
                </c:pt>
                <c:pt idx="446">
                  <c:v>42782</c:v>
                </c:pt>
                <c:pt idx="447">
                  <c:v>42783</c:v>
                </c:pt>
                <c:pt idx="448">
                  <c:v>42786</c:v>
                </c:pt>
                <c:pt idx="449">
                  <c:v>42787</c:v>
                </c:pt>
                <c:pt idx="450">
                  <c:v>42788</c:v>
                </c:pt>
                <c:pt idx="451">
                  <c:v>42789</c:v>
                </c:pt>
                <c:pt idx="452">
                  <c:v>42790</c:v>
                </c:pt>
                <c:pt idx="453">
                  <c:v>42793</c:v>
                </c:pt>
                <c:pt idx="454">
                  <c:v>42794</c:v>
                </c:pt>
                <c:pt idx="455">
                  <c:v>42795</c:v>
                </c:pt>
                <c:pt idx="456">
                  <c:v>42796</c:v>
                </c:pt>
                <c:pt idx="457">
                  <c:v>42797</c:v>
                </c:pt>
                <c:pt idx="458">
                  <c:v>42800</c:v>
                </c:pt>
                <c:pt idx="459">
                  <c:v>42801</c:v>
                </c:pt>
                <c:pt idx="460">
                  <c:v>42802</c:v>
                </c:pt>
                <c:pt idx="461">
                  <c:v>42803</c:v>
                </c:pt>
                <c:pt idx="462">
                  <c:v>42804</c:v>
                </c:pt>
                <c:pt idx="463">
                  <c:v>42807</c:v>
                </c:pt>
                <c:pt idx="464">
                  <c:v>42808</c:v>
                </c:pt>
                <c:pt idx="465">
                  <c:v>42809</c:v>
                </c:pt>
                <c:pt idx="466">
                  <c:v>42810</c:v>
                </c:pt>
                <c:pt idx="467">
                  <c:v>42811</c:v>
                </c:pt>
                <c:pt idx="468">
                  <c:v>42814</c:v>
                </c:pt>
                <c:pt idx="469">
                  <c:v>42815</c:v>
                </c:pt>
                <c:pt idx="470">
                  <c:v>42816</c:v>
                </c:pt>
                <c:pt idx="471">
                  <c:v>42817</c:v>
                </c:pt>
                <c:pt idx="472">
                  <c:v>42818</c:v>
                </c:pt>
                <c:pt idx="473">
                  <c:v>42821</c:v>
                </c:pt>
                <c:pt idx="474">
                  <c:v>42822</c:v>
                </c:pt>
                <c:pt idx="475">
                  <c:v>42823</c:v>
                </c:pt>
                <c:pt idx="476">
                  <c:v>42824</c:v>
                </c:pt>
                <c:pt idx="477">
                  <c:v>42825</c:v>
                </c:pt>
                <c:pt idx="478">
                  <c:v>42828</c:v>
                </c:pt>
                <c:pt idx="479">
                  <c:v>42829</c:v>
                </c:pt>
                <c:pt idx="480">
                  <c:v>42830</c:v>
                </c:pt>
                <c:pt idx="481">
                  <c:v>42831</c:v>
                </c:pt>
                <c:pt idx="482">
                  <c:v>42832</c:v>
                </c:pt>
                <c:pt idx="483">
                  <c:v>42835</c:v>
                </c:pt>
                <c:pt idx="484">
                  <c:v>42836</c:v>
                </c:pt>
                <c:pt idx="485">
                  <c:v>42837</c:v>
                </c:pt>
                <c:pt idx="486">
                  <c:v>42838</c:v>
                </c:pt>
                <c:pt idx="487">
                  <c:v>42843</c:v>
                </c:pt>
                <c:pt idx="488">
                  <c:v>42844</c:v>
                </c:pt>
                <c:pt idx="489">
                  <c:v>42845</c:v>
                </c:pt>
                <c:pt idx="490">
                  <c:v>42846</c:v>
                </c:pt>
                <c:pt idx="491">
                  <c:v>42849</c:v>
                </c:pt>
                <c:pt idx="492">
                  <c:v>42850</c:v>
                </c:pt>
                <c:pt idx="493">
                  <c:v>42851</c:v>
                </c:pt>
                <c:pt idx="494">
                  <c:v>42852</c:v>
                </c:pt>
                <c:pt idx="495">
                  <c:v>42853</c:v>
                </c:pt>
                <c:pt idx="496">
                  <c:v>42857</c:v>
                </c:pt>
                <c:pt idx="497">
                  <c:v>42858</c:v>
                </c:pt>
                <c:pt idx="498">
                  <c:v>42859</c:v>
                </c:pt>
                <c:pt idx="499">
                  <c:v>42860</c:v>
                </c:pt>
                <c:pt idx="500">
                  <c:v>42863</c:v>
                </c:pt>
                <c:pt idx="501">
                  <c:v>42864</c:v>
                </c:pt>
                <c:pt idx="502">
                  <c:v>42865</c:v>
                </c:pt>
                <c:pt idx="503">
                  <c:v>42866</c:v>
                </c:pt>
                <c:pt idx="504">
                  <c:v>42867</c:v>
                </c:pt>
                <c:pt idx="505">
                  <c:v>42870</c:v>
                </c:pt>
                <c:pt idx="506">
                  <c:v>42871</c:v>
                </c:pt>
                <c:pt idx="507">
                  <c:v>42872</c:v>
                </c:pt>
                <c:pt idx="508">
                  <c:v>42873</c:v>
                </c:pt>
                <c:pt idx="509">
                  <c:v>42874</c:v>
                </c:pt>
                <c:pt idx="510">
                  <c:v>42877</c:v>
                </c:pt>
                <c:pt idx="511">
                  <c:v>42878</c:v>
                </c:pt>
                <c:pt idx="512">
                  <c:v>42879</c:v>
                </c:pt>
                <c:pt idx="513">
                  <c:v>42881</c:v>
                </c:pt>
                <c:pt idx="514">
                  <c:v>42881</c:v>
                </c:pt>
                <c:pt idx="515">
                  <c:v>42885</c:v>
                </c:pt>
                <c:pt idx="516">
                  <c:v>42886</c:v>
                </c:pt>
                <c:pt idx="517">
                  <c:v>42887</c:v>
                </c:pt>
                <c:pt idx="518">
                  <c:v>42894</c:v>
                </c:pt>
                <c:pt idx="519">
                  <c:v>42901</c:v>
                </c:pt>
                <c:pt idx="520">
                  <c:v>42908</c:v>
                </c:pt>
                <c:pt idx="521">
                  <c:v>42915</c:v>
                </c:pt>
                <c:pt idx="522">
                  <c:v>42922</c:v>
                </c:pt>
                <c:pt idx="523">
                  <c:v>42929</c:v>
                </c:pt>
                <c:pt idx="524">
                  <c:v>42936</c:v>
                </c:pt>
                <c:pt idx="525">
                  <c:v>42943</c:v>
                </c:pt>
                <c:pt idx="526">
                  <c:v>42950</c:v>
                </c:pt>
                <c:pt idx="527">
                  <c:v>42957</c:v>
                </c:pt>
                <c:pt idx="528">
                  <c:v>42964</c:v>
                </c:pt>
                <c:pt idx="529">
                  <c:v>42971</c:v>
                </c:pt>
                <c:pt idx="530">
                  <c:v>42978</c:v>
                </c:pt>
                <c:pt idx="531">
                  <c:v>42985</c:v>
                </c:pt>
                <c:pt idx="532">
                  <c:v>42992</c:v>
                </c:pt>
                <c:pt idx="533">
                  <c:v>42999</c:v>
                </c:pt>
                <c:pt idx="534">
                  <c:v>43006</c:v>
                </c:pt>
                <c:pt idx="535">
                  <c:v>43013</c:v>
                </c:pt>
                <c:pt idx="536">
                  <c:v>43020</c:v>
                </c:pt>
                <c:pt idx="537">
                  <c:v>43027</c:v>
                </c:pt>
                <c:pt idx="538">
                  <c:v>43034</c:v>
                </c:pt>
                <c:pt idx="539">
                  <c:v>43041</c:v>
                </c:pt>
                <c:pt idx="540">
                  <c:v>43048</c:v>
                </c:pt>
                <c:pt idx="541">
                  <c:v>43055</c:v>
                </c:pt>
                <c:pt idx="542">
                  <c:v>43062</c:v>
                </c:pt>
                <c:pt idx="543">
                  <c:v>43069</c:v>
                </c:pt>
                <c:pt idx="544">
                  <c:v>43076</c:v>
                </c:pt>
                <c:pt idx="545">
                  <c:v>43083</c:v>
                </c:pt>
                <c:pt idx="546">
                  <c:v>43090</c:v>
                </c:pt>
                <c:pt idx="547">
                  <c:v>43098</c:v>
                </c:pt>
                <c:pt idx="548">
                  <c:v>43105</c:v>
                </c:pt>
                <c:pt idx="549">
                  <c:v>43112</c:v>
                </c:pt>
                <c:pt idx="550">
                  <c:v>43119</c:v>
                </c:pt>
                <c:pt idx="551">
                  <c:v>43126</c:v>
                </c:pt>
                <c:pt idx="552">
                  <c:v>43133</c:v>
                </c:pt>
                <c:pt idx="553">
                  <c:v>43140</c:v>
                </c:pt>
                <c:pt idx="554">
                  <c:v>43147</c:v>
                </c:pt>
                <c:pt idx="555">
                  <c:v>43154</c:v>
                </c:pt>
                <c:pt idx="556">
                  <c:v>43161</c:v>
                </c:pt>
                <c:pt idx="557">
                  <c:v>43168</c:v>
                </c:pt>
                <c:pt idx="558">
                  <c:v>43175</c:v>
                </c:pt>
                <c:pt idx="559">
                  <c:v>43182</c:v>
                </c:pt>
                <c:pt idx="560">
                  <c:v>43193</c:v>
                </c:pt>
                <c:pt idx="561">
                  <c:v>43196</c:v>
                </c:pt>
                <c:pt idx="562">
                  <c:v>43203</c:v>
                </c:pt>
                <c:pt idx="563">
                  <c:v>43210</c:v>
                </c:pt>
                <c:pt idx="564">
                  <c:v>43217</c:v>
                </c:pt>
                <c:pt idx="565">
                  <c:v>43224</c:v>
                </c:pt>
                <c:pt idx="566">
                  <c:v>43231</c:v>
                </c:pt>
                <c:pt idx="567">
                  <c:v>43238</c:v>
                </c:pt>
                <c:pt idx="568">
                  <c:v>43245</c:v>
                </c:pt>
                <c:pt idx="569">
                  <c:v>43252</c:v>
                </c:pt>
                <c:pt idx="570">
                  <c:v>43259</c:v>
                </c:pt>
                <c:pt idx="571">
                  <c:v>43266</c:v>
                </c:pt>
                <c:pt idx="572">
                  <c:v>43273</c:v>
                </c:pt>
                <c:pt idx="573">
                  <c:v>43280</c:v>
                </c:pt>
                <c:pt idx="574">
                  <c:v>43287</c:v>
                </c:pt>
                <c:pt idx="575">
                  <c:v>43294</c:v>
                </c:pt>
                <c:pt idx="576">
                  <c:v>43301</c:v>
                </c:pt>
                <c:pt idx="577">
                  <c:v>43308</c:v>
                </c:pt>
                <c:pt idx="578">
                  <c:v>43315</c:v>
                </c:pt>
                <c:pt idx="579">
                  <c:v>43322</c:v>
                </c:pt>
                <c:pt idx="580">
                  <c:v>43329</c:v>
                </c:pt>
                <c:pt idx="581">
                  <c:v>43336</c:v>
                </c:pt>
                <c:pt idx="582">
                  <c:v>43343</c:v>
                </c:pt>
                <c:pt idx="583">
                  <c:v>43350</c:v>
                </c:pt>
                <c:pt idx="584">
                  <c:v>43357</c:v>
                </c:pt>
                <c:pt idx="585">
                  <c:v>43364</c:v>
                </c:pt>
                <c:pt idx="586">
                  <c:v>43371</c:v>
                </c:pt>
                <c:pt idx="587">
                  <c:v>43378</c:v>
                </c:pt>
                <c:pt idx="588">
                  <c:v>43385</c:v>
                </c:pt>
                <c:pt idx="589">
                  <c:v>43392</c:v>
                </c:pt>
                <c:pt idx="590">
                  <c:v>43399</c:v>
                </c:pt>
                <c:pt idx="591">
                  <c:v>43406</c:v>
                </c:pt>
                <c:pt idx="592">
                  <c:v>43413</c:v>
                </c:pt>
                <c:pt idx="593">
                  <c:v>43420</c:v>
                </c:pt>
                <c:pt idx="594">
                  <c:v>43427</c:v>
                </c:pt>
                <c:pt idx="595">
                  <c:v>43434</c:v>
                </c:pt>
                <c:pt idx="596">
                  <c:v>43441</c:v>
                </c:pt>
                <c:pt idx="597">
                  <c:v>43448</c:v>
                </c:pt>
                <c:pt idx="598">
                  <c:v>43455</c:v>
                </c:pt>
                <c:pt idx="599">
                  <c:v>43465</c:v>
                </c:pt>
                <c:pt idx="600">
                  <c:v>43472</c:v>
                </c:pt>
                <c:pt idx="601">
                  <c:v>43479</c:v>
                </c:pt>
                <c:pt idx="602">
                  <c:v>43486</c:v>
                </c:pt>
                <c:pt idx="603">
                  <c:v>43493</c:v>
                </c:pt>
                <c:pt idx="604">
                  <c:v>43500</c:v>
                </c:pt>
                <c:pt idx="605">
                  <c:v>43507</c:v>
                </c:pt>
                <c:pt idx="606">
                  <c:v>43514</c:v>
                </c:pt>
                <c:pt idx="607">
                  <c:v>43521</c:v>
                </c:pt>
                <c:pt idx="608">
                  <c:v>43528</c:v>
                </c:pt>
                <c:pt idx="609">
                  <c:v>43535</c:v>
                </c:pt>
                <c:pt idx="610">
                  <c:v>43542</c:v>
                </c:pt>
                <c:pt idx="611">
                  <c:v>43549</c:v>
                </c:pt>
                <c:pt idx="612">
                  <c:v>43556</c:v>
                </c:pt>
                <c:pt idx="613">
                  <c:v>43563</c:v>
                </c:pt>
                <c:pt idx="614">
                  <c:v>43570</c:v>
                </c:pt>
                <c:pt idx="615">
                  <c:v>43579</c:v>
                </c:pt>
                <c:pt idx="616">
                  <c:v>43584</c:v>
                </c:pt>
                <c:pt idx="617">
                  <c:v>43592</c:v>
                </c:pt>
                <c:pt idx="618">
                  <c:v>43598</c:v>
                </c:pt>
                <c:pt idx="619">
                  <c:v>43605</c:v>
                </c:pt>
                <c:pt idx="620">
                  <c:v>43613</c:v>
                </c:pt>
                <c:pt idx="621">
                  <c:v>43619</c:v>
                </c:pt>
                <c:pt idx="622">
                  <c:v>43627</c:v>
                </c:pt>
                <c:pt idx="623">
                  <c:v>43633</c:v>
                </c:pt>
                <c:pt idx="624">
                  <c:v>43640</c:v>
                </c:pt>
                <c:pt idx="625">
                  <c:v>43647</c:v>
                </c:pt>
                <c:pt idx="626">
                  <c:v>43654</c:v>
                </c:pt>
                <c:pt idx="627">
                  <c:v>43661</c:v>
                </c:pt>
                <c:pt idx="628">
                  <c:v>43668</c:v>
                </c:pt>
                <c:pt idx="629">
                  <c:v>43675</c:v>
                </c:pt>
                <c:pt idx="630">
                  <c:v>43682</c:v>
                </c:pt>
                <c:pt idx="631">
                  <c:v>43689</c:v>
                </c:pt>
                <c:pt idx="632">
                  <c:v>43696</c:v>
                </c:pt>
                <c:pt idx="633">
                  <c:v>43704</c:v>
                </c:pt>
                <c:pt idx="634">
                  <c:v>43710</c:v>
                </c:pt>
                <c:pt idx="635">
                  <c:v>43717</c:v>
                </c:pt>
                <c:pt idx="636">
                  <c:v>43724</c:v>
                </c:pt>
                <c:pt idx="637">
                  <c:v>43731</c:v>
                </c:pt>
                <c:pt idx="638">
                  <c:v>43738</c:v>
                </c:pt>
                <c:pt idx="639">
                  <c:v>43745</c:v>
                </c:pt>
                <c:pt idx="640">
                  <c:v>43752</c:v>
                </c:pt>
                <c:pt idx="641">
                  <c:v>43759</c:v>
                </c:pt>
                <c:pt idx="642">
                  <c:v>43766</c:v>
                </c:pt>
                <c:pt idx="643">
                  <c:v>43773</c:v>
                </c:pt>
                <c:pt idx="644">
                  <c:v>43780</c:v>
                </c:pt>
                <c:pt idx="645">
                  <c:v>43787</c:v>
                </c:pt>
                <c:pt idx="646">
                  <c:v>43794</c:v>
                </c:pt>
                <c:pt idx="647">
                  <c:v>43801</c:v>
                </c:pt>
                <c:pt idx="648">
                  <c:v>43808</c:v>
                </c:pt>
                <c:pt idx="649">
                  <c:v>43815</c:v>
                </c:pt>
                <c:pt idx="650">
                  <c:v>43822</c:v>
                </c:pt>
                <c:pt idx="651">
                  <c:v>43830</c:v>
                </c:pt>
                <c:pt idx="652">
                  <c:v>43837</c:v>
                </c:pt>
                <c:pt idx="653">
                  <c:v>43844</c:v>
                </c:pt>
                <c:pt idx="654">
                  <c:v>43851</c:v>
                </c:pt>
                <c:pt idx="655">
                  <c:v>43858</c:v>
                </c:pt>
                <c:pt idx="656">
                  <c:v>43865</c:v>
                </c:pt>
                <c:pt idx="657">
                  <c:v>43872</c:v>
                </c:pt>
                <c:pt idx="658">
                  <c:v>43879</c:v>
                </c:pt>
                <c:pt idx="659">
                  <c:v>43886</c:v>
                </c:pt>
                <c:pt idx="660">
                  <c:v>43893</c:v>
                </c:pt>
                <c:pt idx="661">
                  <c:v>43900</c:v>
                </c:pt>
                <c:pt idx="662">
                  <c:v>43907</c:v>
                </c:pt>
                <c:pt idx="663">
                  <c:v>43914</c:v>
                </c:pt>
                <c:pt idx="664">
                  <c:v>43921</c:v>
                </c:pt>
                <c:pt idx="665">
                  <c:v>43928</c:v>
                </c:pt>
                <c:pt idx="666">
                  <c:v>43937</c:v>
                </c:pt>
                <c:pt idx="667">
                  <c:v>43944</c:v>
                </c:pt>
                <c:pt idx="668">
                  <c:v>43951</c:v>
                </c:pt>
                <c:pt idx="669">
                  <c:v>43958</c:v>
                </c:pt>
                <c:pt idx="670">
                  <c:v>43965</c:v>
                </c:pt>
                <c:pt idx="671">
                  <c:v>43973</c:v>
                </c:pt>
                <c:pt idx="672">
                  <c:v>43979</c:v>
                </c:pt>
                <c:pt idx="673">
                  <c:v>43986</c:v>
                </c:pt>
                <c:pt idx="674">
                  <c:v>43993</c:v>
                </c:pt>
                <c:pt idx="675">
                  <c:v>44000</c:v>
                </c:pt>
                <c:pt idx="676">
                  <c:v>44007</c:v>
                </c:pt>
                <c:pt idx="677">
                  <c:v>44014</c:v>
                </c:pt>
                <c:pt idx="678">
                  <c:v>44021</c:v>
                </c:pt>
                <c:pt idx="679">
                  <c:v>44028</c:v>
                </c:pt>
                <c:pt idx="680">
                  <c:v>44035</c:v>
                </c:pt>
                <c:pt idx="681">
                  <c:v>44042</c:v>
                </c:pt>
                <c:pt idx="682">
                  <c:v>44049</c:v>
                </c:pt>
                <c:pt idx="683">
                  <c:v>44056</c:v>
                </c:pt>
                <c:pt idx="684">
                  <c:v>44063</c:v>
                </c:pt>
                <c:pt idx="685">
                  <c:v>44070</c:v>
                </c:pt>
                <c:pt idx="686">
                  <c:v>44077</c:v>
                </c:pt>
                <c:pt idx="687">
                  <c:v>44084</c:v>
                </c:pt>
                <c:pt idx="688">
                  <c:v>44091</c:v>
                </c:pt>
                <c:pt idx="689">
                  <c:v>44098</c:v>
                </c:pt>
                <c:pt idx="690">
                  <c:v>44105</c:v>
                </c:pt>
                <c:pt idx="691">
                  <c:v>44112</c:v>
                </c:pt>
                <c:pt idx="692">
                  <c:v>44119</c:v>
                </c:pt>
                <c:pt idx="693">
                  <c:v>44126</c:v>
                </c:pt>
                <c:pt idx="694">
                  <c:v>44133</c:v>
                </c:pt>
                <c:pt idx="695">
                  <c:v>44140</c:v>
                </c:pt>
                <c:pt idx="696">
                  <c:v>44147</c:v>
                </c:pt>
                <c:pt idx="697">
                  <c:v>44154</c:v>
                </c:pt>
                <c:pt idx="698">
                  <c:v>44161</c:v>
                </c:pt>
                <c:pt idx="699">
                  <c:v>44168</c:v>
                </c:pt>
                <c:pt idx="700">
                  <c:v>44175</c:v>
                </c:pt>
                <c:pt idx="701">
                  <c:v>44182</c:v>
                </c:pt>
                <c:pt idx="702">
                  <c:v>44189</c:v>
                </c:pt>
                <c:pt idx="703">
                  <c:v>44196</c:v>
                </c:pt>
                <c:pt idx="704">
                  <c:v>44203</c:v>
                </c:pt>
                <c:pt idx="705">
                  <c:v>44210</c:v>
                </c:pt>
                <c:pt idx="706">
                  <c:v>44217</c:v>
                </c:pt>
                <c:pt idx="707">
                  <c:v>44224</c:v>
                </c:pt>
                <c:pt idx="708">
                  <c:v>44231</c:v>
                </c:pt>
                <c:pt idx="709">
                  <c:v>44238</c:v>
                </c:pt>
                <c:pt idx="710">
                  <c:v>44245</c:v>
                </c:pt>
                <c:pt idx="711">
                  <c:v>44252</c:v>
                </c:pt>
                <c:pt idx="712">
                  <c:v>44259</c:v>
                </c:pt>
                <c:pt idx="713">
                  <c:v>44266</c:v>
                </c:pt>
                <c:pt idx="714">
                  <c:v>44273</c:v>
                </c:pt>
                <c:pt idx="715">
                  <c:v>44280</c:v>
                </c:pt>
                <c:pt idx="716">
                  <c:v>44287</c:v>
                </c:pt>
                <c:pt idx="717">
                  <c:v>44294</c:v>
                </c:pt>
                <c:pt idx="718">
                  <c:v>44301</c:v>
                </c:pt>
                <c:pt idx="719">
                  <c:v>44308</c:v>
                </c:pt>
                <c:pt idx="720">
                  <c:v>44315</c:v>
                </c:pt>
                <c:pt idx="721">
                  <c:v>44322</c:v>
                </c:pt>
                <c:pt idx="722">
                  <c:v>44330</c:v>
                </c:pt>
                <c:pt idx="723">
                  <c:v>44336</c:v>
                </c:pt>
                <c:pt idx="724">
                  <c:v>44343</c:v>
                </c:pt>
                <c:pt idx="725">
                  <c:v>44350</c:v>
                </c:pt>
                <c:pt idx="726">
                  <c:v>44357</c:v>
                </c:pt>
                <c:pt idx="727">
                  <c:v>44364</c:v>
                </c:pt>
                <c:pt idx="728">
                  <c:v>44371</c:v>
                </c:pt>
                <c:pt idx="729">
                  <c:v>44378</c:v>
                </c:pt>
                <c:pt idx="730">
                  <c:v>44385</c:v>
                </c:pt>
                <c:pt idx="731">
                  <c:v>44392</c:v>
                </c:pt>
                <c:pt idx="732">
                  <c:v>44399</c:v>
                </c:pt>
                <c:pt idx="733">
                  <c:v>44406</c:v>
                </c:pt>
                <c:pt idx="734">
                  <c:v>44413</c:v>
                </c:pt>
                <c:pt idx="735">
                  <c:v>44420</c:v>
                </c:pt>
                <c:pt idx="736">
                  <c:v>44427</c:v>
                </c:pt>
                <c:pt idx="737">
                  <c:v>44434</c:v>
                </c:pt>
                <c:pt idx="738">
                  <c:v>44441</c:v>
                </c:pt>
                <c:pt idx="739">
                  <c:v>44448</c:v>
                </c:pt>
                <c:pt idx="740">
                  <c:v>44455</c:v>
                </c:pt>
                <c:pt idx="741">
                  <c:v>44462</c:v>
                </c:pt>
                <c:pt idx="742">
                  <c:v>44469</c:v>
                </c:pt>
                <c:pt idx="743">
                  <c:v>44476</c:v>
                </c:pt>
                <c:pt idx="744">
                  <c:v>44483</c:v>
                </c:pt>
                <c:pt idx="745">
                  <c:v>44490</c:v>
                </c:pt>
                <c:pt idx="746">
                  <c:v>44497</c:v>
                </c:pt>
                <c:pt idx="747">
                  <c:v>44504</c:v>
                </c:pt>
                <c:pt idx="748">
                  <c:v>44511</c:v>
                </c:pt>
                <c:pt idx="749">
                  <c:v>44518</c:v>
                </c:pt>
                <c:pt idx="750">
                  <c:v>44525</c:v>
                </c:pt>
                <c:pt idx="751">
                  <c:v>44532</c:v>
                </c:pt>
                <c:pt idx="752">
                  <c:v>44539</c:v>
                </c:pt>
                <c:pt idx="753">
                  <c:v>44546</c:v>
                </c:pt>
                <c:pt idx="754">
                  <c:v>44553</c:v>
                </c:pt>
                <c:pt idx="755">
                  <c:v>44561</c:v>
                </c:pt>
                <c:pt idx="756">
                  <c:v>44568</c:v>
                </c:pt>
                <c:pt idx="757">
                  <c:v>44575</c:v>
                </c:pt>
                <c:pt idx="758">
                  <c:v>44582</c:v>
                </c:pt>
                <c:pt idx="759">
                  <c:v>44589</c:v>
                </c:pt>
                <c:pt idx="760">
                  <c:v>44596</c:v>
                </c:pt>
                <c:pt idx="761">
                  <c:v>44603</c:v>
                </c:pt>
                <c:pt idx="762">
                  <c:v>44610</c:v>
                </c:pt>
                <c:pt idx="763">
                  <c:v>44617</c:v>
                </c:pt>
                <c:pt idx="764">
                  <c:v>44624</c:v>
                </c:pt>
                <c:pt idx="765">
                  <c:v>44631</c:v>
                </c:pt>
                <c:pt idx="766">
                  <c:v>44638</c:v>
                </c:pt>
                <c:pt idx="767">
                  <c:v>44645</c:v>
                </c:pt>
                <c:pt idx="768">
                  <c:v>44652</c:v>
                </c:pt>
                <c:pt idx="769">
                  <c:v>44659</c:v>
                </c:pt>
                <c:pt idx="770">
                  <c:v>44670</c:v>
                </c:pt>
                <c:pt idx="771">
                  <c:v>44673</c:v>
                </c:pt>
                <c:pt idx="772">
                  <c:v>44680</c:v>
                </c:pt>
                <c:pt idx="773">
                  <c:v>44687</c:v>
                </c:pt>
                <c:pt idx="774">
                  <c:v>44694</c:v>
                </c:pt>
                <c:pt idx="775">
                  <c:v>44701</c:v>
                </c:pt>
                <c:pt idx="776">
                  <c:v>44708</c:v>
                </c:pt>
                <c:pt idx="777">
                  <c:v>44715</c:v>
                </c:pt>
                <c:pt idx="778">
                  <c:v>44722</c:v>
                </c:pt>
                <c:pt idx="779">
                  <c:v>44729</c:v>
                </c:pt>
                <c:pt idx="780">
                  <c:v>44736</c:v>
                </c:pt>
                <c:pt idx="781">
                  <c:v>44743</c:v>
                </c:pt>
                <c:pt idx="782">
                  <c:v>44750</c:v>
                </c:pt>
                <c:pt idx="783">
                  <c:v>44757</c:v>
                </c:pt>
                <c:pt idx="784">
                  <c:v>44764</c:v>
                </c:pt>
                <c:pt idx="785">
                  <c:v>44771</c:v>
                </c:pt>
                <c:pt idx="786">
                  <c:v>44778</c:v>
                </c:pt>
                <c:pt idx="787">
                  <c:v>44785</c:v>
                </c:pt>
                <c:pt idx="788">
                  <c:v>44792</c:v>
                </c:pt>
                <c:pt idx="789">
                  <c:v>44799</c:v>
                </c:pt>
                <c:pt idx="790">
                  <c:v>44806</c:v>
                </c:pt>
                <c:pt idx="791">
                  <c:v>44813</c:v>
                </c:pt>
                <c:pt idx="792">
                  <c:v>44820</c:v>
                </c:pt>
                <c:pt idx="793">
                  <c:v>44827</c:v>
                </c:pt>
                <c:pt idx="794">
                  <c:v>44834</c:v>
                </c:pt>
                <c:pt idx="795">
                  <c:v>44841</c:v>
                </c:pt>
                <c:pt idx="796">
                  <c:v>44848</c:v>
                </c:pt>
                <c:pt idx="797">
                  <c:v>44855</c:v>
                </c:pt>
                <c:pt idx="798">
                  <c:v>44862</c:v>
                </c:pt>
                <c:pt idx="799">
                  <c:v>44869</c:v>
                </c:pt>
                <c:pt idx="800">
                  <c:v>44876</c:v>
                </c:pt>
                <c:pt idx="801">
                  <c:v>44883</c:v>
                </c:pt>
                <c:pt idx="802">
                  <c:v>44890</c:v>
                </c:pt>
                <c:pt idx="803">
                  <c:v>44897</c:v>
                </c:pt>
                <c:pt idx="804">
                  <c:v>44904</c:v>
                </c:pt>
                <c:pt idx="805">
                  <c:v>44911</c:v>
                </c:pt>
                <c:pt idx="806">
                  <c:v>44918</c:v>
                </c:pt>
                <c:pt idx="807">
                  <c:v>44925</c:v>
                </c:pt>
                <c:pt idx="808">
                  <c:v>44932</c:v>
                </c:pt>
                <c:pt idx="809">
                  <c:v>44939</c:v>
                </c:pt>
                <c:pt idx="810">
                  <c:v>44946</c:v>
                </c:pt>
                <c:pt idx="811">
                  <c:v>44953</c:v>
                </c:pt>
                <c:pt idx="812">
                  <c:v>44960</c:v>
                </c:pt>
                <c:pt idx="813">
                  <c:v>44967</c:v>
                </c:pt>
                <c:pt idx="814">
                  <c:v>44974</c:v>
                </c:pt>
                <c:pt idx="815">
                  <c:v>44981</c:v>
                </c:pt>
                <c:pt idx="816">
                  <c:v>44988</c:v>
                </c:pt>
                <c:pt idx="817">
                  <c:v>44995</c:v>
                </c:pt>
                <c:pt idx="818">
                  <c:v>45002</c:v>
                </c:pt>
                <c:pt idx="819">
                  <c:v>45009</c:v>
                </c:pt>
                <c:pt idx="820">
                  <c:v>45016</c:v>
                </c:pt>
                <c:pt idx="821">
                  <c:v>45027</c:v>
                </c:pt>
                <c:pt idx="822">
                  <c:v>45030</c:v>
                </c:pt>
                <c:pt idx="823">
                  <c:v>45037</c:v>
                </c:pt>
                <c:pt idx="824">
                  <c:v>45044</c:v>
                </c:pt>
                <c:pt idx="825">
                  <c:v>45051</c:v>
                </c:pt>
                <c:pt idx="826">
                  <c:v>45058</c:v>
                </c:pt>
                <c:pt idx="827">
                  <c:v>45065</c:v>
                </c:pt>
                <c:pt idx="828">
                  <c:v>45072</c:v>
                </c:pt>
                <c:pt idx="829">
                  <c:v>45079</c:v>
                </c:pt>
                <c:pt idx="830">
                  <c:v>45086</c:v>
                </c:pt>
                <c:pt idx="831">
                  <c:v>45093</c:v>
                </c:pt>
                <c:pt idx="832">
                  <c:v>45100</c:v>
                </c:pt>
                <c:pt idx="833">
                  <c:v>45107</c:v>
                </c:pt>
                <c:pt idx="834">
                  <c:v>45114</c:v>
                </c:pt>
                <c:pt idx="835">
                  <c:v>45121</c:v>
                </c:pt>
                <c:pt idx="836">
                  <c:v>45128</c:v>
                </c:pt>
                <c:pt idx="837">
                  <c:v>45135</c:v>
                </c:pt>
                <c:pt idx="838">
                  <c:v>45142</c:v>
                </c:pt>
                <c:pt idx="839">
                  <c:v>45149</c:v>
                </c:pt>
                <c:pt idx="840">
                  <c:v>45156</c:v>
                </c:pt>
                <c:pt idx="841">
                  <c:v>45163</c:v>
                </c:pt>
                <c:pt idx="842">
                  <c:v>45170</c:v>
                </c:pt>
                <c:pt idx="843">
                  <c:v>45177</c:v>
                </c:pt>
                <c:pt idx="844">
                  <c:v>45184</c:v>
                </c:pt>
                <c:pt idx="845">
                  <c:v>45191</c:v>
                </c:pt>
                <c:pt idx="846">
                  <c:v>45198</c:v>
                </c:pt>
                <c:pt idx="847">
                  <c:v>45205</c:v>
                </c:pt>
                <c:pt idx="848">
                  <c:v>45212</c:v>
                </c:pt>
                <c:pt idx="849">
                  <c:v>45219</c:v>
                </c:pt>
                <c:pt idx="850">
                  <c:v>45226</c:v>
                </c:pt>
                <c:pt idx="851">
                  <c:v>45233</c:v>
                </c:pt>
                <c:pt idx="852">
                  <c:v>45240</c:v>
                </c:pt>
                <c:pt idx="853">
                  <c:v>45247</c:v>
                </c:pt>
                <c:pt idx="854">
                  <c:v>45254</c:v>
                </c:pt>
                <c:pt idx="855">
                  <c:v>45261</c:v>
                </c:pt>
                <c:pt idx="856">
                  <c:v>45268</c:v>
                </c:pt>
                <c:pt idx="857">
                  <c:v>45275</c:v>
                </c:pt>
                <c:pt idx="858">
                  <c:v>45282</c:v>
                </c:pt>
                <c:pt idx="859">
                  <c:v>45289</c:v>
                </c:pt>
                <c:pt idx="860">
                  <c:v>45296</c:v>
                </c:pt>
                <c:pt idx="861">
                  <c:v>45303</c:v>
                </c:pt>
                <c:pt idx="862">
                  <c:v>45310</c:v>
                </c:pt>
                <c:pt idx="863">
                  <c:v>45317</c:v>
                </c:pt>
                <c:pt idx="864">
                  <c:v>45324</c:v>
                </c:pt>
                <c:pt idx="865">
                  <c:v>45331</c:v>
                </c:pt>
                <c:pt idx="866">
                  <c:v>45338</c:v>
                </c:pt>
                <c:pt idx="867">
                  <c:v>45345</c:v>
                </c:pt>
                <c:pt idx="868">
                  <c:v>45352</c:v>
                </c:pt>
                <c:pt idx="869">
                  <c:v>45359</c:v>
                </c:pt>
                <c:pt idx="870">
                  <c:v>45366</c:v>
                </c:pt>
                <c:pt idx="871">
                  <c:v>45373</c:v>
                </c:pt>
                <c:pt idx="872">
                  <c:v>45384</c:v>
                </c:pt>
                <c:pt idx="873">
                  <c:v>45387</c:v>
                </c:pt>
                <c:pt idx="874">
                  <c:v>45394</c:v>
                </c:pt>
                <c:pt idx="875">
                  <c:v>45401</c:v>
                </c:pt>
                <c:pt idx="876">
                  <c:v>45408</c:v>
                </c:pt>
                <c:pt idx="877">
                  <c:v>45415</c:v>
                </c:pt>
                <c:pt idx="878">
                  <c:v>45422</c:v>
                </c:pt>
                <c:pt idx="879">
                  <c:v>45429</c:v>
                </c:pt>
                <c:pt idx="880">
                  <c:v>45436</c:v>
                </c:pt>
                <c:pt idx="881">
                  <c:v>45443</c:v>
                </c:pt>
                <c:pt idx="882">
                  <c:v>45450</c:v>
                </c:pt>
                <c:pt idx="883">
                  <c:v>45457</c:v>
                </c:pt>
                <c:pt idx="884">
                  <c:v>45464</c:v>
                </c:pt>
                <c:pt idx="885">
                  <c:v>45471</c:v>
                </c:pt>
                <c:pt idx="886">
                  <c:v>45478</c:v>
                </c:pt>
                <c:pt idx="887">
                  <c:v>45485</c:v>
                </c:pt>
                <c:pt idx="888">
                  <c:v>45492</c:v>
                </c:pt>
                <c:pt idx="889">
                  <c:v>45499</c:v>
                </c:pt>
                <c:pt idx="890">
                  <c:v>45506</c:v>
                </c:pt>
                <c:pt idx="891">
                  <c:v>45513</c:v>
                </c:pt>
                <c:pt idx="892">
                  <c:v>45520</c:v>
                </c:pt>
                <c:pt idx="893">
                  <c:v>45527</c:v>
                </c:pt>
                <c:pt idx="894">
                  <c:v>45534</c:v>
                </c:pt>
                <c:pt idx="895">
                  <c:v>45541</c:v>
                </c:pt>
                <c:pt idx="896">
                  <c:v>45548</c:v>
                </c:pt>
                <c:pt idx="897">
                  <c:v>45555</c:v>
                </c:pt>
                <c:pt idx="898">
                  <c:v>45562</c:v>
                </c:pt>
                <c:pt idx="899">
                  <c:v>45569</c:v>
                </c:pt>
                <c:pt idx="900">
                  <c:v>45576</c:v>
                </c:pt>
                <c:pt idx="901">
                  <c:v>45583</c:v>
                </c:pt>
                <c:pt idx="902">
                  <c:v>45590</c:v>
                </c:pt>
                <c:pt idx="903">
                  <c:v>45597</c:v>
                </c:pt>
                <c:pt idx="904">
                  <c:v>45604</c:v>
                </c:pt>
                <c:pt idx="905">
                  <c:v>45611</c:v>
                </c:pt>
                <c:pt idx="906">
                  <c:v>45618</c:v>
                </c:pt>
                <c:pt idx="907">
                  <c:v>45625</c:v>
                </c:pt>
                <c:pt idx="908">
                  <c:v>45632</c:v>
                </c:pt>
                <c:pt idx="909">
                  <c:v>45639</c:v>
                </c:pt>
                <c:pt idx="910">
                  <c:v>45646</c:v>
                </c:pt>
                <c:pt idx="911">
                  <c:v>45657</c:v>
                </c:pt>
                <c:pt idx="912">
                  <c:v>45664</c:v>
                </c:pt>
                <c:pt idx="913">
                  <c:v>45671</c:v>
                </c:pt>
                <c:pt idx="914">
                  <c:v>45678</c:v>
                </c:pt>
                <c:pt idx="915">
                  <c:v>45685</c:v>
                </c:pt>
                <c:pt idx="916">
                  <c:v>45692</c:v>
                </c:pt>
                <c:pt idx="917">
                  <c:v>45699</c:v>
                </c:pt>
                <c:pt idx="918">
                  <c:v>45706</c:v>
                </c:pt>
                <c:pt idx="919">
                  <c:v>45713</c:v>
                </c:pt>
                <c:pt idx="920">
                  <c:v>45720</c:v>
                </c:pt>
                <c:pt idx="921">
                  <c:v>45727</c:v>
                </c:pt>
                <c:pt idx="922">
                  <c:v>45734</c:v>
                </c:pt>
                <c:pt idx="923">
                  <c:v>45741</c:v>
                </c:pt>
                <c:pt idx="924">
                  <c:v>45748</c:v>
                </c:pt>
                <c:pt idx="925">
                  <c:v>45755</c:v>
                </c:pt>
                <c:pt idx="926">
                  <c:v>45762</c:v>
                </c:pt>
                <c:pt idx="927">
                  <c:v>45771</c:v>
                </c:pt>
                <c:pt idx="928">
                  <c:v>45779</c:v>
                </c:pt>
                <c:pt idx="929">
                  <c:v>45785</c:v>
                </c:pt>
                <c:pt idx="930">
                  <c:v>45792</c:v>
                </c:pt>
                <c:pt idx="931">
                  <c:v>45799</c:v>
                </c:pt>
                <c:pt idx="932">
                  <c:v>45807</c:v>
                </c:pt>
                <c:pt idx="933">
                  <c:v>45813</c:v>
                </c:pt>
                <c:pt idx="934">
                  <c:v>45820</c:v>
                </c:pt>
                <c:pt idx="935">
                  <c:v>45827</c:v>
                </c:pt>
                <c:pt idx="936">
                  <c:v>45834</c:v>
                </c:pt>
                <c:pt idx="937">
                  <c:v>45841</c:v>
                </c:pt>
                <c:pt idx="938">
                  <c:v>45848</c:v>
                </c:pt>
                <c:pt idx="939">
                  <c:v>45855</c:v>
                </c:pt>
                <c:pt idx="940">
                  <c:v>45862</c:v>
                </c:pt>
                <c:pt idx="941">
                  <c:v>45869</c:v>
                </c:pt>
                <c:pt idx="942">
                  <c:v>45876</c:v>
                </c:pt>
                <c:pt idx="943">
                  <c:v>45883</c:v>
                </c:pt>
                <c:pt idx="944">
                  <c:v>45890</c:v>
                </c:pt>
                <c:pt idx="945">
                  <c:v>45897</c:v>
                </c:pt>
                <c:pt idx="946">
                  <c:v>45904</c:v>
                </c:pt>
                <c:pt idx="947">
                  <c:v>45911</c:v>
                </c:pt>
                <c:pt idx="948">
                  <c:v>45918</c:v>
                </c:pt>
                <c:pt idx="949">
                  <c:v>45925</c:v>
                </c:pt>
                <c:pt idx="950">
                  <c:v>45932</c:v>
                </c:pt>
                <c:pt idx="951">
                  <c:v>45939</c:v>
                </c:pt>
                <c:pt idx="952">
                  <c:v>45946</c:v>
                </c:pt>
                <c:pt idx="953">
                  <c:v>45953</c:v>
                </c:pt>
                <c:pt idx="954">
                  <c:v>45960</c:v>
                </c:pt>
                <c:pt idx="955">
                  <c:v>45967</c:v>
                </c:pt>
                <c:pt idx="956">
                  <c:v>45974</c:v>
                </c:pt>
                <c:pt idx="957">
                  <c:v>45981</c:v>
                </c:pt>
                <c:pt idx="958">
                  <c:v>45988</c:v>
                </c:pt>
                <c:pt idx="959">
                  <c:v>45995</c:v>
                </c:pt>
                <c:pt idx="960">
                  <c:v>46002</c:v>
                </c:pt>
                <c:pt idx="961">
                  <c:v>46009</c:v>
                </c:pt>
                <c:pt idx="962">
                  <c:v>46020</c:v>
                </c:pt>
                <c:pt idx="963">
                  <c:v>46027</c:v>
                </c:pt>
                <c:pt idx="964">
                  <c:v>46030</c:v>
                </c:pt>
                <c:pt idx="965">
                  <c:v>46037</c:v>
                </c:pt>
                <c:pt idx="966">
                  <c:v>46044</c:v>
                </c:pt>
                <c:pt idx="967">
                  <c:v>46051</c:v>
                </c:pt>
                <c:pt idx="968">
                  <c:v>46058</c:v>
                </c:pt>
                <c:pt idx="969">
                  <c:v>46065</c:v>
                </c:pt>
                <c:pt idx="970">
                  <c:v>46072</c:v>
                </c:pt>
                <c:pt idx="971">
                  <c:v>46079</c:v>
                </c:pt>
                <c:pt idx="972">
                  <c:v>46086</c:v>
                </c:pt>
                <c:pt idx="973">
                  <c:v>46093</c:v>
                </c:pt>
                <c:pt idx="974">
                  <c:v>46100</c:v>
                </c:pt>
                <c:pt idx="975">
                  <c:v>46107</c:v>
                </c:pt>
                <c:pt idx="976">
                  <c:v>46114</c:v>
                </c:pt>
                <c:pt idx="977">
                  <c:v>46121</c:v>
                </c:pt>
                <c:pt idx="978">
                  <c:v>46128</c:v>
                </c:pt>
                <c:pt idx="979">
                  <c:v>46135</c:v>
                </c:pt>
                <c:pt idx="980">
                  <c:v>46142</c:v>
                </c:pt>
                <c:pt idx="981">
                  <c:v>46149</c:v>
                </c:pt>
                <c:pt idx="982">
                  <c:v>46157</c:v>
                </c:pt>
                <c:pt idx="983">
                  <c:v>46163</c:v>
                </c:pt>
                <c:pt idx="984">
                  <c:v>46170</c:v>
                </c:pt>
                <c:pt idx="985">
                  <c:v>46177</c:v>
                </c:pt>
                <c:pt idx="986">
                  <c:v>46184</c:v>
                </c:pt>
                <c:pt idx="987">
                  <c:v>46191</c:v>
                </c:pt>
                <c:pt idx="988">
                  <c:v>46198</c:v>
                </c:pt>
                <c:pt idx="989">
                  <c:v>46205</c:v>
                </c:pt>
                <c:pt idx="990">
                  <c:v>46212</c:v>
                </c:pt>
                <c:pt idx="991">
                  <c:v>46219</c:v>
                </c:pt>
                <c:pt idx="992">
                  <c:v>46226</c:v>
                </c:pt>
                <c:pt idx="993">
                  <c:v>46233</c:v>
                </c:pt>
                <c:pt idx="994">
                  <c:v>46240</c:v>
                </c:pt>
                <c:pt idx="995">
                  <c:v>46247</c:v>
                </c:pt>
                <c:pt idx="996">
                  <c:v>46254</c:v>
                </c:pt>
                <c:pt idx="997">
                  <c:v>46261</c:v>
                </c:pt>
                <c:pt idx="998">
                  <c:v>46268</c:v>
                </c:pt>
                <c:pt idx="999">
                  <c:v>46275</c:v>
                </c:pt>
                <c:pt idx="1000">
                  <c:v>46282</c:v>
                </c:pt>
                <c:pt idx="1001">
                  <c:v>46289</c:v>
                </c:pt>
                <c:pt idx="1002">
                  <c:v>46296</c:v>
                </c:pt>
                <c:pt idx="1003">
                  <c:v>46303</c:v>
                </c:pt>
                <c:pt idx="1004">
                  <c:v>46310</c:v>
                </c:pt>
                <c:pt idx="1005">
                  <c:v>46317</c:v>
                </c:pt>
                <c:pt idx="1006">
                  <c:v>46324</c:v>
                </c:pt>
                <c:pt idx="1007">
                  <c:v>46331</c:v>
                </c:pt>
                <c:pt idx="1008">
                  <c:v>46338</c:v>
                </c:pt>
                <c:pt idx="1009">
                  <c:v>46345</c:v>
                </c:pt>
                <c:pt idx="1010">
                  <c:v>46352</c:v>
                </c:pt>
                <c:pt idx="1011">
                  <c:v>46359</c:v>
                </c:pt>
                <c:pt idx="1012">
                  <c:v>46366</c:v>
                </c:pt>
                <c:pt idx="1013">
                  <c:v>46373</c:v>
                </c:pt>
                <c:pt idx="1014">
                  <c:v>46380</c:v>
                </c:pt>
                <c:pt idx="1015">
                  <c:v>46387</c:v>
                </c:pt>
                <c:pt idx="1016">
                  <c:v>46394</c:v>
                </c:pt>
                <c:pt idx="1017">
                  <c:v>46401</c:v>
                </c:pt>
                <c:pt idx="1018">
                  <c:v>46408</c:v>
                </c:pt>
                <c:pt idx="1019">
                  <c:v>46415</c:v>
                </c:pt>
                <c:pt idx="1020">
                  <c:v>46422</c:v>
                </c:pt>
                <c:pt idx="1021">
                  <c:v>46429</c:v>
                </c:pt>
                <c:pt idx="1022">
                  <c:v>46436</c:v>
                </c:pt>
                <c:pt idx="1023">
                  <c:v>46443</c:v>
                </c:pt>
                <c:pt idx="1024">
                  <c:v>46450</c:v>
                </c:pt>
                <c:pt idx="1025">
                  <c:v>46457</c:v>
                </c:pt>
                <c:pt idx="1026">
                  <c:v>46464</c:v>
                </c:pt>
                <c:pt idx="1027">
                  <c:v>46471</c:v>
                </c:pt>
                <c:pt idx="1028">
                  <c:v>46478</c:v>
                </c:pt>
                <c:pt idx="1029">
                  <c:v>46485</c:v>
                </c:pt>
                <c:pt idx="1030">
                  <c:v>46492</c:v>
                </c:pt>
                <c:pt idx="1031">
                  <c:v>46499</c:v>
                </c:pt>
                <c:pt idx="1032">
                  <c:v>46506</c:v>
                </c:pt>
                <c:pt idx="1033">
                  <c:v>46514</c:v>
                </c:pt>
                <c:pt idx="1034">
                  <c:v>46520</c:v>
                </c:pt>
                <c:pt idx="1035">
                  <c:v>46527</c:v>
                </c:pt>
                <c:pt idx="1036">
                  <c:v>46534</c:v>
                </c:pt>
                <c:pt idx="1037">
                  <c:v>46541</c:v>
                </c:pt>
                <c:pt idx="1038">
                  <c:v>46548</c:v>
                </c:pt>
                <c:pt idx="1039">
                  <c:v>46555</c:v>
                </c:pt>
                <c:pt idx="1040">
                  <c:v>46562</c:v>
                </c:pt>
                <c:pt idx="1041">
                  <c:v>46569</c:v>
                </c:pt>
                <c:pt idx="1042">
                  <c:v>46576</c:v>
                </c:pt>
                <c:pt idx="1043">
                  <c:v>46583</c:v>
                </c:pt>
                <c:pt idx="1044">
                  <c:v>46590</c:v>
                </c:pt>
                <c:pt idx="1045">
                  <c:v>46597</c:v>
                </c:pt>
                <c:pt idx="1046">
                  <c:v>46604</c:v>
                </c:pt>
                <c:pt idx="1047">
                  <c:v>46611</c:v>
                </c:pt>
                <c:pt idx="1048">
                  <c:v>46618</c:v>
                </c:pt>
                <c:pt idx="1049">
                  <c:v>46625</c:v>
                </c:pt>
                <c:pt idx="1050">
                  <c:v>46632</c:v>
                </c:pt>
                <c:pt idx="1051">
                  <c:v>46639</c:v>
                </c:pt>
                <c:pt idx="1052">
                  <c:v>46646</c:v>
                </c:pt>
                <c:pt idx="1053">
                  <c:v>46653</c:v>
                </c:pt>
                <c:pt idx="1054">
                  <c:v>46660</c:v>
                </c:pt>
                <c:pt idx="1055">
                  <c:v>46667</c:v>
                </c:pt>
                <c:pt idx="1056">
                  <c:v>46674</c:v>
                </c:pt>
                <c:pt idx="1057">
                  <c:v>46681</c:v>
                </c:pt>
                <c:pt idx="1058">
                  <c:v>46688</c:v>
                </c:pt>
                <c:pt idx="1059">
                  <c:v>46695</c:v>
                </c:pt>
                <c:pt idx="1060">
                  <c:v>46702</c:v>
                </c:pt>
                <c:pt idx="1061">
                  <c:v>46709</c:v>
                </c:pt>
                <c:pt idx="1062">
                  <c:v>46716</c:v>
                </c:pt>
                <c:pt idx="1063">
                  <c:v>46723</c:v>
                </c:pt>
                <c:pt idx="1064">
                  <c:v>46730</c:v>
                </c:pt>
                <c:pt idx="1065">
                  <c:v>46737</c:v>
                </c:pt>
                <c:pt idx="1066">
                  <c:v>46744</c:v>
                </c:pt>
                <c:pt idx="1067">
                  <c:v>46752</c:v>
                </c:pt>
                <c:pt idx="1068">
                  <c:v>46759</c:v>
                </c:pt>
                <c:pt idx="1069">
                  <c:v>46766</c:v>
                </c:pt>
                <c:pt idx="1070">
                  <c:v>46773</c:v>
                </c:pt>
                <c:pt idx="1071">
                  <c:v>46780</c:v>
                </c:pt>
                <c:pt idx="1072">
                  <c:v>46787</c:v>
                </c:pt>
                <c:pt idx="1073">
                  <c:v>46794</c:v>
                </c:pt>
                <c:pt idx="1074">
                  <c:v>46801</c:v>
                </c:pt>
                <c:pt idx="1075">
                  <c:v>46808</c:v>
                </c:pt>
                <c:pt idx="1076">
                  <c:v>46815</c:v>
                </c:pt>
                <c:pt idx="1077">
                  <c:v>46822</c:v>
                </c:pt>
                <c:pt idx="1078">
                  <c:v>46829</c:v>
                </c:pt>
                <c:pt idx="1079">
                  <c:v>46836</c:v>
                </c:pt>
                <c:pt idx="1080">
                  <c:v>46843</c:v>
                </c:pt>
                <c:pt idx="1081">
                  <c:v>46850</c:v>
                </c:pt>
                <c:pt idx="1082">
                  <c:v>46861</c:v>
                </c:pt>
                <c:pt idx="1083">
                  <c:v>46864</c:v>
                </c:pt>
                <c:pt idx="1084">
                  <c:v>46871</c:v>
                </c:pt>
                <c:pt idx="1085">
                  <c:v>46878</c:v>
                </c:pt>
                <c:pt idx="1086">
                  <c:v>46885</c:v>
                </c:pt>
                <c:pt idx="1087">
                  <c:v>46892</c:v>
                </c:pt>
                <c:pt idx="1088">
                  <c:v>46899</c:v>
                </c:pt>
                <c:pt idx="1089">
                  <c:v>46906</c:v>
                </c:pt>
                <c:pt idx="1090">
                  <c:v>46913</c:v>
                </c:pt>
                <c:pt idx="1091">
                  <c:v>46920</c:v>
                </c:pt>
                <c:pt idx="1092">
                  <c:v>46927</c:v>
                </c:pt>
                <c:pt idx="1093">
                  <c:v>46934</c:v>
                </c:pt>
                <c:pt idx="1094">
                  <c:v>46941</c:v>
                </c:pt>
                <c:pt idx="1095">
                  <c:v>46948</c:v>
                </c:pt>
                <c:pt idx="1096">
                  <c:v>46955</c:v>
                </c:pt>
                <c:pt idx="1097">
                  <c:v>46962</c:v>
                </c:pt>
                <c:pt idx="1098">
                  <c:v>46969</c:v>
                </c:pt>
                <c:pt idx="1099">
                  <c:v>46976</c:v>
                </c:pt>
                <c:pt idx="1100">
                  <c:v>46983</c:v>
                </c:pt>
                <c:pt idx="1101">
                  <c:v>46990</c:v>
                </c:pt>
                <c:pt idx="1102">
                  <c:v>46997</c:v>
                </c:pt>
                <c:pt idx="1103">
                  <c:v>47004</c:v>
                </c:pt>
                <c:pt idx="1104">
                  <c:v>47011</c:v>
                </c:pt>
                <c:pt idx="1105">
                  <c:v>47018</c:v>
                </c:pt>
                <c:pt idx="1106">
                  <c:v>47025</c:v>
                </c:pt>
                <c:pt idx="1107">
                  <c:v>47032</c:v>
                </c:pt>
                <c:pt idx="1108">
                  <c:v>47039</c:v>
                </c:pt>
                <c:pt idx="1109">
                  <c:v>47046</c:v>
                </c:pt>
                <c:pt idx="1110">
                  <c:v>47053</c:v>
                </c:pt>
                <c:pt idx="1111">
                  <c:v>47060</c:v>
                </c:pt>
                <c:pt idx="1112">
                  <c:v>47067</c:v>
                </c:pt>
                <c:pt idx="1113">
                  <c:v>47074</c:v>
                </c:pt>
                <c:pt idx="1114">
                  <c:v>47081</c:v>
                </c:pt>
                <c:pt idx="1115">
                  <c:v>47088</c:v>
                </c:pt>
                <c:pt idx="1116">
                  <c:v>47095</c:v>
                </c:pt>
                <c:pt idx="1117">
                  <c:v>47102</c:v>
                </c:pt>
                <c:pt idx="1118">
                  <c:v>47109</c:v>
                </c:pt>
                <c:pt idx="1119">
                  <c:v>47116</c:v>
                </c:pt>
                <c:pt idx="1120">
                  <c:v>47123</c:v>
                </c:pt>
                <c:pt idx="1121">
                  <c:v>47130</c:v>
                </c:pt>
                <c:pt idx="1122">
                  <c:v>47137</c:v>
                </c:pt>
                <c:pt idx="1123">
                  <c:v>47144</c:v>
                </c:pt>
                <c:pt idx="1124">
                  <c:v>47151</c:v>
                </c:pt>
                <c:pt idx="1125">
                  <c:v>47158</c:v>
                </c:pt>
                <c:pt idx="1126">
                  <c:v>47165</c:v>
                </c:pt>
                <c:pt idx="1127">
                  <c:v>47172</c:v>
                </c:pt>
                <c:pt idx="1128">
                  <c:v>47179</c:v>
                </c:pt>
                <c:pt idx="1129">
                  <c:v>47186</c:v>
                </c:pt>
                <c:pt idx="1130">
                  <c:v>47193</c:v>
                </c:pt>
                <c:pt idx="1131">
                  <c:v>47200</c:v>
                </c:pt>
                <c:pt idx="1132">
                  <c:v>47211</c:v>
                </c:pt>
                <c:pt idx="1133">
                  <c:v>47214</c:v>
                </c:pt>
                <c:pt idx="1134">
                  <c:v>47221</c:v>
                </c:pt>
                <c:pt idx="1135">
                  <c:v>47228</c:v>
                </c:pt>
                <c:pt idx="1136">
                  <c:v>47235</c:v>
                </c:pt>
                <c:pt idx="1137">
                  <c:v>47242</c:v>
                </c:pt>
                <c:pt idx="1138">
                  <c:v>47249</c:v>
                </c:pt>
                <c:pt idx="1139">
                  <c:v>47256</c:v>
                </c:pt>
                <c:pt idx="1140">
                  <c:v>47263</c:v>
                </c:pt>
                <c:pt idx="1141">
                  <c:v>47270</c:v>
                </c:pt>
                <c:pt idx="1142">
                  <c:v>47277</c:v>
                </c:pt>
                <c:pt idx="1143">
                  <c:v>47284</c:v>
                </c:pt>
                <c:pt idx="1144">
                  <c:v>47291</c:v>
                </c:pt>
                <c:pt idx="1145">
                  <c:v>47298</c:v>
                </c:pt>
                <c:pt idx="1146">
                  <c:v>47305</c:v>
                </c:pt>
                <c:pt idx="1147">
                  <c:v>47312</c:v>
                </c:pt>
                <c:pt idx="1148">
                  <c:v>47319</c:v>
                </c:pt>
                <c:pt idx="1149">
                  <c:v>47326</c:v>
                </c:pt>
                <c:pt idx="1150">
                  <c:v>47333</c:v>
                </c:pt>
                <c:pt idx="1151">
                  <c:v>47340</c:v>
                </c:pt>
                <c:pt idx="1152">
                  <c:v>47347</c:v>
                </c:pt>
                <c:pt idx="1153">
                  <c:v>47354</c:v>
                </c:pt>
                <c:pt idx="1154">
                  <c:v>47361</c:v>
                </c:pt>
                <c:pt idx="1155">
                  <c:v>47368</c:v>
                </c:pt>
                <c:pt idx="1156">
                  <c:v>47375</c:v>
                </c:pt>
                <c:pt idx="1157">
                  <c:v>47382</c:v>
                </c:pt>
                <c:pt idx="1158">
                  <c:v>47389</c:v>
                </c:pt>
                <c:pt idx="1159">
                  <c:v>47396</c:v>
                </c:pt>
                <c:pt idx="1160">
                  <c:v>47403</c:v>
                </c:pt>
                <c:pt idx="1161">
                  <c:v>47410</c:v>
                </c:pt>
                <c:pt idx="1162">
                  <c:v>47417</c:v>
                </c:pt>
                <c:pt idx="1163">
                  <c:v>47424</c:v>
                </c:pt>
                <c:pt idx="1164">
                  <c:v>47431</c:v>
                </c:pt>
                <c:pt idx="1165">
                  <c:v>47438</c:v>
                </c:pt>
                <c:pt idx="1166">
                  <c:v>47445</c:v>
                </c:pt>
                <c:pt idx="1167">
                  <c:v>47452</c:v>
                </c:pt>
                <c:pt idx="1168">
                  <c:v>47459</c:v>
                </c:pt>
                <c:pt idx="1169">
                  <c:v>47466</c:v>
                </c:pt>
                <c:pt idx="1170">
                  <c:v>47473</c:v>
                </c:pt>
                <c:pt idx="1171">
                  <c:v>47483</c:v>
                </c:pt>
                <c:pt idx="1172">
                  <c:v>47490</c:v>
                </c:pt>
                <c:pt idx="1173">
                  <c:v>47497</c:v>
                </c:pt>
                <c:pt idx="1174">
                  <c:v>47504</c:v>
                </c:pt>
                <c:pt idx="1175">
                  <c:v>47511</c:v>
                </c:pt>
                <c:pt idx="1176">
                  <c:v>47518</c:v>
                </c:pt>
                <c:pt idx="1177">
                  <c:v>47525</c:v>
                </c:pt>
                <c:pt idx="1178">
                  <c:v>47532</c:v>
                </c:pt>
                <c:pt idx="1179">
                  <c:v>47539</c:v>
                </c:pt>
                <c:pt idx="1180">
                  <c:v>47546</c:v>
                </c:pt>
                <c:pt idx="1181">
                  <c:v>47553</c:v>
                </c:pt>
                <c:pt idx="1182">
                  <c:v>47560</c:v>
                </c:pt>
                <c:pt idx="1183">
                  <c:v>47567</c:v>
                </c:pt>
                <c:pt idx="1184">
                  <c:v>47574</c:v>
                </c:pt>
                <c:pt idx="1185">
                  <c:v>47581</c:v>
                </c:pt>
                <c:pt idx="1186">
                  <c:v>47588</c:v>
                </c:pt>
                <c:pt idx="1187">
                  <c:v>47597</c:v>
                </c:pt>
                <c:pt idx="1188">
                  <c:v>47602</c:v>
                </c:pt>
                <c:pt idx="1189">
                  <c:v>47610</c:v>
                </c:pt>
                <c:pt idx="1190">
                  <c:v>47616</c:v>
                </c:pt>
                <c:pt idx="1191">
                  <c:v>47623</c:v>
                </c:pt>
                <c:pt idx="1192">
                  <c:v>47631</c:v>
                </c:pt>
                <c:pt idx="1193">
                  <c:v>47637</c:v>
                </c:pt>
                <c:pt idx="1194">
                  <c:v>47645</c:v>
                </c:pt>
                <c:pt idx="1195">
                  <c:v>47651</c:v>
                </c:pt>
                <c:pt idx="1196">
                  <c:v>47658</c:v>
                </c:pt>
                <c:pt idx="1197">
                  <c:v>47665</c:v>
                </c:pt>
                <c:pt idx="1198">
                  <c:v>47672</c:v>
                </c:pt>
                <c:pt idx="1199">
                  <c:v>47679</c:v>
                </c:pt>
                <c:pt idx="1200">
                  <c:v>47686</c:v>
                </c:pt>
                <c:pt idx="1201">
                  <c:v>47693</c:v>
                </c:pt>
                <c:pt idx="1202">
                  <c:v>47700</c:v>
                </c:pt>
                <c:pt idx="1203">
                  <c:v>47707</c:v>
                </c:pt>
                <c:pt idx="1204">
                  <c:v>47714</c:v>
                </c:pt>
                <c:pt idx="1205">
                  <c:v>47722</c:v>
                </c:pt>
                <c:pt idx="1206">
                  <c:v>47728</c:v>
                </c:pt>
                <c:pt idx="1207">
                  <c:v>47735</c:v>
                </c:pt>
                <c:pt idx="1208">
                  <c:v>47742</c:v>
                </c:pt>
                <c:pt idx="1209">
                  <c:v>47749</c:v>
                </c:pt>
                <c:pt idx="1210">
                  <c:v>47756</c:v>
                </c:pt>
                <c:pt idx="1211">
                  <c:v>47763</c:v>
                </c:pt>
                <c:pt idx="1212">
                  <c:v>47770</c:v>
                </c:pt>
                <c:pt idx="1213">
                  <c:v>47777</c:v>
                </c:pt>
                <c:pt idx="1214">
                  <c:v>47784</c:v>
                </c:pt>
                <c:pt idx="1215">
                  <c:v>47791</c:v>
                </c:pt>
                <c:pt idx="1216">
                  <c:v>47798</c:v>
                </c:pt>
                <c:pt idx="1217">
                  <c:v>47805</c:v>
                </c:pt>
                <c:pt idx="1218">
                  <c:v>47812</c:v>
                </c:pt>
                <c:pt idx="1219">
                  <c:v>47819</c:v>
                </c:pt>
                <c:pt idx="1220">
                  <c:v>47826</c:v>
                </c:pt>
                <c:pt idx="1221">
                  <c:v>47833</c:v>
                </c:pt>
                <c:pt idx="1222">
                  <c:v>47840</c:v>
                </c:pt>
                <c:pt idx="1223">
                  <c:v>47848</c:v>
                </c:pt>
                <c:pt idx="1224">
                  <c:v>47855</c:v>
                </c:pt>
                <c:pt idx="1225">
                  <c:v>47862</c:v>
                </c:pt>
                <c:pt idx="1226">
                  <c:v>47869</c:v>
                </c:pt>
                <c:pt idx="1227">
                  <c:v>47876</c:v>
                </c:pt>
                <c:pt idx="1228">
                  <c:v>47883</c:v>
                </c:pt>
                <c:pt idx="1229">
                  <c:v>47890</c:v>
                </c:pt>
                <c:pt idx="1230">
                  <c:v>47897</c:v>
                </c:pt>
                <c:pt idx="1231">
                  <c:v>47904</c:v>
                </c:pt>
                <c:pt idx="1232">
                  <c:v>47911</c:v>
                </c:pt>
                <c:pt idx="1233">
                  <c:v>47918</c:v>
                </c:pt>
                <c:pt idx="1234">
                  <c:v>47925</c:v>
                </c:pt>
                <c:pt idx="1235">
                  <c:v>47932</c:v>
                </c:pt>
                <c:pt idx="1236">
                  <c:v>47939</c:v>
                </c:pt>
                <c:pt idx="1237">
                  <c:v>47946</c:v>
                </c:pt>
                <c:pt idx="1238">
                  <c:v>47955</c:v>
                </c:pt>
                <c:pt idx="1239">
                  <c:v>47962</c:v>
                </c:pt>
                <c:pt idx="1240">
                  <c:v>47970</c:v>
                </c:pt>
                <c:pt idx="1241">
                  <c:v>47976</c:v>
                </c:pt>
                <c:pt idx="1242">
                  <c:v>47983</c:v>
                </c:pt>
                <c:pt idx="1243">
                  <c:v>47991</c:v>
                </c:pt>
                <c:pt idx="1244">
                  <c:v>47997</c:v>
                </c:pt>
                <c:pt idx="1245">
                  <c:v>48004</c:v>
                </c:pt>
                <c:pt idx="1246">
                  <c:v>48011</c:v>
                </c:pt>
                <c:pt idx="1247">
                  <c:v>48018</c:v>
                </c:pt>
                <c:pt idx="1248">
                  <c:v>48025</c:v>
                </c:pt>
                <c:pt idx="1249">
                  <c:v>48032</c:v>
                </c:pt>
                <c:pt idx="1250">
                  <c:v>48039</c:v>
                </c:pt>
                <c:pt idx="1251">
                  <c:v>48046</c:v>
                </c:pt>
                <c:pt idx="1252">
                  <c:v>48053</c:v>
                </c:pt>
                <c:pt idx="1253">
                  <c:v>48060</c:v>
                </c:pt>
                <c:pt idx="1254">
                  <c:v>48067</c:v>
                </c:pt>
                <c:pt idx="1255">
                  <c:v>48074</c:v>
                </c:pt>
                <c:pt idx="1256">
                  <c:v>48081</c:v>
                </c:pt>
                <c:pt idx="1257">
                  <c:v>48088</c:v>
                </c:pt>
                <c:pt idx="1258">
                  <c:v>48095</c:v>
                </c:pt>
                <c:pt idx="1259">
                  <c:v>48102</c:v>
                </c:pt>
                <c:pt idx="1260">
                  <c:v>48109</c:v>
                </c:pt>
                <c:pt idx="1261">
                  <c:v>48116</c:v>
                </c:pt>
                <c:pt idx="1262">
                  <c:v>48123</c:v>
                </c:pt>
                <c:pt idx="1263">
                  <c:v>48130</c:v>
                </c:pt>
                <c:pt idx="1264">
                  <c:v>48137</c:v>
                </c:pt>
                <c:pt idx="1265">
                  <c:v>48144</c:v>
                </c:pt>
                <c:pt idx="1266">
                  <c:v>48151</c:v>
                </c:pt>
                <c:pt idx="1267">
                  <c:v>48158</c:v>
                </c:pt>
                <c:pt idx="1268">
                  <c:v>48165</c:v>
                </c:pt>
                <c:pt idx="1269">
                  <c:v>48172</c:v>
                </c:pt>
                <c:pt idx="1270">
                  <c:v>48179</c:v>
                </c:pt>
                <c:pt idx="1271">
                  <c:v>48186</c:v>
                </c:pt>
                <c:pt idx="1272">
                  <c:v>48193</c:v>
                </c:pt>
                <c:pt idx="1273">
                  <c:v>48200</c:v>
                </c:pt>
                <c:pt idx="1274">
                  <c:v>48211</c:v>
                </c:pt>
                <c:pt idx="1275">
                  <c:v>48218</c:v>
                </c:pt>
                <c:pt idx="1276">
                  <c:v>48221</c:v>
                </c:pt>
                <c:pt idx="1277">
                  <c:v>48228</c:v>
                </c:pt>
                <c:pt idx="1278">
                  <c:v>48235</c:v>
                </c:pt>
                <c:pt idx="1279">
                  <c:v>48242</c:v>
                </c:pt>
                <c:pt idx="1280">
                  <c:v>48249</c:v>
                </c:pt>
                <c:pt idx="1281">
                  <c:v>48256</c:v>
                </c:pt>
                <c:pt idx="1282">
                  <c:v>48263</c:v>
                </c:pt>
                <c:pt idx="1283">
                  <c:v>48270</c:v>
                </c:pt>
                <c:pt idx="1284">
                  <c:v>48277</c:v>
                </c:pt>
                <c:pt idx="1285">
                  <c:v>48284</c:v>
                </c:pt>
                <c:pt idx="1286">
                  <c:v>48291</c:v>
                </c:pt>
                <c:pt idx="1287">
                  <c:v>48298</c:v>
                </c:pt>
                <c:pt idx="1288">
                  <c:v>48305</c:v>
                </c:pt>
                <c:pt idx="1289">
                  <c:v>48312</c:v>
                </c:pt>
                <c:pt idx="1290">
                  <c:v>48319</c:v>
                </c:pt>
                <c:pt idx="1291">
                  <c:v>48326</c:v>
                </c:pt>
                <c:pt idx="1292">
                  <c:v>48333</c:v>
                </c:pt>
                <c:pt idx="1293">
                  <c:v>48341</c:v>
                </c:pt>
                <c:pt idx="1294">
                  <c:v>48347</c:v>
                </c:pt>
                <c:pt idx="1295">
                  <c:v>48354</c:v>
                </c:pt>
                <c:pt idx="1296">
                  <c:v>48361</c:v>
                </c:pt>
                <c:pt idx="1297">
                  <c:v>48368</c:v>
                </c:pt>
                <c:pt idx="1298">
                  <c:v>48375</c:v>
                </c:pt>
                <c:pt idx="1299">
                  <c:v>48382</c:v>
                </c:pt>
                <c:pt idx="1300">
                  <c:v>48389</c:v>
                </c:pt>
                <c:pt idx="1301">
                  <c:v>48396</c:v>
                </c:pt>
                <c:pt idx="1302">
                  <c:v>48403</c:v>
                </c:pt>
                <c:pt idx="1303">
                  <c:v>48410</c:v>
                </c:pt>
                <c:pt idx="1304">
                  <c:v>48417</c:v>
                </c:pt>
                <c:pt idx="1305">
                  <c:v>48424</c:v>
                </c:pt>
                <c:pt idx="1306">
                  <c:v>48431</c:v>
                </c:pt>
                <c:pt idx="1307">
                  <c:v>48438</c:v>
                </c:pt>
                <c:pt idx="1308">
                  <c:v>48445</c:v>
                </c:pt>
                <c:pt idx="1309">
                  <c:v>48452</c:v>
                </c:pt>
                <c:pt idx="1310">
                  <c:v>48459</c:v>
                </c:pt>
                <c:pt idx="1311">
                  <c:v>48466</c:v>
                </c:pt>
                <c:pt idx="1312">
                  <c:v>48473</c:v>
                </c:pt>
                <c:pt idx="1313">
                  <c:v>48480</c:v>
                </c:pt>
                <c:pt idx="1314">
                  <c:v>48487</c:v>
                </c:pt>
                <c:pt idx="1315">
                  <c:v>48494</c:v>
                </c:pt>
                <c:pt idx="1316">
                  <c:v>48501</c:v>
                </c:pt>
                <c:pt idx="1317">
                  <c:v>48508</c:v>
                </c:pt>
                <c:pt idx="1318">
                  <c:v>48515</c:v>
                </c:pt>
                <c:pt idx="1319">
                  <c:v>48522</c:v>
                </c:pt>
                <c:pt idx="1320">
                  <c:v>48529</c:v>
                </c:pt>
                <c:pt idx="1321">
                  <c:v>48536</c:v>
                </c:pt>
                <c:pt idx="1322">
                  <c:v>48543</c:v>
                </c:pt>
                <c:pt idx="1323">
                  <c:v>48550</c:v>
                </c:pt>
                <c:pt idx="1324">
                  <c:v>48557</c:v>
                </c:pt>
                <c:pt idx="1325">
                  <c:v>48564</c:v>
                </c:pt>
                <c:pt idx="1326">
                  <c:v>48571</c:v>
                </c:pt>
                <c:pt idx="1327">
                  <c:v>48579</c:v>
                </c:pt>
                <c:pt idx="1328">
                  <c:v>48586</c:v>
                </c:pt>
                <c:pt idx="1329">
                  <c:v>48593</c:v>
                </c:pt>
                <c:pt idx="1330">
                  <c:v>48600</c:v>
                </c:pt>
                <c:pt idx="1331">
                  <c:v>48607</c:v>
                </c:pt>
                <c:pt idx="1332">
                  <c:v>48614</c:v>
                </c:pt>
                <c:pt idx="1333">
                  <c:v>48621</c:v>
                </c:pt>
                <c:pt idx="1334">
                  <c:v>48628</c:v>
                </c:pt>
                <c:pt idx="1335">
                  <c:v>48635</c:v>
                </c:pt>
                <c:pt idx="1336">
                  <c:v>48642</c:v>
                </c:pt>
                <c:pt idx="1337">
                  <c:v>48649</c:v>
                </c:pt>
                <c:pt idx="1338">
                  <c:v>48656</c:v>
                </c:pt>
                <c:pt idx="1339">
                  <c:v>48663</c:v>
                </c:pt>
                <c:pt idx="1340">
                  <c:v>48670</c:v>
                </c:pt>
                <c:pt idx="1341">
                  <c:v>48677</c:v>
                </c:pt>
                <c:pt idx="1342">
                  <c:v>48688</c:v>
                </c:pt>
                <c:pt idx="1343">
                  <c:v>48691</c:v>
                </c:pt>
                <c:pt idx="1344">
                  <c:v>48698</c:v>
                </c:pt>
                <c:pt idx="1345">
                  <c:v>48705</c:v>
                </c:pt>
                <c:pt idx="1346">
                  <c:v>48712</c:v>
                </c:pt>
                <c:pt idx="1347">
                  <c:v>48719</c:v>
                </c:pt>
                <c:pt idx="1348">
                  <c:v>48726</c:v>
                </c:pt>
                <c:pt idx="1349">
                  <c:v>48733</c:v>
                </c:pt>
                <c:pt idx="1350">
                  <c:v>48740</c:v>
                </c:pt>
                <c:pt idx="1351">
                  <c:v>48747</c:v>
                </c:pt>
                <c:pt idx="1352">
                  <c:v>48754</c:v>
                </c:pt>
                <c:pt idx="1353">
                  <c:v>48761</c:v>
                </c:pt>
                <c:pt idx="1354">
                  <c:v>48768</c:v>
                </c:pt>
                <c:pt idx="1355">
                  <c:v>48775</c:v>
                </c:pt>
                <c:pt idx="1356">
                  <c:v>48782</c:v>
                </c:pt>
                <c:pt idx="1357">
                  <c:v>48789</c:v>
                </c:pt>
                <c:pt idx="1358">
                  <c:v>48796</c:v>
                </c:pt>
                <c:pt idx="1359">
                  <c:v>48803</c:v>
                </c:pt>
                <c:pt idx="1360">
                  <c:v>48810</c:v>
                </c:pt>
                <c:pt idx="1361">
                  <c:v>48817</c:v>
                </c:pt>
                <c:pt idx="1362">
                  <c:v>48824</c:v>
                </c:pt>
                <c:pt idx="1363">
                  <c:v>48831</c:v>
                </c:pt>
                <c:pt idx="1364">
                  <c:v>48838</c:v>
                </c:pt>
                <c:pt idx="1365">
                  <c:v>48845</c:v>
                </c:pt>
                <c:pt idx="1366">
                  <c:v>48852</c:v>
                </c:pt>
                <c:pt idx="1367">
                  <c:v>48859</c:v>
                </c:pt>
                <c:pt idx="1368">
                  <c:v>48866</c:v>
                </c:pt>
                <c:pt idx="1369">
                  <c:v>48873</c:v>
                </c:pt>
                <c:pt idx="1370">
                  <c:v>48880</c:v>
                </c:pt>
                <c:pt idx="1371">
                  <c:v>48887</c:v>
                </c:pt>
                <c:pt idx="1372">
                  <c:v>48894</c:v>
                </c:pt>
                <c:pt idx="1373">
                  <c:v>48901</c:v>
                </c:pt>
                <c:pt idx="1374">
                  <c:v>48908</c:v>
                </c:pt>
                <c:pt idx="1375">
                  <c:v>48915</c:v>
                </c:pt>
                <c:pt idx="1376">
                  <c:v>48922</c:v>
                </c:pt>
                <c:pt idx="1377">
                  <c:v>48929</c:v>
                </c:pt>
                <c:pt idx="1378">
                  <c:v>48936</c:v>
                </c:pt>
                <c:pt idx="1379">
                  <c:v>48943</c:v>
                </c:pt>
                <c:pt idx="1380">
                  <c:v>48950</c:v>
                </c:pt>
                <c:pt idx="1381">
                  <c:v>48957</c:v>
                </c:pt>
                <c:pt idx="1382">
                  <c:v>48964</c:v>
                </c:pt>
                <c:pt idx="1383">
                  <c:v>48971</c:v>
                </c:pt>
                <c:pt idx="1384">
                  <c:v>48978</c:v>
                </c:pt>
                <c:pt idx="1385">
                  <c:v>48985</c:v>
                </c:pt>
                <c:pt idx="1386">
                  <c:v>48992</c:v>
                </c:pt>
                <c:pt idx="1387">
                  <c:v>48999</c:v>
                </c:pt>
                <c:pt idx="1388">
                  <c:v>49006</c:v>
                </c:pt>
                <c:pt idx="1389">
                  <c:v>49013</c:v>
                </c:pt>
                <c:pt idx="1390">
                  <c:v>49020</c:v>
                </c:pt>
                <c:pt idx="1391">
                  <c:v>49027</c:v>
                </c:pt>
                <c:pt idx="1392">
                  <c:v>49034</c:v>
                </c:pt>
                <c:pt idx="1393">
                  <c:v>49045</c:v>
                </c:pt>
                <c:pt idx="1394">
                  <c:v>49048</c:v>
                </c:pt>
                <c:pt idx="1395">
                  <c:v>49055</c:v>
                </c:pt>
                <c:pt idx="1396">
                  <c:v>49062</c:v>
                </c:pt>
                <c:pt idx="1397">
                  <c:v>49069</c:v>
                </c:pt>
                <c:pt idx="1398">
                  <c:v>49076</c:v>
                </c:pt>
                <c:pt idx="1399">
                  <c:v>49083</c:v>
                </c:pt>
                <c:pt idx="1400">
                  <c:v>49090</c:v>
                </c:pt>
                <c:pt idx="1401">
                  <c:v>49097</c:v>
                </c:pt>
                <c:pt idx="1402">
                  <c:v>49104</c:v>
                </c:pt>
                <c:pt idx="1403">
                  <c:v>49111</c:v>
                </c:pt>
                <c:pt idx="1404">
                  <c:v>49118</c:v>
                </c:pt>
                <c:pt idx="1405">
                  <c:v>49125</c:v>
                </c:pt>
                <c:pt idx="1406">
                  <c:v>49132</c:v>
                </c:pt>
                <c:pt idx="1407">
                  <c:v>49139</c:v>
                </c:pt>
                <c:pt idx="1408">
                  <c:v>49146</c:v>
                </c:pt>
                <c:pt idx="1409">
                  <c:v>49153</c:v>
                </c:pt>
                <c:pt idx="1410">
                  <c:v>49160</c:v>
                </c:pt>
                <c:pt idx="1411">
                  <c:v>49167</c:v>
                </c:pt>
                <c:pt idx="1412">
                  <c:v>49174</c:v>
                </c:pt>
                <c:pt idx="1413">
                  <c:v>49181</c:v>
                </c:pt>
                <c:pt idx="1414">
                  <c:v>49188</c:v>
                </c:pt>
                <c:pt idx="1415">
                  <c:v>49195</c:v>
                </c:pt>
                <c:pt idx="1416">
                  <c:v>49202</c:v>
                </c:pt>
                <c:pt idx="1417">
                  <c:v>49209</c:v>
                </c:pt>
                <c:pt idx="1418">
                  <c:v>49216</c:v>
                </c:pt>
                <c:pt idx="1419">
                  <c:v>49223</c:v>
                </c:pt>
                <c:pt idx="1420">
                  <c:v>49230</c:v>
                </c:pt>
                <c:pt idx="1421">
                  <c:v>49237</c:v>
                </c:pt>
                <c:pt idx="1422">
                  <c:v>49244</c:v>
                </c:pt>
                <c:pt idx="1423">
                  <c:v>49251</c:v>
                </c:pt>
                <c:pt idx="1424">
                  <c:v>49258</c:v>
                </c:pt>
                <c:pt idx="1425">
                  <c:v>49265</c:v>
                </c:pt>
                <c:pt idx="1426">
                  <c:v>49272</c:v>
                </c:pt>
                <c:pt idx="1427">
                  <c:v>49279</c:v>
                </c:pt>
                <c:pt idx="1428">
                  <c:v>49286</c:v>
                </c:pt>
                <c:pt idx="1429">
                  <c:v>49293</c:v>
                </c:pt>
                <c:pt idx="1430">
                  <c:v>49300</c:v>
                </c:pt>
                <c:pt idx="1431">
                  <c:v>49307</c:v>
                </c:pt>
                <c:pt idx="1432">
                  <c:v>49314</c:v>
                </c:pt>
                <c:pt idx="1433">
                  <c:v>49321</c:v>
                </c:pt>
                <c:pt idx="1434">
                  <c:v>49328</c:v>
                </c:pt>
                <c:pt idx="1435">
                  <c:v>49335</c:v>
                </c:pt>
                <c:pt idx="1436">
                  <c:v>49342</c:v>
                </c:pt>
                <c:pt idx="1437">
                  <c:v>49349</c:v>
                </c:pt>
                <c:pt idx="1438">
                  <c:v>49356</c:v>
                </c:pt>
                <c:pt idx="1439">
                  <c:v>49363</c:v>
                </c:pt>
                <c:pt idx="1440">
                  <c:v>49370</c:v>
                </c:pt>
                <c:pt idx="1441">
                  <c:v>49377</c:v>
                </c:pt>
                <c:pt idx="1442">
                  <c:v>49384</c:v>
                </c:pt>
                <c:pt idx="1443">
                  <c:v>49395</c:v>
                </c:pt>
                <c:pt idx="1444">
                  <c:v>49398</c:v>
                </c:pt>
                <c:pt idx="1445">
                  <c:v>49405</c:v>
                </c:pt>
                <c:pt idx="1446">
                  <c:v>49412</c:v>
                </c:pt>
                <c:pt idx="1447">
                  <c:v>49419</c:v>
                </c:pt>
                <c:pt idx="1448">
                  <c:v>49426</c:v>
                </c:pt>
                <c:pt idx="1449">
                  <c:v>49433</c:v>
                </c:pt>
                <c:pt idx="1450">
                  <c:v>49440</c:v>
                </c:pt>
                <c:pt idx="1451">
                  <c:v>49447</c:v>
                </c:pt>
                <c:pt idx="1452">
                  <c:v>49454</c:v>
                </c:pt>
                <c:pt idx="1453">
                  <c:v>49461</c:v>
                </c:pt>
                <c:pt idx="1454">
                  <c:v>49468</c:v>
                </c:pt>
                <c:pt idx="1455">
                  <c:v>49475</c:v>
                </c:pt>
                <c:pt idx="1456">
                  <c:v>49482</c:v>
                </c:pt>
                <c:pt idx="1457">
                  <c:v>49489</c:v>
                </c:pt>
                <c:pt idx="1458">
                  <c:v>49496</c:v>
                </c:pt>
                <c:pt idx="1459">
                  <c:v>49503</c:v>
                </c:pt>
                <c:pt idx="1460">
                  <c:v>49510</c:v>
                </c:pt>
                <c:pt idx="1461">
                  <c:v>49517</c:v>
                </c:pt>
                <c:pt idx="1462">
                  <c:v>49524</c:v>
                </c:pt>
                <c:pt idx="1463">
                  <c:v>49531</c:v>
                </c:pt>
                <c:pt idx="1464">
                  <c:v>49538</c:v>
                </c:pt>
                <c:pt idx="1465">
                  <c:v>49545</c:v>
                </c:pt>
                <c:pt idx="1466">
                  <c:v>49552</c:v>
                </c:pt>
                <c:pt idx="1467">
                  <c:v>49559</c:v>
                </c:pt>
                <c:pt idx="1468">
                  <c:v>49566</c:v>
                </c:pt>
                <c:pt idx="1469">
                  <c:v>49573</c:v>
                </c:pt>
                <c:pt idx="1470">
                  <c:v>49580</c:v>
                </c:pt>
                <c:pt idx="1471">
                  <c:v>49587</c:v>
                </c:pt>
                <c:pt idx="1472">
                  <c:v>49594</c:v>
                </c:pt>
                <c:pt idx="1473">
                  <c:v>49601</c:v>
                </c:pt>
                <c:pt idx="1474">
                  <c:v>49608</c:v>
                </c:pt>
                <c:pt idx="1475">
                  <c:v>49615</c:v>
                </c:pt>
                <c:pt idx="1476">
                  <c:v>49622</c:v>
                </c:pt>
                <c:pt idx="1477">
                  <c:v>49629</c:v>
                </c:pt>
                <c:pt idx="1478">
                  <c:v>49636</c:v>
                </c:pt>
                <c:pt idx="1479">
                  <c:v>49643</c:v>
                </c:pt>
                <c:pt idx="1480">
                  <c:v>49650</c:v>
                </c:pt>
                <c:pt idx="1481">
                  <c:v>49657</c:v>
                </c:pt>
                <c:pt idx="1482">
                  <c:v>49664</c:v>
                </c:pt>
                <c:pt idx="1483">
                  <c:v>49674</c:v>
                </c:pt>
                <c:pt idx="1484">
                  <c:v>49681</c:v>
                </c:pt>
                <c:pt idx="1485">
                  <c:v>49688</c:v>
                </c:pt>
                <c:pt idx="1486">
                  <c:v>49695</c:v>
                </c:pt>
                <c:pt idx="1487">
                  <c:v>49702</c:v>
                </c:pt>
                <c:pt idx="1488">
                  <c:v>49709</c:v>
                </c:pt>
                <c:pt idx="1489">
                  <c:v>49716</c:v>
                </c:pt>
                <c:pt idx="1490">
                  <c:v>49723</c:v>
                </c:pt>
                <c:pt idx="1491">
                  <c:v>49730</c:v>
                </c:pt>
                <c:pt idx="1492">
                  <c:v>49737</c:v>
                </c:pt>
                <c:pt idx="1493">
                  <c:v>49744</c:v>
                </c:pt>
                <c:pt idx="1494">
                  <c:v>49751</c:v>
                </c:pt>
                <c:pt idx="1495">
                  <c:v>49758</c:v>
                </c:pt>
                <c:pt idx="1496">
                  <c:v>49765</c:v>
                </c:pt>
                <c:pt idx="1497">
                  <c:v>49772</c:v>
                </c:pt>
                <c:pt idx="1498">
                  <c:v>49781</c:v>
                </c:pt>
                <c:pt idx="1499">
                  <c:v>49786</c:v>
                </c:pt>
                <c:pt idx="1500">
                  <c:v>49793</c:v>
                </c:pt>
                <c:pt idx="1501">
                  <c:v>49801</c:v>
                </c:pt>
                <c:pt idx="1502">
                  <c:v>49807</c:v>
                </c:pt>
                <c:pt idx="1503">
                  <c:v>49814</c:v>
                </c:pt>
                <c:pt idx="1504">
                  <c:v>49822</c:v>
                </c:pt>
                <c:pt idx="1505">
                  <c:v>49829</c:v>
                </c:pt>
                <c:pt idx="1506">
                  <c:v>49835</c:v>
                </c:pt>
                <c:pt idx="1507">
                  <c:v>49842</c:v>
                </c:pt>
                <c:pt idx="1508">
                  <c:v>49849</c:v>
                </c:pt>
                <c:pt idx="1509">
                  <c:v>49856</c:v>
                </c:pt>
                <c:pt idx="1510">
                  <c:v>49863</c:v>
                </c:pt>
                <c:pt idx="1511">
                  <c:v>49870</c:v>
                </c:pt>
                <c:pt idx="1512">
                  <c:v>49877</c:v>
                </c:pt>
                <c:pt idx="1513">
                  <c:v>49884</c:v>
                </c:pt>
                <c:pt idx="1514">
                  <c:v>49891</c:v>
                </c:pt>
                <c:pt idx="1515">
                  <c:v>49898</c:v>
                </c:pt>
                <c:pt idx="1516">
                  <c:v>49905</c:v>
                </c:pt>
                <c:pt idx="1517">
                  <c:v>49913</c:v>
                </c:pt>
                <c:pt idx="1518">
                  <c:v>49919</c:v>
                </c:pt>
                <c:pt idx="1519">
                  <c:v>49926</c:v>
                </c:pt>
                <c:pt idx="1520">
                  <c:v>49933</c:v>
                </c:pt>
                <c:pt idx="1521">
                  <c:v>49940</c:v>
                </c:pt>
                <c:pt idx="1522">
                  <c:v>49947</c:v>
                </c:pt>
                <c:pt idx="1523">
                  <c:v>49954</c:v>
                </c:pt>
                <c:pt idx="1524">
                  <c:v>49961</c:v>
                </c:pt>
                <c:pt idx="1525">
                  <c:v>49968</c:v>
                </c:pt>
                <c:pt idx="1526">
                  <c:v>49975</c:v>
                </c:pt>
                <c:pt idx="1527">
                  <c:v>49982</c:v>
                </c:pt>
                <c:pt idx="1528">
                  <c:v>49989</c:v>
                </c:pt>
                <c:pt idx="1529">
                  <c:v>49996</c:v>
                </c:pt>
                <c:pt idx="1530">
                  <c:v>50003</c:v>
                </c:pt>
                <c:pt idx="1531">
                  <c:v>50010</c:v>
                </c:pt>
                <c:pt idx="1532">
                  <c:v>50017</c:v>
                </c:pt>
                <c:pt idx="1533">
                  <c:v>50024</c:v>
                </c:pt>
                <c:pt idx="1534">
                  <c:v>50031</c:v>
                </c:pt>
                <c:pt idx="1535">
                  <c:v>50040</c:v>
                </c:pt>
                <c:pt idx="1536">
                  <c:v>50047</c:v>
                </c:pt>
                <c:pt idx="1537">
                  <c:v>50054</c:v>
                </c:pt>
                <c:pt idx="1538">
                  <c:v>50061</c:v>
                </c:pt>
                <c:pt idx="1539">
                  <c:v>50068</c:v>
                </c:pt>
                <c:pt idx="1540">
                  <c:v>50075</c:v>
                </c:pt>
                <c:pt idx="1541">
                  <c:v>50082</c:v>
                </c:pt>
                <c:pt idx="1542">
                  <c:v>50089</c:v>
                </c:pt>
                <c:pt idx="1543">
                  <c:v>50096</c:v>
                </c:pt>
                <c:pt idx="1544">
                  <c:v>50103</c:v>
                </c:pt>
                <c:pt idx="1545">
                  <c:v>50110</c:v>
                </c:pt>
                <c:pt idx="1546">
                  <c:v>50117</c:v>
                </c:pt>
                <c:pt idx="1547">
                  <c:v>50124</c:v>
                </c:pt>
                <c:pt idx="1548">
                  <c:v>50131</c:v>
                </c:pt>
                <c:pt idx="1549">
                  <c:v>50139</c:v>
                </c:pt>
                <c:pt idx="1550">
                  <c:v>50146</c:v>
                </c:pt>
                <c:pt idx="1551">
                  <c:v>50153</c:v>
                </c:pt>
                <c:pt idx="1552">
                  <c:v>50160</c:v>
                </c:pt>
                <c:pt idx="1553">
                  <c:v>50167</c:v>
                </c:pt>
                <c:pt idx="1554">
                  <c:v>50175</c:v>
                </c:pt>
                <c:pt idx="1555">
                  <c:v>50181</c:v>
                </c:pt>
                <c:pt idx="1556">
                  <c:v>50188</c:v>
                </c:pt>
                <c:pt idx="1557">
                  <c:v>50195</c:v>
                </c:pt>
                <c:pt idx="1558">
                  <c:v>50202</c:v>
                </c:pt>
                <c:pt idx="1559">
                  <c:v>50209</c:v>
                </c:pt>
                <c:pt idx="1560">
                  <c:v>50216</c:v>
                </c:pt>
                <c:pt idx="1561">
                  <c:v>50223</c:v>
                </c:pt>
                <c:pt idx="1562">
                  <c:v>50230</c:v>
                </c:pt>
                <c:pt idx="1563">
                  <c:v>50237</c:v>
                </c:pt>
                <c:pt idx="1564">
                  <c:v>50244</c:v>
                </c:pt>
                <c:pt idx="1565">
                  <c:v>50251</c:v>
                </c:pt>
                <c:pt idx="1566">
                  <c:v>50258</c:v>
                </c:pt>
                <c:pt idx="1567">
                  <c:v>50265</c:v>
                </c:pt>
                <c:pt idx="1568">
                  <c:v>50272</c:v>
                </c:pt>
                <c:pt idx="1569">
                  <c:v>50279</c:v>
                </c:pt>
                <c:pt idx="1570">
                  <c:v>50286</c:v>
                </c:pt>
                <c:pt idx="1571">
                  <c:v>50293</c:v>
                </c:pt>
                <c:pt idx="1572">
                  <c:v>50300</c:v>
                </c:pt>
                <c:pt idx="1573">
                  <c:v>50307</c:v>
                </c:pt>
                <c:pt idx="1574">
                  <c:v>50314</c:v>
                </c:pt>
                <c:pt idx="1575">
                  <c:v>50321</c:v>
                </c:pt>
                <c:pt idx="1576">
                  <c:v>50328</c:v>
                </c:pt>
                <c:pt idx="1577">
                  <c:v>50335</c:v>
                </c:pt>
                <c:pt idx="1578">
                  <c:v>50342</c:v>
                </c:pt>
                <c:pt idx="1579">
                  <c:v>50349</c:v>
                </c:pt>
                <c:pt idx="1580">
                  <c:v>50356</c:v>
                </c:pt>
                <c:pt idx="1581">
                  <c:v>50363</c:v>
                </c:pt>
                <c:pt idx="1582">
                  <c:v>50370</c:v>
                </c:pt>
                <c:pt idx="1583">
                  <c:v>50377</c:v>
                </c:pt>
                <c:pt idx="1584">
                  <c:v>50384</c:v>
                </c:pt>
                <c:pt idx="1585">
                  <c:v>50391</c:v>
                </c:pt>
                <c:pt idx="1586">
                  <c:v>50398</c:v>
                </c:pt>
                <c:pt idx="1587">
                  <c:v>50405</c:v>
                </c:pt>
                <c:pt idx="1588">
                  <c:v>50412</c:v>
                </c:pt>
                <c:pt idx="1589">
                  <c:v>50419</c:v>
                </c:pt>
                <c:pt idx="1590">
                  <c:v>50426</c:v>
                </c:pt>
                <c:pt idx="1591">
                  <c:v>50433</c:v>
                </c:pt>
                <c:pt idx="1592">
                  <c:v>50440</c:v>
                </c:pt>
                <c:pt idx="1593">
                  <c:v>50447</c:v>
                </c:pt>
                <c:pt idx="1594">
                  <c:v>50454</c:v>
                </c:pt>
                <c:pt idx="1595">
                  <c:v>50461</c:v>
                </c:pt>
                <c:pt idx="1596">
                  <c:v>50468</c:v>
                </c:pt>
                <c:pt idx="1597">
                  <c:v>50475</c:v>
                </c:pt>
                <c:pt idx="1598">
                  <c:v>50482</c:v>
                </c:pt>
                <c:pt idx="1599">
                  <c:v>50489</c:v>
                </c:pt>
                <c:pt idx="1600">
                  <c:v>50496</c:v>
                </c:pt>
                <c:pt idx="1601">
                  <c:v>50503</c:v>
                </c:pt>
                <c:pt idx="1602">
                  <c:v>50510</c:v>
                </c:pt>
                <c:pt idx="1603">
                  <c:v>50517</c:v>
                </c:pt>
                <c:pt idx="1604">
                  <c:v>50524</c:v>
                </c:pt>
                <c:pt idx="1605">
                  <c:v>50531</c:v>
                </c:pt>
                <c:pt idx="1606">
                  <c:v>50538</c:v>
                </c:pt>
                <c:pt idx="1607">
                  <c:v>50545</c:v>
                </c:pt>
                <c:pt idx="1608">
                  <c:v>50552</c:v>
                </c:pt>
                <c:pt idx="1609">
                  <c:v>50560</c:v>
                </c:pt>
                <c:pt idx="1610">
                  <c:v>50566</c:v>
                </c:pt>
                <c:pt idx="1611">
                  <c:v>50573</c:v>
                </c:pt>
                <c:pt idx="1612">
                  <c:v>50580</c:v>
                </c:pt>
                <c:pt idx="1613">
                  <c:v>50587</c:v>
                </c:pt>
                <c:pt idx="1614">
                  <c:v>50594</c:v>
                </c:pt>
                <c:pt idx="1615">
                  <c:v>50601</c:v>
                </c:pt>
                <c:pt idx="1616">
                  <c:v>50608</c:v>
                </c:pt>
                <c:pt idx="1617">
                  <c:v>50615</c:v>
                </c:pt>
                <c:pt idx="1618">
                  <c:v>50622</c:v>
                </c:pt>
                <c:pt idx="1619">
                  <c:v>50629</c:v>
                </c:pt>
                <c:pt idx="1620">
                  <c:v>50636</c:v>
                </c:pt>
                <c:pt idx="1621">
                  <c:v>50643</c:v>
                </c:pt>
                <c:pt idx="1622">
                  <c:v>50650</c:v>
                </c:pt>
                <c:pt idx="1623">
                  <c:v>50657</c:v>
                </c:pt>
                <c:pt idx="1624">
                  <c:v>50664</c:v>
                </c:pt>
                <c:pt idx="1625">
                  <c:v>50671</c:v>
                </c:pt>
                <c:pt idx="1626">
                  <c:v>50678</c:v>
                </c:pt>
                <c:pt idx="1627">
                  <c:v>50685</c:v>
                </c:pt>
                <c:pt idx="1628">
                  <c:v>50692</c:v>
                </c:pt>
                <c:pt idx="1629">
                  <c:v>50699</c:v>
                </c:pt>
                <c:pt idx="1630">
                  <c:v>50706</c:v>
                </c:pt>
                <c:pt idx="1631">
                  <c:v>50713</c:v>
                </c:pt>
                <c:pt idx="1632">
                  <c:v>50720</c:v>
                </c:pt>
                <c:pt idx="1633">
                  <c:v>50727</c:v>
                </c:pt>
                <c:pt idx="1634">
                  <c:v>50734</c:v>
                </c:pt>
                <c:pt idx="1635">
                  <c:v>50741</c:v>
                </c:pt>
                <c:pt idx="1636">
                  <c:v>50748</c:v>
                </c:pt>
                <c:pt idx="1637">
                  <c:v>50755</c:v>
                </c:pt>
                <c:pt idx="1638">
                  <c:v>50762</c:v>
                </c:pt>
                <c:pt idx="1639">
                  <c:v>50770</c:v>
                </c:pt>
                <c:pt idx="1640">
                  <c:v>50777</c:v>
                </c:pt>
                <c:pt idx="1641">
                  <c:v>50784</c:v>
                </c:pt>
                <c:pt idx="1642">
                  <c:v>50791</c:v>
                </c:pt>
                <c:pt idx="1643">
                  <c:v>50798</c:v>
                </c:pt>
                <c:pt idx="1644">
                  <c:v>50805</c:v>
                </c:pt>
                <c:pt idx="1645">
                  <c:v>50812</c:v>
                </c:pt>
                <c:pt idx="1646">
                  <c:v>50819</c:v>
                </c:pt>
                <c:pt idx="1647">
                  <c:v>50826</c:v>
                </c:pt>
                <c:pt idx="1648">
                  <c:v>50833</c:v>
                </c:pt>
                <c:pt idx="1649">
                  <c:v>50840</c:v>
                </c:pt>
                <c:pt idx="1650">
                  <c:v>50847</c:v>
                </c:pt>
                <c:pt idx="1651">
                  <c:v>50854</c:v>
                </c:pt>
                <c:pt idx="1652">
                  <c:v>50861</c:v>
                </c:pt>
                <c:pt idx="1653">
                  <c:v>50872</c:v>
                </c:pt>
                <c:pt idx="1654">
                  <c:v>50875</c:v>
                </c:pt>
                <c:pt idx="1655">
                  <c:v>50882</c:v>
                </c:pt>
                <c:pt idx="1656">
                  <c:v>50889</c:v>
                </c:pt>
                <c:pt idx="1657">
                  <c:v>50896</c:v>
                </c:pt>
                <c:pt idx="1658">
                  <c:v>50903</c:v>
                </c:pt>
                <c:pt idx="1659">
                  <c:v>50910</c:v>
                </c:pt>
                <c:pt idx="1660">
                  <c:v>50917</c:v>
                </c:pt>
                <c:pt idx="1661">
                  <c:v>50924</c:v>
                </c:pt>
                <c:pt idx="1662">
                  <c:v>50931</c:v>
                </c:pt>
                <c:pt idx="1663">
                  <c:v>50938</c:v>
                </c:pt>
                <c:pt idx="1664">
                  <c:v>50945</c:v>
                </c:pt>
                <c:pt idx="1665">
                  <c:v>50952</c:v>
                </c:pt>
                <c:pt idx="1666">
                  <c:v>50959</c:v>
                </c:pt>
                <c:pt idx="1667">
                  <c:v>50966</c:v>
                </c:pt>
                <c:pt idx="1668">
                  <c:v>50973</c:v>
                </c:pt>
                <c:pt idx="1669">
                  <c:v>50980</c:v>
                </c:pt>
                <c:pt idx="1670">
                  <c:v>50987</c:v>
                </c:pt>
                <c:pt idx="1671">
                  <c:v>50994</c:v>
                </c:pt>
                <c:pt idx="1672">
                  <c:v>51001</c:v>
                </c:pt>
                <c:pt idx="1673">
                  <c:v>51008</c:v>
                </c:pt>
                <c:pt idx="1674">
                  <c:v>51015</c:v>
                </c:pt>
                <c:pt idx="1675">
                  <c:v>51022</c:v>
                </c:pt>
                <c:pt idx="1676">
                  <c:v>51029</c:v>
                </c:pt>
                <c:pt idx="1677">
                  <c:v>51036</c:v>
                </c:pt>
                <c:pt idx="1678">
                  <c:v>51043</c:v>
                </c:pt>
                <c:pt idx="1679">
                  <c:v>51050</c:v>
                </c:pt>
                <c:pt idx="1680">
                  <c:v>51057</c:v>
                </c:pt>
                <c:pt idx="1681">
                  <c:v>51064</c:v>
                </c:pt>
                <c:pt idx="1682">
                  <c:v>51071</c:v>
                </c:pt>
                <c:pt idx="1683">
                  <c:v>51078</c:v>
                </c:pt>
                <c:pt idx="1684">
                  <c:v>51085</c:v>
                </c:pt>
                <c:pt idx="1685">
                  <c:v>51092</c:v>
                </c:pt>
                <c:pt idx="1686">
                  <c:v>51099</c:v>
                </c:pt>
                <c:pt idx="1687">
                  <c:v>51106</c:v>
                </c:pt>
                <c:pt idx="1688">
                  <c:v>51113</c:v>
                </c:pt>
                <c:pt idx="1689">
                  <c:v>51120</c:v>
                </c:pt>
                <c:pt idx="1690">
                  <c:v>51127</c:v>
                </c:pt>
                <c:pt idx="1691">
                  <c:v>51134</c:v>
                </c:pt>
                <c:pt idx="1692">
                  <c:v>51141</c:v>
                </c:pt>
                <c:pt idx="1693">
                  <c:v>51148</c:v>
                </c:pt>
                <c:pt idx="1694">
                  <c:v>51155</c:v>
                </c:pt>
                <c:pt idx="1695">
                  <c:v>51162</c:v>
                </c:pt>
                <c:pt idx="1696">
                  <c:v>51169</c:v>
                </c:pt>
                <c:pt idx="1697">
                  <c:v>51176</c:v>
                </c:pt>
                <c:pt idx="1698">
                  <c:v>51183</c:v>
                </c:pt>
                <c:pt idx="1699">
                  <c:v>51190</c:v>
                </c:pt>
                <c:pt idx="1700">
                  <c:v>51197</c:v>
                </c:pt>
                <c:pt idx="1701">
                  <c:v>51204</c:v>
                </c:pt>
                <c:pt idx="1702">
                  <c:v>51211</c:v>
                </c:pt>
                <c:pt idx="1703">
                  <c:v>51218</c:v>
                </c:pt>
                <c:pt idx="1704">
                  <c:v>51229</c:v>
                </c:pt>
                <c:pt idx="1705">
                  <c:v>51232</c:v>
                </c:pt>
                <c:pt idx="1706">
                  <c:v>51239</c:v>
                </c:pt>
                <c:pt idx="1707">
                  <c:v>51246</c:v>
                </c:pt>
                <c:pt idx="1708">
                  <c:v>51253</c:v>
                </c:pt>
                <c:pt idx="1709">
                  <c:v>51260</c:v>
                </c:pt>
                <c:pt idx="1710">
                  <c:v>51267</c:v>
                </c:pt>
                <c:pt idx="1711">
                  <c:v>51274</c:v>
                </c:pt>
                <c:pt idx="1712">
                  <c:v>51281</c:v>
                </c:pt>
                <c:pt idx="1713">
                  <c:v>51288</c:v>
                </c:pt>
                <c:pt idx="1714">
                  <c:v>51295</c:v>
                </c:pt>
                <c:pt idx="1715">
                  <c:v>51302</c:v>
                </c:pt>
                <c:pt idx="1716">
                  <c:v>51309</c:v>
                </c:pt>
                <c:pt idx="1717">
                  <c:v>51316</c:v>
                </c:pt>
                <c:pt idx="1718">
                  <c:v>51323</c:v>
                </c:pt>
                <c:pt idx="1719">
                  <c:v>51330</c:v>
                </c:pt>
                <c:pt idx="1720">
                  <c:v>51337</c:v>
                </c:pt>
                <c:pt idx="1721">
                  <c:v>51344</c:v>
                </c:pt>
                <c:pt idx="1722">
                  <c:v>51351</c:v>
                </c:pt>
                <c:pt idx="1723">
                  <c:v>51358</c:v>
                </c:pt>
                <c:pt idx="1724">
                  <c:v>51365</c:v>
                </c:pt>
                <c:pt idx="1725">
                  <c:v>51372</c:v>
                </c:pt>
                <c:pt idx="1726">
                  <c:v>51379</c:v>
                </c:pt>
                <c:pt idx="1727">
                  <c:v>51386</c:v>
                </c:pt>
                <c:pt idx="1728">
                  <c:v>51393</c:v>
                </c:pt>
                <c:pt idx="1729">
                  <c:v>51400</c:v>
                </c:pt>
                <c:pt idx="1730">
                  <c:v>51407</c:v>
                </c:pt>
                <c:pt idx="1731">
                  <c:v>51414</c:v>
                </c:pt>
                <c:pt idx="1732">
                  <c:v>51421</c:v>
                </c:pt>
                <c:pt idx="1733">
                  <c:v>51428</c:v>
                </c:pt>
                <c:pt idx="1734">
                  <c:v>51435</c:v>
                </c:pt>
                <c:pt idx="1735">
                  <c:v>51442</c:v>
                </c:pt>
                <c:pt idx="1736">
                  <c:v>51449</c:v>
                </c:pt>
                <c:pt idx="1737">
                  <c:v>51456</c:v>
                </c:pt>
                <c:pt idx="1738">
                  <c:v>51463</c:v>
                </c:pt>
                <c:pt idx="1739">
                  <c:v>51470</c:v>
                </c:pt>
                <c:pt idx="1740">
                  <c:v>51477</c:v>
                </c:pt>
                <c:pt idx="1741">
                  <c:v>51484</c:v>
                </c:pt>
                <c:pt idx="1742">
                  <c:v>51491</c:v>
                </c:pt>
                <c:pt idx="1743">
                  <c:v>51501</c:v>
                </c:pt>
                <c:pt idx="1744">
                  <c:v>51508</c:v>
                </c:pt>
                <c:pt idx="1745">
                  <c:v>51515</c:v>
                </c:pt>
                <c:pt idx="1746">
                  <c:v>51522</c:v>
                </c:pt>
                <c:pt idx="1747">
                  <c:v>51529</c:v>
                </c:pt>
                <c:pt idx="1748">
                  <c:v>51536</c:v>
                </c:pt>
                <c:pt idx="1749">
                  <c:v>51543</c:v>
                </c:pt>
                <c:pt idx="1750">
                  <c:v>51550</c:v>
                </c:pt>
                <c:pt idx="1751">
                  <c:v>51557</c:v>
                </c:pt>
                <c:pt idx="1752">
                  <c:v>51564</c:v>
                </c:pt>
                <c:pt idx="1753">
                  <c:v>51571</c:v>
                </c:pt>
                <c:pt idx="1754">
                  <c:v>51578</c:v>
                </c:pt>
                <c:pt idx="1755">
                  <c:v>51585</c:v>
                </c:pt>
                <c:pt idx="1756">
                  <c:v>51592</c:v>
                </c:pt>
                <c:pt idx="1757">
                  <c:v>51599</c:v>
                </c:pt>
                <c:pt idx="1758">
                  <c:v>51606</c:v>
                </c:pt>
                <c:pt idx="1759">
                  <c:v>51615</c:v>
                </c:pt>
                <c:pt idx="1760">
                  <c:v>51620</c:v>
                </c:pt>
                <c:pt idx="1761">
                  <c:v>51628</c:v>
                </c:pt>
                <c:pt idx="1762">
                  <c:v>51634</c:v>
                </c:pt>
                <c:pt idx="1763">
                  <c:v>51641</c:v>
                </c:pt>
                <c:pt idx="1764">
                  <c:v>51649</c:v>
                </c:pt>
                <c:pt idx="1765">
                  <c:v>51655</c:v>
                </c:pt>
                <c:pt idx="1766">
                  <c:v>51663</c:v>
                </c:pt>
                <c:pt idx="1767">
                  <c:v>51669</c:v>
                </c:pt>
                <c:pt idx="1768">
                  <c:v>51676</c:v>
                </c:pt>
                <c:pt idx="1769">
                  <c:v>51683</c:v>
                </c:pt>
                <c:pt idx="1770">
                  <c:v>51690</c:v>
                </c:pt>
                <c:pt idx="1771">
                  <c:v>51697</c:v>
                </c:pt>
                <c:pt idx="1772">
                  <c:v>51704</c:v>
                </c:pt>
                <c:pt idx="1773">
                  <c:v>51711</c:v>
                </c:pt>
                <c:pt idx="1774">
                  <c:v>51718</c:v>
                </c:pt>
                <c:pt idx="1775">
                  <c:v>51725</c:v>
                </c:pt>
                <c:pt idx="1776">
                  <c:v>51732</c:v>
                </c:pt>
                <c:pt idx="1777">
                  <c:v>51740</c:v>
                </c:pt>
                <c:pt idx="1778">
                  <c:v>51746</c:v>
                </c:pt>
                <c:pt idx="1779">
                  <c:v>51753</c:v>
                </c:pt>
                <c:pt idx="1780">
                  <c:v>51760</c:v>
                </c:pt>
                <c:pt idx="1781">
                  <c:v>51767</c:v>
                </c:pt>
                <c:pt idx="1782">
                  <c:v>51774</c:v>
                </c:pt>
                <c:pt idx="1783">
                  <c:v>51781</c:v>
                </c:pt>
                <c:pt idx="1784">
                  <c:v>51788</c:v>
                </c:pt>
                <c:pt idx="1785">
                  <c:v>51795</c:v>
                </c:pt>
                <c:pt idx="1786">
                  <c:v>51802</c:v>
                </c:pt>
                <c:pt idx="1787">
                  <c:v>51809</c:v>
                </c:pt>
                <c:pt idx="1788">
                  <c:v>51816</c:v>
                </c:pt>
                <c:pt idx="1789">
                  <c:v>51823</c:v>
                </c:pt>
                <c:pt idx="1790">
                  <c:v>51830</c:v>
                </c:pt>
                <c:pt idx="1791">
                  <c:v>51837</c:v>
                </c:pt>
                <c:pt idx="1792">
                  <c:v>51844</c:v>
                </c:pt>
                <c:pt idx="1793">
                  <c:v>51851</c:v>
                </c:pt>
                <c:pt idx="1794">
                  <c:v>51858</c:v>
                </c:pt>
                <c:pt idx="1795">
                  <c:v>51866</c:v>
                </c:pt>
                <c:pt idx="1796">
                  <c:v>51873</c:v>
                </c:pt>
                <c:pt idx="1797">
                  <c:v>51880</c:v>
                </c:pt>
                <c:pt idx="1798">
                  <c:v>51887</c:v>
                </c:pt>
                <c:pt idx="1799">
                  <c:v>51894</c:v>
                </c:pt>
                <c:pt idx="1800">
                  <c:v>51901</c:v>
                </c:pt>
                <c:pt idx="1801">
                  <c:v>51908</c:v>
                </c:pt>
                <c:pt idx="1802">
                  <c:v>51915</c:v>
                </c:pt>
                <c:pt idx="1803">
                  <c:v>51922</c:v>
                </c:pt>
                <c:pt idx="1804">
                  <c:v>51929</c:v>
                </c:pt>
                <c:pt idx="1805">
                  <c:v>51936</c:v>
                </c:pt>
                <c:pt idx="1806">
                  <c:v>51943</c:v>
                </c:pt>
                <c:pt idx="1807">
                  <c:v>51950</c:v>
                </c:pt>
                <c:pt idx="1808">
                  <c:v>51957</c:v>
                </c:pt>
                <c:pt idx="1809">
                  <c:v>51966</c:v>
                </c:pt>
                <c:pt idx="1810">
                  <c:v>51973</c:v>
                </c:pt>
                <c:pt idx="1811">
                  <c:v>51980</c:v>
                </c:pt>
                <c:pt idx="1812">
                  <c:v>51988</c:v>
                </c:pt>
                <c:pt idx="1813">
                  <c:v>51994</c:v>
                </c:pt>
                <c:pt idx="1814">
                  <c:v>52002</c:v>
                </c:pt>
                <c:pt idx="1815">
                  <c:v>52008</c:v>
                </c:pt>
                <c:pt idx="1816">
                  <c:v>52015</c:v>
                </c:pt>
                <c:pt idx="1817">
                  <c:v>52022</c:v>
                </c:pt>
                <c:pt idx="1818">
                  <c:v>52029</c:v>
                </c:pt>
                <c:pt idx="1819">
                  <c:v>52036</c:v>
                </c:pt>
                <c:pt idx="1820">
                  <c:v>52043</c:v>
                </c:pt>
                <c:pt idx="1821">
                  <c:v>52050</c:v>
                </c:pt>
                <c:pt idx="1822">
                  <c:v>52057</c:v>
                </c:pt>
                <c:pt idx="1823">
                  <c:v>52064</c:v>
                </c:pt>
                <c:pt idx="1824">
                  <c:v>52071</c:v>
                </c:pt>
                <c:pt idx="1825">
                  <c:v>52078</c:v>
                </c:pt>
                <c:pt idx="1826">
                  <c:v>52085</c:v>
                </c:pt>
                <c:pt idx="1827">
                  <c:v>52092</c:v>
                </c:pt>
                <c:pt idx="1828">
                  <c:v>52099</c:v>
                </c:pt>
                <c:pt idx="1829">
                  <c:v>52106</c:v>
                </c:pt>
                <c:pt idx="1830">
                  <c:v>52113</c:v>
                </c:pt>
                <c:pt idx="1831">
                  <c:v>52120</c:v>
                </c:pt>
                <c:pt idx="1832">
                  <c:v>52127</c:v>
                </c:pt>
                <c:pt idx="1833">
                  <c:v>52134</c:v>
                </c:pt>
                <c:pt idx="1834">
                  <c:v>52141</c:v>
                </c:pt>
                <c:pt idx="1835">
                  <c:v>52148</c:v>
                </c:pt>
                <c:pt idx="1836">
                  <c:v>52155</c:v>
                </c:pt>
                <c:pt idx="1837">
                  <c:v>52162</c:v>
                </c:pt>
                <c:pt idx="1838">
                  <c:v>52169</c:v>
                </c:pt>
                <c:pt idx="1839">
                  <c:v>52176</c:v>
                </c:pt>
                <c:pt idx="1840">
                  <c:v>52183</c:v>
                </c:pt>
                <c:pt idx="1841">
                  <c:v>52190</c:v>
                </c:pt>
                <c:pt idx="1842">
                  <c:v>52197</c:v>
                </c:pt>
                <c:pt idx="1843">
                  <c:v>52204</c:v>
                </c:pt>
                <c:pt idx="1844">
                  <c:v>52211</c:v>
                </c:pt>
                <c:pt idx="1845">
                  <c:v>52218</c:v>
                </c:pt>
                <c:pt idx="1846">
                  <c:v>52229</c:v>
                </c:pt>
                <c:pt idx="1847">
                  <c:v>52236</c:v>
                </c:pt>
                <c:pt idx="1848">
                  <c:v>52239</c:v>
                </c:pt>
                <c:pt idx="1849">
                  <c:v>52246</c:v>
                </c:pt>
                <c:pt idx="1850">
                  <c:v>52253</c:v>
                </c:pt>
                <c:pt idx="1851">
                  <c:v>52260</c:v>
                </c:pt>
                <c:pt idx="1852">
                  <c:v>52267</c:v>
                </c:pt>
                <c:pt idx="1853">
                  <c:v>52274</c:v>
                </c:pt>
                <c:pt idx="1854">
                  <c:v>52281</c:v>
                </c:pt>
                <c:pt idx="1855">
                  <c:v>52288</c:v>
                </c:pt>
                <c:pt idx="1856">
                  <c:v>52295</c:v>
                </c:pt>
                <c:pt idx="1857">
                  <c:v>52302</c:v>
                </c:pt>
                <c:pt idx="1858">
                  <c:v>52309</c:v>
                </c:pt>
                <c:pt idx="1859">
                  <c:v>52316</c:v>
                </c:pt>
                <c:pt idx="1860">
                  <c:v>52323</c:v>
                </c:pt>
                <c:pt idx="1861">
                  <c:v>52330</c:v>
                </c:pt>
                <c:pt idx="1862">
                  <c:v>52337</c:v>
                </c:pt>
                <c:pt idx="1863">
                  <c:v>52344</c:v>
                </c:pt>
                <c:pt idx="1864">
                  <c:v>52351</c:v>
                </c:pt>
                <c:pt idx="1865">
                  <c:v>52359</c:v>
                </c:pt>
                <c:pt idx="1866">
                  <c:v>52365</c:v>
                </c:pt>
                <c:pt idx="1867">
                  <c:v>52372</c:v>
                </c:pt>
                <c:pt idx="1868">
                  <c:v>52379</c:v>
                </c:pt>
                <c:pt idx="1869">
                  <c:v>52386</c:v>
                </c:pt>
                <c:pt idx="1870">
                  <c:v>52393</c:v>
                </c:pt>
                <c:pt idx="1871">
                  <c:v>52400</c:v>
                </c:pt>
                <c:pt idx="1872">
                  <c:v>52407</c:v>
                </c:pt>
                <c:pt idx="1873">
                  <c:v>52414</c:v>
                </c:pt>
                <c:pt idx="1874">
                  <c:v>52421</c:v>
                </c:pt>
                <c:pt idx="1875">
                  <c:v>52428</c:v>
                </c:pt>
                <c:pt idx="1876">
                  <c:v>52435</c:v>
                </c:pt>
                <c:pt idx="1877">
                  <c:v>52442</c:v>
                </c:pt>
                <c:pt idx="1878">
                  <c:v>52449</c:v>
                </c:pt>
                <c:pt idx="1879">
                  <c:v>52456</c:v>
                </c:pt>
                <c:pt idx="1880">
                  <c:v>52463</c:v>
                </c:pt>
                <c:pt idx="1881">
                  <c:v>52470</c:v>
                </c:pt>
                <c:pt idx="1882">
                  <c:v>52477</c:v>
                </c:pt>
                <c:pt idx="1883">
                  <c:v>52484</c:v>
                </c:pt>
                <c:pt idx="1884">
                  <c:v>52491</c:v>
                </c:pt>
                <c:pt idx="1885">
                  <c:v>52498</c:v>
                </c:pt>
                <c:pt idx="1886">
                  <c:v>52505</c:v>
                </c:pt>
                <c:pt idx="1887">
                  <c:v>52512</c:v>
                </c:pt>
                <c:pt idx="1888">
                  <c:v>52519</c:v>
                </c:pt>
                <c:pt idx="1889">
                  <c:v>52526</c:v>
                </c:pt>
                <c:pt idx="1890">
                  <c:v>52533</c:v>
                </c:pt>
                <c:pt idx="1891">
                  <c:v>52540</c:v>
                </c:pt>
                <c:pt idx="1892">
                  <c:v>52547</c:v>
                </c:pt>
                <c:pt idx="1893">
                  <c:v>52554</c:v>
                </c:pt>
                <c:pt idx="1894">
                  <c:v>52561</c:v>
                </c:pt>
                <c:pt idx="1895">
                  <c:v>52568</c:v>
                </c:pt>
                <c:pt idx="1896">
                  <c:v>52575</c:v>
                </c:pt>
                <c:pt idx="1897">
                  <c:v>52582</c:v>
                </c:pt>
                <c:pt idx="1898">
                  <c:v>52589</c:v>
                </c:pt>
                <c:pt idx="1899">
                  <c:v>52596</c:v>
                </c:pt>
                <c:pt idx="1900">
                  <c:v>52603</c:v>
                </c:pt>
                <c:pt idx="1901">
                  <c:v>52610</c:v>
                </c:pt>
                <c:pt idx="1902">
                  <c:v>52617</c:v>
                </c:pt>
                <c:pt idx="1903">
                  <c:v>52624</c:v>
                </c:pt>
                <c:pt idx="1904">
                  <c:v>52631</c:v>
                </c:pt>
                <c:pt idx="1905">
                  <c:v>52638</c:v>
                </c:pt>
                <c:pt idx="1906">
                  <c:v>52645</c:v>
                </c:pt>
                <c:pt idx="1907">
                  <c:v>52652</c:v>
                </c:pt>
                <c:pt idx="1908">
                  <c:v>52659</c:v>
                </c:pt>
                <c:pt idx="1909">
                  <c:v>52666</c:v>
                </c:pt>
                <c:pt idx="1910">
                  <c:v>52673</c:v>
                </c:pt>
                <c:pt idx="1911">
                  <c:v>52680</c:v>
                </c:pt>
                <c:pt idx="1912">
                  <c:v>52687</c:v>
                </c:pt>
                <c:pt idx="1913">
                  <c:v>52694</c:v>
                </c:pt>
                <c:pt idx="1914">
                  <c:v>52701</c:v>
                </c:pt>
                <c:pt idx="1915">
                  <c:v>52708</c:v>
                </c:pt>
                <c:pt idx="1916">
                  <c:v>52715</c:v>
                </c:pt>
                <c:pt idx="1917">
                  <c:v>52722</c:v>
                </c:pt>
                <c:pt idx="1918">
                  <c:v>52729</c:v>
                </c:pt>
                <c:pt idx="1919">
                  <c:v>52736</c:v>
                </c:pt>
                <c:pt idx="1920">
                  <c:v>52744</c:v>
                </c:pt>
                <c:pt idx="1921">
                  <c:v>52750</c:v>
                </c:pt>
                <c:pt idx="1922">
                  <c:v>52757</c:v>
                </c:pt>
                <c:pt idx="1923">
                  <c:v>52764</c:v>
                </c:pt>
                <c:pt idx="1924">
                  <c:v>52771</c:v>
                </c:pt>
                <c:pt idx="1925">
                  <c:v>52778</c:v>
                </c:pt>
                <c:pt idx="1926">
                  <c:v>52785</c:v>
                </c:pt>
                <c:pt idx="1927">
                  <c:v>52792</c:v>
                </c:pt>
                <c:pt idx="1928">
                  <c:v>52799</c:v>
                </c:pt>
                <c:pt idx="1929">
                  <c:v>52806</c:v>
                </c:pt>
                <c:pt idx="1930">
                  <c:v>52813</c:v>
                </c:pt>
                <c:pt idx="1931">
                  <c:v>52820</c:v>
                </c:pt>
                <c:pt idx="1932">
                  <c:v>52827</c:v>
                </c:pt>
                <c:pt idx="1933">
                  <c:v>52834</c:v>
                </c:pt>
                <c:pt idx="1934">
                  <c:v>52841</c:v>
                </c:pt>
                <c:pt idx="1935">
                  <c:v>52848</c:v>
                </c:pt>
                <c:pt idx="1936">
                  <c:v>52855</c:v>
                </c:pt>
                <c:pt idx="1937">
                  <c:v>52862</c:v>
                </c:pt>
                <c:pt idx="1938">
                  <c:v>52869</c:v>
                </c:pt>
                <c:pt idx="1939">
                  <c:v>52876</c:v>
                </c:pt>
                <c:pt idx="1940">
                  <c:v>52883</c:v>
                </c:pt>
                <c:pt idx="1941">
                  <c:v>52890</c:v>
                </c:pt>
                <c:pt idx="1942">
                  <c:v>52897</c:v>
                </c:pt>
                <c:pt idx="1943">
                  <c:v>52904</c:v>
                </c:pt>
                <c:pt idx="1944">
                  <c:v>52911</c:v>
                </c:pt>
                <c:pt idx="1945">
                  <c:v>52918</c:v>
                </c:pt>
                <c:pt idx="1946">
                  <c:v>52925</c:v>
                </c:pt>
                <c:pt idx="1947">
                  <c:v>52932</c:v>
                </c:pt>
                <c:pt idx="1948">
                  <c:v>52939</c:v>
                </c:pt>
                <c:pt idx="1949">
                  <c:v>52946</c:v>
                </c:pt>
                <c:pt idx="1950">
                  <c:v>52953</c:v>
                </c:pt>
                <c:pt idx="1951">
                  <c:v>52961</c:v>
                </c:pt>
                <c:pt idx="1952">
                  <c:v>52968</c:v>
                </c:pt>
                <c:pt idx="1953">
                  <c:v>52975</c:v>
                </c:pt>
                <c:pt idx="1954">
                  <c:v>52982</c:v>
                </c:pt>
                <c:pt idx="1955">
                  <c:v>52989</c:v>
                </c:pt>
                <c:pt idx="1956">
                  <c:v>52996</c:v>
                </c:pt>
                <c:pt idx="1957">
                  <c:v>53003</c:v>
                </c:pt>
                <c:pt idx="1958">
                  <c:v>53010</c:v>
                </c:pt>
                <c:pt idx="1959">
                  <c:v>53017</c:v>
                </c:pt>
                <c:pt idx="1960">
                  <c:v>53024</c:v>
                </c:pt>
                <c:pt idx="1961">
                  <c:v>53031</c:v>
                </c:pt>
                <c:pt idx="1962">
                  <c:v>53038</c:v>
                </c:pt>
                <c:pt idx="1963">
                  <c:v>53045</c:v>
                </c:pt>
                <c:pt idx="1964">
                  <c:v>53052</c:v>
                </c:pt>
                <c:pt idx="1965">
                  <c:v>53063</c:v>
                </c:pt>
                <c:pt idx="1966">
                  <c:v>53066</c:v>
                </c:pt>
                <c:pt idx="1967">
                  <c:v>53073</c:v>
                </c:pt>
                <c:pt idx="1968">
                  <c:v>53080</c:v>
                </c:pt>
                <c:pt idx="1969">
                  <c:v>53087</c:v>
                </c:pt>
                <c:pt idx="1970">
                  <c:v>53094</c:v>
                </c:pt>
                <c:pt idx="1971">
                  <c:v>53101</c:v>
                </c:pt>
                <c:pt idx="1972">
                  <c:v>53108</c:v>
                </c:pt>
                <c:pt idx="1973">
                  <c:v>53115</c:v>
                </c:pt>
                <c:pt idx="1974">
                  <c:v>53122</c:v>
                </c:pt>
                <c:pt idx="1975">
                  <c:v>53129</c:v>
                </c:pt>
                <c:pt idx="1976">
                  <c:v>53136</c:v>
                </c:pt>
                <c:pt idx="1977">
                  <c:v>53143</c:v>
                </c:pt>
                <c:pt idx="1978">
                  <c:v>53150</c:v>
                </c:pt>
                <c:pt idx="1979">
                  <c:v>53157</c:v>
                </c:pt>
                <c:pt idx="1980">
                  <c:v>53164</c:v>
                </c:pt>
                <c:pt idx="1981">
                  <c:v>53171</c:v>
                </c:pt>
                <c:pt idx="1982">
                  <c:v>53178</c:v>
                </c:pt>
                <c:pt idx="1983">
                  <c:v>53185</c:v>
                </c:pt>
                <c:pt idx="1984">
                  <c:v>53192</c:v>
                </c:pt>
                <c:pt idx="1985">
                  <c:v>53199</c:v>
                </c:pt>
                <c:pt idx="1986">
                  <c:v>53206</c:v>
                </c:pt>
                <c:pt idx="1987">
                  <c:v>53213</c:v>
                </c:pt>
                <c:pt idx="1988">
                  <c:v>53220</c:v>
                </c:pt>
                <c:pt idx="1989">
                  <c:v>53227</c:v>
                </c:pt>
                <c:pt idx="1990">
                  <c:v>53234</c:v>
                </c:pt>
                <c:pt idx="1991">
                  <c:v>53241</c:v>
                </c:pt>
                <c:pt idx="1992">
                  <c:v>53248</c:v>
                </c:pt>
                <c:pt idx="1993">
                  <c:v>53255</c:v>
                </c:pt>
                <c:pt idx="1994">
                  <c:v>53262</c:v>
                </c:pt>
                <c:pt idx="1995">
                  <c:v>53269</c:v>
                </c:pt>
                <c:pt idx="1996">
                  <c:v>53276</c:v>
                </c:pt>
                <c:pt idx="1997">
                  <c:v>53283</c:v>
                </c:pt>
                <c:pt idx="1998">
                  <c:v>53290</c:v>
                </c:pt>
                <c:pt idx="1999">
                  <c:v>53297</c:v>
                </c:pt>
                <c:pt idx="2000">
                  <c:v>53304</c:v>
                </c:pt>
                <c:pt idx="2001">
                  <c:v>53311</c:v>
                </c:pt>
                <c:pt idx="2002">
                  <c:v>53318</c:v>
                </c:pt>
                <c:pt idx="2003">
                  <c:v>53325</c:v>
                </c:pt>
                <c:pt idx="2004">
                  <c:v>53332</c:v>
                </c:pt>
                <c:pt idx="2005">
                  <c:v>53339</c:v>
                </c:pt>
                <c:pt idx="2006">
                  <c:v>53346</c:v>
                </c:pt>
                <c:pt idx="2007">
                  <c:v>53353</c:v>
                </c:pt>
                <c:pt idx="2008">
                  <c:v>53360</c:v>
                </c:pt>
                <c:pt idx="2009">
                  <c:v>53367</c:v>
                </c:pt>
                <c:pt idx="2010">
                  <c:v>53374</c:v>
                </c:pt>
                <c:pt idx="2011">
                  <c:v>53381</c:v>
                </c:pt>
                <c:pt idx="2012">
                  <c:v>53388</c:v>
                </c:pt>
                <c:pt idx="2013">
                  <c:v>53395</c:v>
                </c:pt>
                <c:pt idx="2014">
                  <c:v>53402</c:v>
                </c:pt>
                <c:pt idx="2015">
                  <c:v>53413</c:v>
                </c:pt>
                <c:pt idx="2016">
                  <c:v>53416</c:v>
                </c:pt>
                <c:pt idx="2017">
                  <c:v>53423</c:v>
                </c:pt>
                <c:pt idx="2018">
                  <c:v>53430</c:v>
                </c:pt>
                <c:pt idx="2019">
                  <c:v>53437</c:v>
                </c:pt>
                <c:pt idx="2020">
                  <c:v>53444</c:v>
                </c:pt>
                <c:pt idx="2021">
                  <c:v>53451</c:v>
                </c:pt>
                <c:pt idx="2022">
                  <c:v>53458</c:v>
                </c:pt>
                <c:pt idx="2023">
                  <c:v>53465</c:v>
                </c:pt>
                <c:pt idx="2024">
                  <c:v>53472</c:v>
                </c:pt>
                <c:pt idx="2025">
                  <c:v>53479</c:v>
                </c:pt>
                <c:pt idx="2026">
                  <c:v>53486</c:v>
                </c:pt>
                <c:pt idx="2027">
                  <c:v>53493</c:v>
                </c:pt>
                <c:pt idx="2028">
                  <c:v>53500</c:v>
                </c:pt>
                <c:pt idx="2029">
                  <c:v>53507</c:v>
                </c:pt>
                <c:pt idx="2030">
                  <c:v>53514</c:v>
                </c:pt>
                <c:pt idx="2031">
                  <c:v>53521</c:v>
                </c:pt>
                <c:pt idx="2032">
                  <c:v>53528</c:v>
                </c:pt>
                <c:pt idx="2033">
                  <c:v>53535</c:v>
                </c:pt>
                <c:pt idx="2034">
                  <c:v>53542</c:v>
                </c:pt>
                <c:pt idx="2035">
                  <c:v>53549</c:v>
                </c:pt>
                <c:pt idx="2036">
                  <c:v>53556</c:v>
                </c:pt>
                <c:pt idx="2037">
                  <c:v>53563</c:v>
                </c:pt>
                <c:pt idx="2038">
                  <c:v>53570</c:v>
                </c:pt>
                <c:pt idx="2039">
                  <c:v>53577</c:v>
                </c:pt>
                <c:pt idx="2040">
                  <c:v>53584</c:v>
                </c:pt>
                <c:pt idx="2041">
                  <c:v>53591</c:v>
                </c:pt>
                <c:pt idx="2042">
                  <c:v>53598</c:v>
                </c:pt>
                <c:pt idx="2043">
                  <c:v>53605</c:v>
                </c:pt>
                <c:pt idx="2044">
                  <c:v>53612</c:v>
                </c:pt>
                <c:pt idx="2045">
                  <c:v>53619</c:v>
                </c:pt>
                <c:pt idx="2046">
                  <c:v>53626</c:v>
                </c:pt>
                <c:pt idx="2047">
                  <c:v>53633</c:v>
                </c:pt>
                <c:pt idx="2048">
                  <c:v>53640</c:v>
                </c:pt>
                <c:pt idx="2049">
                  <c:v>53647</c:v>
                </c:pt>
                <c:pt idx="2050">
                  <c:v>53654</c:v>
                </c:pt>
                <c:pt idx="2051">
                  <c:v>53661</c:v>
                </c:pt>
                <c:pt idx="2052">
                  <c:v>53668</c:v>
                </c:pt>
                <c:pt idx="2053">
                  <c:v>53675</c:v>
                </c:pt>
                <c:pt idx="2054">
                  <c:v>53682</c:v>
                </c:pt>
                <c:pt idx="2055">
                  <c:v>53692</c:v>
                </c:pt>
                <c:pt idx="2056">
                  <c:v>53699</c:v>
                </c:pt>
                <c:pt idx="2057">
                  <c:v>53706</c:v>
                </c:pt>
                <c:pt idx="2058">
                  <c:v>53713</c:v>
                </c:pt>
                <c:pt idx="2059">
                  <c:v>53720</c:v>
                </c:pt>
                <c:pt idx="2060">
                  <c:v>53727</c:v>
                </c:pt>
                <c:pt idx="2061">
                  <c:v>53734</c:v>
                </c:pt>
                <c:pt idx="2062">
                  <c:v>53741</c:v>
                </c:pt>
                <c:pt idx="2063">
                  <c:v>53748</c:v>
                </c:pt>
                <c:pt idx="2064">
                  <c:v>53755</c:v>
                </c:pt>
                <c:pt idx="2065">
                  <c:v>53762</c:v>
                </c:pt>
                <c:pt idx="2066">
                  <c:v>53769</c:v>
                </c:pt>
                <c:pt idx="2067">
                  <c:v>53776</c:v>
                </c:pt>
                <c:pt idx="2068">
                  <c:v>53783</c:v>
                </c:pt>
                <c:pt idx="2069">
                  <c:v>53790</c:v>
                </c:pt>
                <c:pt idx="2070">
                  <c:v>53799</c:v>
                </c:pt>
                <c:pt idx="2071">
                  <c:v>53804</c:v>
                </c:pt>
                <c:pt idx="2072">
                  <c:v>53811</c:v>
                </c:pt>
                <c:pt idx="2073">
                  <c:v>53819</c:v>
                </c:pt>
                <c:pt idx="2074">
                  <c:v>53825</c:v>
                </c:pt>
                <c:pt idx="2075">
                  <c:v>53832</c:v>
                </c:pt>
                <c:pt idx="2076">
                  <c:v>53840</c:v>
                </c:pt>
                <c:pt idx="2077">
                  <c:v>53847</c:v>
                </c:pt>
                <c:pt idx="2078">
                  <c:v>53853</c:v>
                </c:pt>
                <c:pt idx="2079">
                  <c:v>53860</c:v>
                </c:pt>
                <c:pt idx="2080">
                  <c:v>53867</c:v>
                </c:pt>
                <c:pt idx="2081">
                  <c:v>53874</c:v>
                </c:pt>
                <c:pt idx="2082">
                  <c:v>53881</c:v>
                </c:pt>
                <c:pt idx="2083">
                  <c:v>53888</c:v>
                </c:pt>
                <c:pt idx="2084">
                  <c:v>53895</c:v>
                </c:pt>
                <c:pt idx="2085">
                  <c:v>53902</c:v>
                </c:pt>
                <c:pt idx="2086">
                  <c:v>53909</c:v>
                </c:pt>
                <c:pt idx="2087">
                  <c:v>53916</c:v>
                </c:pt>
                <c:pt idx="2088">
                  <c:v>53923</c:v>
                </c:pt>
                <c:pt idx="2089">
                  <c:v>53931</c:v>
                </c:pt>
                <c:pt idx="2090">
                  <c:v>53937</c:v>
                </c:pt>
                <c:pt idx="2091">
                  <c:v>53944</c:v>
                </c:pt>
                <c:pt idx="2092">
                  <c:v>53951</c:v>
                </c:pt>
                <c:pt idx="2093">
                  <c:v>53958</c:v>
                </c:pt>
                <c:pt idx="2094">
                  <c:v>53965</c:v>
                </c:pt>
                <c:pt idx="2095">
                  <c:v>53972</c:v>
                </c:pt>
                <c:pt idx="2096">
                  <c:v>53979</c:v>
                </c:pt>
                <c:pt idx="2097">
                  <c:v>53986</c:v>
                </c:pt>
                <c:pt idx="2098">
                  <c:v>53993</c:v>
                </c:pt>
                <c:pt idx="2099">
                  <c:v>54000</c:v>
                </c:pt>
                <c:pt idx="2100">
                  <c:v>54007</c:v>
                </c:pt>
                <c:pt idx="2101">
                  <c:v>54014</c:v>
                </c:pt>
                <c:pt idx="2102">
                  <c:v>54021</c:v>
                </c:pt>
                <c:pt idx="2103">
                  <c:v>54028</c:v>
                </c:pt>
                <c:pt idx="2104">
                  <c:v>54035</c:v>
                </c:pt>
                <c:pt idx="2105">
                  <c:v>54042</c:v>
                </c:pt>
                <c:pt idx="2106">
                  <c:v>54049</c:v>
                </c:pt>
                <c:pt idx="2107">
                  <c:v>54057</c:v>
                </c:pt>
                <c:pt idx="2108">
                  <c:v>54064</c:v>
                </c:pt>
                <c:pt idx="2109">
                  <c:v>54071</c:v>
                </c:pt>
                <c:pt idx="2110">
                  <c:v>54078</c:v>
                </c:pt>
                <c:pt idx="2111">
                  <c:v>54085</c:v>
                </c:pt>
                <c:pt idx="2112">
                  <c:v>54092</c:v>
                </c:pt>
                <c:pt idx="2113">
                  <c:v>54099</c:v>
                </c:pt>
                <c:pt idx="2114">
                  <c:v>54106</c:v>
                </c:pt>
                <c:pt idx="2115">
                  <c:v>54113</c:v>
                </c:pt>
                <c:pt idx="2116">
                  <c:v>54120</c:v>
                </c:pt>
                <c:pt idx="2117">
                  <c:v>54127</c:v>
                </c:pt>
                <c:pt idx="2118">
                  <c:v>54134</c:v>
                </c:pt>
                <c:pt idx="2119">
                  <c:v>54141</c:v>
                </c:pt>
                <c:pt idx="2120">
                  <c:v>54148</c:v>
                </c:pt>
                <c:pt idx="2121">
                  <c:v>54157</c:v>
                </c:pt>
                <c:pt idx="2122">
                  <c:v>54164</c:v>
                </c:pt>
                <c:pt idx="2123">
                  <c:v>54171</c:v>
                </c:pt>
                <c:pt idx="2124">
                  <c:v>54178</c:v>
                </c:pt>
                <c:pt idx="2125">
                  <c:v>54185</c:v>
                </c:pt>
                <c:pt idx="2126">
                  <c:v>54193</c:v>
                </c:pt>
                <c:pt idx="2127">
                  <c:v>54199</c:v>
                </c:pt>
                <c:pt idx="2128">
                  <c:v>54206</c:v>
                </c:pt>
                <c:pt idx="2129">
                  <c:v>54213</c:v>
                </c:pt>
                <c:pt idx="2130">
                  <c:v>54220</c:v>
                </c:pt>
                <c:pt idx="2131">
                  <c:v>54227</c:v>
                </c:pt>
                <c:pt idx="2132">
                  <c:v>54234</c:v>
                </c:pt>
                <c:pt idx="2133">
                  <c:v>54241</c:v>
                </c:pt>
                <c:pt idx="2134">
                  <c:v>54248</c:v>
                </c:pt>
                <c:pt idx="2135">
                  <c:v>54255</c:v>
                </c:pt>
                <c:pt idx="2136">
                  <c:v>54262</c:v>
                </c:pt>
                <c:pt idx="2137">
                  <c:v>54269</c:v>
                </c:pt>
                <c:pt idx="2138">
                  <c:v>54276</c:v>
                </c:pt>
                <c:pt idx="2139">
                  <c:v>54283</c:v>
                </c:pt>
                <c:pt idx="2140">
                  <c:v>54290</c:v>
                </c:pt>
                <c:pt idx="2141">
                  <c:v>54297</c:v>
                </c:pt>
                <c:pt idx="2142">
                  <c:v>54304</c:v>
                </c:pt>
                <c:pt idx="2143">
                  <c:v>54311</c:v>
                </c:pt>
                <c:pt idx="2144">
                  <c:v>54318</c:v>
                </c:pt>
                <c:pt idx="2145">
                  <c:v>54325</c:v>
                </c:pt>
                <c:pt idx="2146">
                  <c:v>54332</c:v>
                </c:pt>
                <c:pt idx="2147">
                  <c:v>54339</c:v>
                </c:pt>
                <c:pt idx="2148">
                  <c:v>54346</c:v>
                </c:pt>
                <c:pt idx="2149">
                  <c:v>54353</c:v>
                </c:pt>
                <c:pt idx="2150">
                  <c:v>54360</c:v>
                </c:pt>
                <c:pt idx="2151">
                  <c:v>54367</c:v>
                </c:pt>
                <c:pt idx="2152">
                  <c:v>54374</c:v>
                </c:pt>
                <c:pt idx="2153">
                  <c:v>54381</c:v>
                </c:pt>
                <c:pt idx="2154">
                  <c:v>54388</c:v>
                </c:pt>
                <c:pt idx="2155">
                  <c:v>54395</c:v>
                </c:pt>
                <c:pt idx="2156">
                  <c:v>54402</c:v>
                </c:pt>
                <c:pt idx="2157">
                  <c:v>54409</c:v>
                </c:pt>
                <c:pt idx="2158">
                  <c:v>54416</c:v>
                </c:pt>
                <c:pt idx="2159">
                  <c:v>54423</c:v>
                </c:pt>
                <c:pt idx="2160">
                  <c:v>54430</c:v>
                </c:pt>
                <c:pt idx="2161">
                  <c:v>54437</c:v>
                </c:pt>
                <c:pt idx="2162">
                  <c:v>54444</c:v>
                </c:pt>
                <c:pt idx="2163">
                  <c:v>54451</c:v>
                </c:pt>
                <c:pt idx="2164">
                  <c:v>54458</c:v>
                </c:pt>
                <c:pt idx="2165">
                  <c:v>54465</c:v>
                </c:pt>
                <c:pt idx="2166">
                  <c:v>54472</c:v>
                </c:pt>
                <c:pt idx="2167">
                  <c:v>54479</c:v>
                </c:pt>
                <c:pt idx="2168">
                  <c:v>54486</c:v>
                </c:pt>
                <c:pt idx="2169">
                  <c:v>54493</c:v>
                </c:pt>
                <c:pt idx="2170">
                  <c:v>54500</c:v>
                </c:pt>
                <c:pt idx="2171">
                  <c:v>54507</c:v>
                </c:pt>
                <c:pt idx="2172">
                  <c:v>54514</c:v>
                </c:pt>
                <c:pt idx="2173">
                  <c:v>54521</c:v>
                </c:pt>
                <c:pt idx="2174">
                  <c:v>54528</c:v>
                </c:pt>
                <c:pt idx="2175">
                  <c:v>54535</c:v>
                </c:pt>
                <c:pt idx="2176">
                  <c:v>54542</c:v>
                </c:pt>
                <c:pt idx="2177">
                  <c:v>54549</c:v>
                </c:pt>
                <c:pt idx="2178">
                  <c:v>54556</c:v>
                </c:pt>
                <c:pt idx="2179">
                  <c:v>54563</c:v>
                </c:pt>
                <c:pt idx="2180">
                  <c:v>54571</c:v>
                </c:pt>
                <c:pt idx="2181">
                  <c:v>54577</c:v>
                </c:pt>
                <c:pt idx="2182">
                  <c:v>54584</c:v>
                </c:pt>
                <c:pt idx="2183">
                  <c:v>54591</c:v>
                </c:pt>
                <c:pt idx="2184">
                  <c:v>54598</c:v>
                </c:pt>
                <c:pt idx="2185">
                  <c:v>54605</c:v>
                </c:pt>
                <c:pt idx="2186">
                  <c:v>54612</c:v>
                </c:pt>
                <c:pt idx="2187">
                  <c:v>54619</c:v>
                </c:pt>
                <c:pt idx="2188">
                  <c:v>54626</c:v>
                </c:pt>
                <c:pt idx="2189">
                  <c:v>54633</c:v>
                </c:pt>
                <c:pt idx="2190">
                  <c:v>54640</c:v>
                </c:pt>
                <c:pt idx="2191">
                  <c:v>54647</c:v>
                </c:pt>
                <c:pt idx="2192">
                  <c:v>54654</c:v>
                </c:pt>
                <c:pt idx="2193">
                  <c:v>54661</c:v>
                </c:pt>
                <c:pt idx="2194">
                  <c:v>54668</c:v>
                </c:pt>
                <c:pt idx="2195">
                  <c:v>54675</c:v>
                </c:pt>
                <c:pt idx="2196">
                  <c:v>54682</c:v>
                </c:pt>
                <c:pt idx="2197">
                  <c:v>54689</c:v>
                </c:pt>
                <c:pt idx="2198">
                  <c:v>54696</c:v>
                </c:pt>
                <c:pt idx="2199">
                  <c:v>54703</c:v>
                </c:pt>
                <c:pt idx="2200">
                  <c:v>54710</c:v>
                </c:pt>
                <c:pt idx="2201">
                  <c:v>54717</c:v>
                </c:pt>
                <c:pt idx="2202">
                  <c:v>54724</c:v>
                </c:pt>
                <c:pt idx="2203">
                  <c:v>54731</c:v>
                </c:pt>
                <c:pt idx="2204">
                  <c:v>54738</c:v>
                </c:pt>
                <c:pt idx="2205">
                  <c:v>54745</c:v>
                </c:pt>
                <c:pt idx="2206">
                  <c:v>54752</c:v>
                </c:pt>
                <c:pt idx="2207">
                  <c:v>54759</c:v>
                </c:pt>
                <c:pt idx="2208">
                  <c:v>54766</c:v>
                </c:pt>
                <c:pt idx="2209">
                  <c:v>54773</c:v>
                </c:pt>
                <c:pt idx="2210">
                  <c:v>54780</c:v>
                </c:pt>
                <c:pt idx="2211">
                  <c:v>54788</c:v>
                </c:pt>
                <c:pt idx="2212">
                  <c:v>54795</c:v>
                </c:pt>
                <c:pt idx="2213">
                  <c:v>54802</c:v>
                </c:pt>
                <c:pt idx="2214">
                  <c:v>54809</c:v>
                </c:pt>
                <c:pt idx="2215">
                  <c:v>54816</c:v>
                </c:pt>
                <c:pt idx="2216">
                  <c:v>54823</c:v>
                </c:pt>
                <c:pt idx="2217">
                  <c:v>54830</c:v>
                </c:pt>
                <c:pt idx="2218">
                  <c:v>54837</c:v>
                </c:pt>
                <c:pt idx="2219">
                  <c:v>54844</c:v>
                </c:pt>
                <c:pt idx="2220">
                  <c:v>54851</c:v>
                </c:pt>
                <c:pt idx="2221">
                  <c:v>54858</c:v>
                </c:pt>
                <c:pt idx="2222">
                  <c:v>54865</c:v>
                </c:pt>
                <c:pt idx="2223">
                  <c:v>54872</c:v>
                </c:pt>
                <c:pt idx="2224">
                  <c:v>54879</c:v>
                </c:pt>
                <c:pt idx="2225">
                  <c:v>54890</c:v>
                </c:pt>
                <c:pt idx="2226">
                  <c:v>54893</c:v>
                </c:pt>
                <c:pt idx="2227">
                  <c:v>54900</c:v>
                </c:pt>
                <c:pt idx="2228">
                  <c:v>54907</c:v>
                </c:pt>
                <c:pt idx="2229">
                  <c:v>54914</c:v>
                </c:pt>
                <c:pt idx="2230">
                  <c:v>54921</c:v>
                </c:pt>
                <c:pt idx="2231">
                  <c:v>54928</c:v>
                </c:pt>
                <c:pt idx="2232">
                  <c:v>54935</c:v>
                </c:pt>
                <c:pt idx="2233">
                  <c:v>54942</c:v>
                </c:pt>
                <c:pt idx="2234">
                  <c:v>54949</c:v>
                </c:pt>
                <c:pt idx="2235">
                  <c:v>54956</c:v>
                </c:pt>
                <c:pt idx="2236">
                  <c:v>54963</c:v>
                </c:pt>
                <c:pt idx="2237">
                  <c:v>54970</c:v>
                </c:pt>
                <c:pt idx="2238">
                  <c:v>54977</c:v>
                </c:pt>
                <c:pt idx="2239">
                  <c:v>54984</c:v>
                </c:pt>
                <c:pt idx="2240">
                  <c:v>54991</c:v>
                </c:pt>
                <c:pt idx="2241">
                  <c:v>54998</c:v>
                </c:pt>
                <c:pt idx="2242">
                  <c:v>55005</c:v>
                </c:pt>
                <c:pt idx="2243">
                  <c:v>55012</c:v>
                </c:pt>
                <c:pt idx="2244">
                  <c:v>55019</c:v>
                </c:pt>
                <c:pt idx="2245">
                  <c:v>55026</c:v>
                </c:pt>
                <c:pt idx="2246">
                  <c:v>55033</c:v>
                </c:pt>
                <c:pt idx="2247">
                  <c:v>55040</c:v>
                </c:pt>
                <c:pt idx="2248">
                  <c:v>55047</c:v>
                </c:pt>
                <c:pt idx="2249">
                  <c:v>55054</c:v>
                </c:pt>
                <c:pt idx="2250">
                  <c:v>55061</c:v>
                </c:pt>
                <c:pt idx="2251">
                  <c:v>55068</c:v>
                </c:pt>
                <c:pt idx="2252">
                  <c:v>55075</c:v>
                </c:pt>
                <c:pt idx="2253">
                  <c:v>55082</c:v>
                </c:pt>
                <c:pt idx="2254">
                  <c:v>55089</c:v>
                </c:pt>
                <c:pt idx="2255">
                  <c:v>55096</c:v>
                </c:pt>
                <c:pt idx="2256">
                  <c:v>55103</c:v>
                </c:pt>
                <c:pt idx="2257">
                  <c:v>55110</c:v>
                </c:pt>
                <c:pt idx="2258">
                  <c:v>55117</c:v>
                </c:pt>
                <c:pt idx="2259">
                  <c:v>55124</c:v>
                </c:pt>
                <c:pt idx="2260">
                  <c:v>55131</c:v>
                </c:pt>
                <c:pt idx="2261">
                  <c:v>55138</c:v>
                </c:pt>
                <c:pt idx="2262">
                  <c:v>55145</c:v>
                </c:pt>
                <c:pt idx="2263">
                  <c:v>55152</c:v>
                </c:pt>
                <c:pt idx="2264">
                  <c:v>55159</c:v>
                </c:pt>
                <c:pt idx="2265">
                  <c:v>55166</c:v>
                </c:pt>
                <c:pt idx="2266">
                  <c:v>55173</c:v>
                </c:pt>
                <c:pt idx="2267">
                  <c:v>55180</c:v>
                </c:pt>
                <c:pt idx="2268">
                  <c:v>55187</c:v>
                </c:pt>
                <c:pt idx="2269">
                  <c:v>55194</c:v>
                </c:pt>
                <c:pt idx="2270">
                  <c:v>55201</c:v>
                </c:pt>
                <c:pt idx="2271">
                  <c:v>55208</c:v>
                </c:pt>
                <c:pt idx="2272">
                  <c:v>55215</c:v>
                </c:pt>
                <c:pt idx="2273">
                  <c:v>55222</c:v>
                </c:pt>
                <c:pt idx="2274">
                  <c:v>55229</c:v>
                </c:pt>
                <c:pt idx="2275">
                  <c:v>55236</c:v>
                </c:pt>
                <c:pt idx="2276">
                  <c:v>55247</c:v>
                </c:pt>
                <c:pt idx="2277">
                  <c:v>55250</c:v>
                </c:pt>
                <c:pt idx="2278">
                  <c:v>55257</c:v>
                </c:pt>
                <c:pt idx="2279">
                  <c:v>55264</c:v>
                </c:pt>
                <c:pt idx="2280">
                  <c:v>55271</c:v>
                </c:pt>
                <c:pt idx="2281">
                  <c:v>55278</c:v>
                </c:pt>
                <c:pt idx="2282">
                  <c:v>55285</c:v>
                </c:pt>
                <c:pt idx="2283">
                  <c:v>55292</c:v>
                </c:pt>
                <c:pt idx="2284">
                  <c:v>55299</c:v>
                </c:pt>
                <c:pt idx="2285">
                  <c:v>55306</c:v>
                </c:pt>
                <c:pt idx="2286">
                  <c:v>55313</c:v>
                </c:pt>
                <c:pt idx="2287">
                  <c:v>55320</c:v>
                </c:pt>
                <c:pt idx="2288">
                  <c:v>55327</c:v>
                </c:pt>
                <c:pt idx="2289">
                  <c:v>55334</c:v>
                </c:pt>
                <c:pt idx="2290">
                  <c:v>55341</c:v>
                </c:pt>
                <c:pt idx="2291">
                  <c:v>55348</c:v>
                </c:pt>
                <c:pt idx="2292">
                  <c:v>55355</c:v>
                </c:pt>
                <c:pt idx="2293">
                  <c:v>55362</c:v>
                </c:pt>
                <c:pt idx="2294">
                  <c:v>55369</c:v>
                </c:pt>
                <c:pt idx="2295">
                  <c:v>55376</c:v>
                </c:pt>
                <c:pt idx="2296">
                  <c:v>55383</c:v>
                </c:pt>
                <c:pt idx="2297">
                  <c:v>55390</c:v>
                </c:pt>
                <c:pt idx="2298">
                  <c:v>55397</c:v>
                </c:pt>
                <c:pt idx="2299">
                  <c:v>55404</c:v>
                </c:pt>
                <c:pt idx="2300">
                  <c:v>55411</c:v>
                </c:pt>
                <c:pt idx="2301">
                  <c:v>55418</c:v>
                </c:pt>
                <c:pt idx="2302">
                  <c:v>55425</c:v>
                </c:pt>
                <c:pt idx="2303">
                  <c:v>55432</c:v>
                </c:pt>
                <c:pt idx="2304">
                  <c:v>55439</c:v>
                </c:pt>
                <c:pt idx="2305">
                  <c:v>55446</c:v>
                </c:pt>
                <c:pt idx="2306">
                  <c:v>55453</c:v>
                </c:pt>
                <c:pt idx="2307">
                  <c:v>55460</c:v>
                </c:pt>
                <c:pt idx="2308">
                  <c:v>55467</c:v>
                </c:pt>
                <c:pt idx="2309">
                  <c:v>55474</c:v>
                </c:pt>
                <c:pt idx="2310">
                  <c:v>55481</c:v>
                </c:pt>
                <c:pt idx="2311">
                  <c:v>55488</c:v>
                </c:pt>
                <c:pt idx="2312">
                  <c:v>55495</c:v>
                </c:pt>
                <c:pt idx="2313">
                  <c:v>55502</c:v>
                </c:pt>
                <c:pt idx="2314">
                  <c:v>55509</c:v>
                </c:pt>
                <c:pt idx="2315">
                  <c:v>55516</c:v>
                </c:pt>
                <c:pt idx="2316">
                  <c:v>55523</c:v>
                </c:pt>
                <c:pt idx="2317">
                  <c:v>55530</c:v>
                </c:pt>
                <c:pt idx="2318">
                  <c:v>55537</c:v>
                </c:pt>
                <c:pt idx="2319">
                  <c:v>55544</c:v>
                </c:pt>
                <c:pt idx="2320">
                  <c:v>55551</c:v>
                </c:pt>
                <c:pt idx="2321">
                  <c:v>55558</c:v>
                </c:pt>
                <c:pt idx="2322">
                  <c:v>55565</c:v>
                </c:pt>
                <c:pt idx="2323">
                  <c:v>55572</c:v>
                </c:pt>
                <c:pt idx="2324">
                  <c:v>55579</c:v>
                </c:pt>
                <c:pt idx="2325">
                  <c:v>55586</c:v>
                </c:pt>
                <c:pt idx="2326">
                  <c:v>55593</c:v>
                </c:pt>
                <c:pt idx="2327">
                  <c:v>55600</c:v>
                </c:pt>
                <c:pt idx="2328">
                  <c:v>55607</c:v>
                </c:pt>
                <c:pt idx="2329">
                  <c:v>55614</c:v>
                </c:pt>
                <c:pt idx="2330">
                  <c:v>55621</c:v>
                </c:pt>
                <c:pt idx="2331">
                  <c:v>55632</c:v>
                </c:pt>
                <c:pt idx="2332">
                  <c:v>55635</c:v>
                </c:pt>
                <c:pt idx="2333">
                  <c:v>55642</c:v>
                </c:pt>
                <c:pt idx="2334">
                  <c:v>55649</c:v>
                </c:pt>
                <c:pt idx="2335">
                  <c:v>55656</c:v>
                </c:pt>
                <c:pt idx="2336">
                  <c:v>55663</c:v>
                </c:pt>
                <c:pt idx="2337">
                  <c:v>55670</c:v>
                </c:pt>
                <c:pt idx="2338">
                  <c:v>55677</c:v>
                </c:pt>
                <c:pt idx="2339">
                  <c:v>55684</c:v>
                </c:pt>
                <c:pt idx="2340">
                  <c:v>55691</c:v>
                </c:pt>
                <c:pt idx="2341">
                  <c:v>55698</c:v>
                </c:pt>
                <c:pt idx="2342">
                  <c:v>55705</c:v>
                </c:pt>
                <c:pt idx="2343">
                  <c:v>55712</c:v>
                </c:pt>
                <c:pt idx="2344">
                  <c:v>55719</c:v>
                </c:pt>
                <c:pt idx="2345">
                  <c:v>55726</c:v>
                </c:pt>
                <c:pt idx="2346">
                  <c:v>55733</c:v>
                </c:pt>
                <c:pt idx="2347">
                  <c:v>55740</c:v>
                </c:pt>
                <c:pt idx="2348">
                  <c:v>55747</c:v>
                </c:pt>
                <c:pt idx="2349">
                  <c:v>55754</c:v>
                </c:pt>
                <c:pt idx="2350">
                  <c:v>55761</c:v>
                </c:pt>
                <c:pt idx="2351">
                  <c:v>55768</c:v>
                </c:pt>
                <c:pt idx="2352">
                  <c:v>55775</c:v>
                </c:pt>
                <c:pt idx="2353">
                  <c:v>55782</c:v>
                </c:pt>
                <c:pt idx="2354">
                  <c:v>55789</c:v>
                </c:pt>
                <c:pt idx="2355">
                  <c:v>55796</c:v>
                </c:pt>
                <c:pt idx="2356">
                  <c:v>55803</c:v>
                </c:pt>
                <c:pt idx="2357">
                  <c:v>55810</c:v>
                </c:pt>
                <c:pt idx="2358">
                  <c:v>55817</c:v>
                </c:pt>
                <c:pt idx="2359">
                  <c:v>55824</c:v>
                </c:pt>
                <c:pt idx="2360">
                  <c:v>55831</c:v>
                </c:pt>
                <c:pt idx="2361">
                  <c:v>55838</c:v>
                </c:pt>
                <c:pt idx="2362">
                  <c:v>55845</c:v>
                </c:pt>
                <c:pt idx="2363">
                  <c:v>55852</c:v>
                </c:pt>
                <c:pt idx="2364">
                  <c:v>55859</c:v>
                </c:pt>
                <c:pt idx="2365">
                  <c:v>55866</c:v>
                </c:pt>
                <c:pt idx="2366">
                  <c:v>55873</c:v>
                </c:pt>
                <c:pt idx="2367">
                  <c:v>55884</c:v>
                </c:pt>
                <c:pt idx="2368">
                  <c:v>55891</c:v>
                </c:pt>
                <c:pt idx="2369">
                  <c:v>55898</c:v>
                </c:pt>
                <c:pt idx="2370">
                  <c:v>55905</c:v>
                </c:pt>
                <c:pt idx="2371">
                  <c:v>55912</c:v>
                </c:pt>
                <c:pt idx="2372">
                  <c:v>55919</c:v>
                </c:pt>
                <c:pt idx="2373">
                  <c:v>55926</c:v>
                </c:pt>
                <c:pt idx="2374">
                  <c:v>55933</c:v>
                </c:pt>
                <c:pt idx="2375">
                  <c:v>55940</c:v>
                </c:pt>
                <c:pt idx="2376">
                  <c:v>55947</c:v>
                </c:pt>
                <c:pt idx="2377">
                  <c:v>55954</c:v>
                </c:pt>
                <c:pt idx="2378">
                  <c:v>55961</c:v>
                </c:pt>
                <c:pt idx="2379">
                  <c:v>55968</c:v>
                </c:pt>
                <c:pt idx="2380">
                  <c:v>55975</c:v>
                </c:pt>
                <c:pt idx="2381">
                  <c:v>55984</c:v>
                </c:pt>
                <c:pt idx="2382">
                  <c:v>55991</c:v>
                </c:pt>
                <c:pt idx="2383">
                  <c:v>55998</c:v>
                </c:pt>
                <c:pt idx="2384">
                  <c:v>56006</c:v>
                </c:pt>
                <c:pt idx="2385">
                  <c:v>56012</c:v>
                </c:pt>
                <c:pt idx="2386">
                  <c:v>56020</c:v>
                </c:pt>
                <c:pt idx="2387">
                  <c:v>56026</c:v>
                </c:pt>
                <c:pt idx="2388">
                  <c:v>56033</c:v>
                </c:pt>
                <c:pt idx="2389">
                  <c:v>56040</c:v>
                </c:pt>
                <c:pt idx="2390">
                  <c:v>56047</c:v>
                </c:pt>
                <c:pt idx="2391">
                  <c:v>56054</c:v>
                </c:pt>
                <c:pt idx="2392">
                  <c:v>56061</c:v>
                </c:pt>
                <c:pt idx="2393">
                  <c:v>56068</c:v>
                </c:pt>
                <c:pt idx="2394">
                  <c:v>56075</c:v>
                </c:pt>
                <c:pt idx="2395">
                  <c:v>56082</c:v>
                </c:pt>
                <c:pt idx="2396">
                  <c:v>56089</c:v>
                </c:pt>
                <c:pt idx="2397">
                  <c:v>56096</c:v>
                </c:pt>
                <c:pt idx="2398">
                  <c:v>56103</c:v>
                </c:pt>
                <c:pt idx="2399">
                  <c:v>56110</c:v>
                </c:pt>
                <c:pt idx="2400">
                  <c:v>56117</c:v>
                </c:pt>
                <c:pt idx="2401">
                  <c:v>56124</c:v>
                </c:pt>
                <c:pt idx="2402">
                  <c:v>56131</c:v>
                </c:pt>
                <c:pt idx="2403">
                  <c:v>56138</c:v>
                </c:pt>
                <c:pt idx="2404">
                  <c:v>56145</c:v>
                </c:pt>
                <c:pt idx="2405">
                  <c:v>56152</c:v>
                </c:pt>
                <c:pt idx="2406">
                  <c:v>56159</c:v>
                </c:pt>
                <c:pt idx="2407">
                  <c:v>56166</c:v>
                </c:pt>
                <c:pt idx="2408">
                  <c:v>56173</c:v>
                </c:pt>
                <c:pt idx="2409">
                  <c:v>56180</c:v>
                </c:pt>
                <c:pt idx="2410">
                  <c:v>56187</c:v>
                </c:pt>
                <c:pt idx="2411">
                  <c:v>56194</c:v>
                </c:pt>
                <c:pt idx="2412">
                  <c:v>56201</c:v>
                </c:pt>
                <c:pt idx="2413">
                  <c:v>56208</c:v>
                </c:pt>
                <c:pt idx="2414">
                  <c:v>56215</c:v>
                </c:pt>
                <c:pt idx="2415">
                  <c:v>56222</c:v>
                </c:pt>
                <c:pt idx="2416">
                  <c:v>56229</c:v>
                </c:pt>
                <c:pt idx="2417">
                  <c:v>56236</c:v>
                </c:pt>
                <c:pt idx="2418">
                  <c:v>56247</c:v>
                </c:pt>
                <c:pt idx="2419">
                  <c:v>56254</c:v>
                </c:pt>
                <c:pt idx="2420">
                  <c:v>56257</c:v>
                </c:pt>
                <c:pt idx="2421">
                  <c:v>56264</c:v>
                </c:pt>
                <c:pt idx="2422">
                  <c:v>56271</c:v>
                </c:pt>
                <c:pt idx="2423">
                  <c:v>56278</c:v>
                </c:pt>
                <c:pt idx="2424">
                  <c:v>56285</c:v>
                </c:pt>
                <c:pt idx="2425">
                  <c:v>56292</c:v>
                </c:pt>
                <c:pt idx="2426">
                  <c:v>56299</c:v>
                </c:pt>
                <c:pt idx="2427">
                  <c:v>56306</c:v>
                </c:pt>
                <c:pt idx="2428">
                  <c:v>56313</c:v>
                </c:pt>
                <c:pt idx="2429">
                  <c:v>56320</c:v>
                </c:pt>
                <c:pt idx="2430">
                  <c:v>56327</c:v>
                </c:pt>
                <c:pt idx="2431">
                  <c:v>56334</c:v>
                </c:pt>
                <c:pt idx="2432">
                  <c:v>56341</c:v>
                </c:pt>
                <c:pt idx="2433">
                  <c:v>56348</c:v>
                </c:pt>
                <c:pt idx="2434">
                  <c:v>56355</c:v>
                </c:pt>
                <c:pt idx="2435">
                  <c:v>56362</c:v>
                </c:pt>
                <c:pt idx="2436">
                  <c:v>56369</c:v>
                </c:pt>
                <c:pt idx="2437">
                  <c:v>56377</c:v>
                </c:pt>
                <c:pt idx="2438">
                  <c:v>56383</c:v>
                </c:pt>
                <c:pt idx="2439">
                  <c:v>56390</c:v>
                </c:pt>
                <c:pt idx="2440">
                  <c:v>56397</c:v>
                </c:pt>
                <c:pt idx="2441">
                  <c:v>56404</c:v>
                </c:pt>
                <c:pt idx="2442">
                  <c:v>56411</c:v>
                </c:pt>
                <c:pt idx="2443">
                  <c:v>56418</c:v>
                </c:pt>
                <c:pt idx="2444">
                  <c:v>56425</c:v>
                </c:pt>
                <c:pt idx="2445">
                  <c:v>56432</c:v>
                </c:pt>
                <c:pt idx="2446">
                  <c:v>56439</c:v>
                </c:pt>
                <c:pt idx="2447">
                  <c:v>56446</c:v>
                </c:pt>
                <c:pt idx="2448">
                  <c:v>56453</c:v>
                </c:pt>
                <c:pt idx="2449">
                  <c:v>56460</c:v>
                </c:pt>
                <c:pt idx="2450">
                  <c:v>56467</c:v>
                </c:pt>
                <c:pt idx="2451">
                  <c:v>56474</c:v>
                </c:pt>
                <c:pt idx="2452">
                  <c:v>56481</c:v>
                </c:pt>
                <c:pt idx="2453">
                  <c:v>56488</c:v>
                </c:pt>
                <c:pt idx="2454">
                  <c:v>56495</c:v>
                </c:pt>
                <c:pt idx="2455">
                  <c:v>56502</c:v>
                </c:pt>
                <c:pt idx="2456">
                  <c:v>56509</c:v>
                </c:pt>
                <c:pt idx="2457">
                  <c:v>56516</c:v>
                </c:pt>
                <c:pt idx="2458">
                  <c:v>56523</c:v>
                </c:pt>
                <c:pt idx="2459">
                  <c:v>56530</c:v>
                </c:pt>
                <c:pt idx="2460">
                  <c:v>56537</c:v>
                </c:pt>
                <c:pt idx="2461">
                  <c:v>56544</c:v>
                </c:pt>
                <c:pt idx="2462">
                  <c:v>56551</c:v>
                </c:pt>
                <c:pt idx="2463">
                  <c:v>56558</c:v>
                </c:pt>
                <c:pt idx="2464">
                  <c:v>56565</c:v>
                </c:pt>
                <c:pt idx="2465">
                  <c:v>56572</c:v>
                </c:pt>
                <c:pt idx="2466">
                  <c:v>56579</c:v>
                </c:pt>
                <c:pt idx="2467">
                  <c:v>56586</c:v>
                </c:pt>
                <c:pt idx="2468">
                  <c:v>56593</c:v>
                </c:pt>
                <c:pt idx="2469">
                  <c:v>56600</c:v>
                </c:pt>
                <c:pt idx="2470">
                  <c:v>56607</c:v>
                </c:pt>
                <c:pt idx="2471">
                  <c:v>56614</c:v>
                </c:pt>
                <c:pt idx="2472">
                  <c:v>56621</c:v>
                </c:pt>
                <c:pt idx="2473">
                  <c:v>56628</c:v>
                </c:pt>
                <c:pt idx="2474">
                  <c:v>56635</c:v>
                </c:pt>
                <c:pt idx="2475">
                  <c:v>56642</c:v>
                </c:pt>
                <c:pt idx="2476">
                  <c:v>56649</c:v>
                </c:pt>
                <c:pt idx="2477">
                  <c:v>56656</c:v>
                </c:pt>
                <c:pt idx="2478">
                  <c:v>56663</c:v>
                </c:pt>
                <c:pt idx="2479">
                  <c:v>56670</c:v>
                </c:pt>
                <c:pt idx="2480">
                  <c:v>56677</c:v>
                </c:pt>
                <c:pt idx="2481">
                  <c:v>56684</c:v>
                </c:pt>
                <c:pt idx="2482">
                  <c:v>56691</c:v>
                </c:pt>
                <c:pt idx="2483">
                  <c:v>56698</c:v>
                </c:pt>
                <c:pt idx="2484">
                  <c:v>56705</c:v>
                </c:pt>
                <c:pt idx="2485">
                  <c:v>56712</c:v>
                </c:pt>
                <c:pt idx="2486">
                  <c:v>56719</c:v>
                </c:pt>
                <c:pt idx="2487">
                  <c:v>56726</c:v>
                </c:pt>
                <c:pt idx="2488">
                  <c:v>56733</c:v>
                </c:pt>
                <c:pt idx="2489">
                  <c:v>56740</c:v>
                </c:pt>
                <c:pt idx="2490">
                  <c:v>56747</c:v>
                </c:pt>
                <c:pt idx="2491">
                  <c:v>56754</c:v>
                </c:pt>
                <c:pt idx="2492">
                  <c:v>56762</c:v>
                </c:pt>
                <c:pt idx="2493">
                  <c:v>56768</c:v>
                </c:pt>
                <c:pt idx="2494">
                  <c:v>56775</c:v>
                </c:pt>
                <c:pt idx="2495">
                  <c:v>56782</c:v>
                </c:pt>
                <c:pt idx="2496">
                  <c:v>56789</c:v>
                </c:pt>
                <c:pt idx="2497">
                  <c:v>56796</c:v>
                </c:pt>
                <c:pt idx="2498">
                  <c:v>56803</c:v>
                </c:pt>
                <c:pt idx="2499">
                  <c:v>56810</c:v>
                </c:pt>
                <c:pt idx="2500">
                  <c:v>56817</c:v>
                </c:pt>
                <c:pt idx="2501">
                  <c:v>56824</c:v>
                </c:pt>
                <c:pt idx="2502">
                  <c:v>56831</c:v>
                </c:pt>
                <c:pt idx="2503">
                  <c:v>56838</c:v>
                </c:pt>
                <c:pt idx="2504">
                  <c:v>56845</c:v>
                </c:pt>
                <c:pt idx="2505">
                  <c:v>56852</c:v>
                </c:pt>
                <c:pt idx="2506">
                  <c:v>56859</c:v>
                </c:pt>
                <c:pt idx="2507">
                  <c:v>56866</c:v>
                </c:pt>
                <c:pt idx="2508">
                  <c:v>56873</c:v>
                </c:pt>
                <c:pt idx="2509">
                  <c:v>56880</c:v>
                </c:pt>
                <c:pt idx="2510">
                  <c:v>56887</c:v>
                </c:pt>
                <c:pt idx="2511">
                  <c:v>56894</c:v>
                </c:pt>
                <c:pt idx="2512">
                  <c:v>56901</c:v>
                </c:pt>
                <c:pt idx="2513">
                  <c:v>56908</c:v>
                </c:pt>
                <c:pt idx="2514">
                  <c:v>56915</c:v>
                </c:pt>
                <c:pt idx="2515">
                  <c:v>56922</c:v>
                </c:pt>
                <c:pt idx="2516">
                  <c:v>56929</c:v>
                </c:pt>
                <c:pt idx="2517">
                  <c:v>56936</c:v>
                </c:pt>
                <c:pt idx="2518">
                  <c:v>56943</c:v>
                </c:pt>
                <c:pt idx="2519">
                  <c:v>56950</c:v>
                </c:pt>
                <c:pt idx="2520">
                  <c:v>56957</c:v>
                </c:pt>
                <c:pt idx="2521">
                  <c:v>56964</c:v>
                </c:pt>
                <c:pt idx="2522">
                  <c:v>56971</c:v>
                </c:pt>
                <c:pt idx="2523">
                  <c:v>56979</c:v>
                </c:pt>
                <c:pt idx="2524">
                  <c:v>56986</c:v>
                </c:pt>
                <c:pt idx="2525">
                  <c:v>56993</c:v>
                </c:pt>
                <c:pt idx="2526">
                  <c:v>57000</c:v>
                </c:pt>
                <c:pt idx="2527">
                  <c:v>57007</c:v>
                </c:pt>
                <c:pt idx="2528">
                  <c:v>57014</c:v>
                </c:pt>
                <c:pt idx="2529">
                  <c:v>57021</c:v>
                </c:pt>
                <c:pt idx="2530">
                  <c:v>57028</c:v>
                </c:pt>
                <c:pt idx="2531">
                  <c:v>57035</c:v>
                </c:pt>
                <c:pt idx="2532">
                  <c:v>57042</c:v>
                </c:pt>
                <c:pt idx="2533">
                  <c:v>57049</c:v>
                </c:pt>
                <c:pt idx="2534">
                  <c:v>57056</c:v>
                </c:pt>
                <c:pt idx="2535">
                  <c:v>57063</c:v>
                </c:pt>
                <c:pt idx="2536">
                  <c:v>57074</c:v>
                </c:pt>
                <c:pt idx="2537">
                  <c:v>57077</c:v>
                </c:pt>
                <c:pt idx="2538">
                  <c:v>57084</c:v>
                </c:pt>
                <c:pt idx="2539">
                  <c:v>57091</c:v>
                </c:pt>
                <c:pt idx="2540">
                  <c:v>57098</c:v>
                </c:pt>
                <c:pt idx="2541">
                  <c:v>57105</c:v>
                </c:pt>
                <c:pt idx="2542">
                  <c:v>57112</c:v>
                </c:pt>
                <c:pt idx="2543">
                  <c:v>57119</c:v>
                </c:pt>
                <c:pt idx="2544">
                  <c:v>57126</c:v>
                </c:pt>
                <c:pt idx="2545">
                  <c:v>57133</c:v>
                </c:pt>
                <c:pt idx="2546">
                  <c:v>57140</c:v>
                </c:pt>
                <c:pt idx="2547">
                  <c:v>57147</c:v>
                </c:pt>
                <c:pt idx="2548">
                  <c:v>57154</c:v>
                </c:pt>
                <c:pt idx="2549">
                  <c:v>57161</c:v>
                </c:pt>
                <c:pt idx="2550">
                  <c:v>57168</c:v>
                </c:pt>
                <c:pt idx="2551">
                  <c:v>57175</c:v>
                </c:pt>
                <c:pt idx="2552">
                  <c:v>57182</c:v>
                </c:pt>
                <c:pt idx="2553">
                  <c:v>57189</c:v>
                </c:pt>
                <c:pt idx="2554">
                  <c:v>57196</c:v>
                </c:pt>
                <c:pt idx="2555">
                  <c:v>57203</c:v>
                </c:pt>
                <c:pt idx="2556">
                  <c:v>57210</c:v>
                </c:pt>
                <c:pt idx="2557">
                  <c:v>57217</c:v>
                </c:pt>
                <c:pt idx="2558">
                  <c:v>57224</c:v>
                </c:pt>
                <c:pt idx="2559">
                  <c:v>57231</c:v>
                </c:pt>
                <c:pt idx="2560">
                  <c:v>57238</c:v>
                </c:pt>
                <c:pt idx="2561">
                  <c:v>57245</c:v>
                </c:pt>
                <c:pt idx="2562">
                  <c:v>57252</c:v>
                </c:pt>
                <c:pt idx="2563">
                  <c:v>57259</c:v>
                </c:pt>
                <c:pt idx="2564">
                  <c:v>57266</c:v>
                </c:pt>
                <c:pt idx="2565">
                  <c:v>57273</c:v>
                </c:pt>
                <c:pt idx="2566">
                  <c:v>57280</c:v>
                </c:pt>
                <c:pt idx="2567">
                  <c:v>57287</c:v>
                </c:pt>
                <c:pt idx="2568">
                  <c:v>57294</c:v>
                </c:pt>
                <c:pt idx="2569">
                  <c:v>57301</c:v>
                </c:pt>
                <c:pt idx="2570">
                  <c:v>57308</c:v>
                </c:pt>
                <c:pt idx="2571">
                  <c:v>57315</c:v>
                </c:pt>
                <c:pt idx="2572">
                  <c:v>57322</c:v>
                </c:pt>
                <c:pt idx="2573">
                  <c:v>57329</c:v>
                </c:pt>
                <c:pt idx="2574">
                  <c:v>57336</c:v>
                </c:pt>
                <c:pt idx="2575">
                  <c:v>57343</c:v>
                </c:pt>
                <c:pt idx="2576">
                  <c:v>57350</c:v>
                </c:pt>
                <c:pt idx="2577">
                  <c:v>57357</c:v>
                </c:pt>
                <c:pt idx="2578">
                  <c:v>57364</c:v>
                </c:pt>
                <c:pt idx="2579">
                  <c:v>57371</c:v>
                </c:pt>
                <c:pt idx="2580">
                  <c:v>57378</c:v>
                </c:pt>
                <c:pt idx="2581">
                  <c:v>57385</c:v>
                </c:pt>
                <c:pt idx="2582">
                  <c:v>57392</c:v>
                </c:pt>
                <c:pt idx="2583">
                  <c:v>57399</c:v>
                </c:pt>
                <c:pt idx="2584">
                  <c:v>57406</c:v>
                </c:pt>
                <c:pt idx="2585">
                  <c:v>57413</c:v>
                </c:pt>
                <c:pt idx="2586">
                  <c:v>57420</c:v>
                </c:pt>
                <c:pt idx="2587">
                  <c:v>57427</c:v>
                </c:pt>
                <c:pt idx="2588">
                  <c:v>57434</c:v>
                </c:pt>
                <c:pt idx="2589">
                  <c:v>57441</c:v>
                </c:pt>
                <c:pt idx="2590">
                  <c:v>57448</c:v>
                </c:pt>
                <c:pt idx="2591">
                  <c:v>57459</c:v>
                </c:pt>
                <c:pt idx="2592">
                  <c:v>57462</c:v>
                </c:pt>
                <c:pt idx="2593">
                  <c:v>57469</c:v>
                </c:pt>
                <c:pt idx="2594">
                  <c:v>57476</c:v>
                </c:pt>
                <c:pt idx="2595">
                  <c:v>57483</c:v>
                </c:pt>
                <c:pt idx="2596">
                  <c:v>57490</c:v>
                </c:pt>
                <c:pt idx="2597">
                  <c:v>57497</c:v>
                </c:pt>
                <c:pt idx="2598">
                  <c:v>57504</c:v>
                </c:pt>
                <c:pt idx="2599">
                  <c:v>57511</c:v>
                </c:pt>
                <c:pt idx="2600">
                  <c:v>57518</c:v>
                </c:pt>
                <c:pt idx="2601">
                  <c:v>57525</c:v>
                </c:pt>
                <c:pt idx="2602">
                  <c:v>57532</c:v>
                </c:pt>
                <c:pt idx="2603">
                  <c:v>57539</c:v>
                </c:pt>
                <c:pt idx="2604">
                  <c:v>57546</c:v>
                </c:pt>
                <c:pt idx="2605">
                  <c:v>57553</c:v>
                </c:pt>
                <c:pt idx="2606">
                  <c:v>57560</c:v>
                </c:pt>
                <c:pt idx="2607">
                  <c:v>57567</c:v>
                </c:pt>
                <c:pt idx="2608">
                  <c:v>57574</c:v>
                </c:pt>
                <c:pt idx="2609">
                  <c:v>57581</c:v>
                </c:pt>
                <c:pt idx="2610">
                  <c:v>57588</c:v>
                </c:pt>
                <c:pt idx="2611">
                  <c:v>57595</c:v>
                </c:pt>
                <c:pt idx="2612">
                  <c:v>57602</c:v>
                </c:pt>
                <c:pt idx="2613">
                  <c:v>57609</c:v>
                </c:pt>
                <c:pt idx="2614">
                  <c:v>57616</c:v>
                </c:pt>
                <c:pt idx="2615">
                  <c:v>57623</c:v>
                </c:pt>
                <c:pt idx="2616">
                  <c:v>57630</c:v>
                </c:pt>
                <c:pt idx="2617">
                  <c:v>57637</c:v>
                </c:pt>
                <c:pt idx="2618">
                  <c:v>57644</c:v>
                </c:pt>
                <c:pt idx="2619">
                  <c:v>57651</c:v>
                </c:pt>
                <c:pt idx="2620">
                  <c:v>57658</c:v>
                </c:pt>
                <c:pt idx="2621">
                  <c:v>57665</c:v>
                </c:pt>
                <c:pt idx="2622">
                  <c:v>57672</c:v>
                </c:pt>
                <c:pt idx="2623">
                  <c:v>57679</c:v>
                </c:pt>
                <c:pt idx="2624">
                  <c:v>57686</c:v>
                </c:pt>
                <c:pt idx="2625">
                  <c:v>57693</c:v>
                </c:pt>
                <c:pt idx="2626">
                  <c:v>57700</c:v>
                </c:pt>
                <c:pt idx="2627">
                  <c:v>57710</c:v>
                </c:pt>
                <c:pt idx="2628">
                  <c:v>57717</c:v>
                </c:pt>
                <c:pt idx="2629">
                  <c:v>57724</c:v>
                </c:pt>
                <c:pt idx="2630">
                  <c:v>57731</c:v>
                </c:pt>
                <c:pt idx="2631">
                  <c:v>57738</c:v>
                </c:pt>
                <c:pt idx="2632">
                  <c:v>57745</c:v>
                </c:pt>
                <c:pt idx="2633">
                  <c:v>57752</c:v>
                </c:pt>
                <c:pt idx="2634">
                  <c:v>57759</c:v>
                </c:pt>
                <c:pt idx="2635">
                  <c:v>57766</c:v>
                </c:pt>
                <c:pt idx="2636">
                  <c:v>57773</c:v>
                </c:pt>
                <c:pt idx="2637">
                  <c:v>57780</c:v>
                </c:pt>
                <c:pt idx="2638">
                  <c:v>57787</c:v>
                </c:pt>
                <c:pt idx="2639">
                  <c:v>57794</c:v>
                </c:pt>
                <c:pt idx="2640">
                  <c:v>57801</c:v>
                </c:pt>
                <c:pt idx="2641">
                  <c:v>57808</c:v>
                </c:pt>
                <c:pt idx="2642">
                  <c:v>57817</c:v>
                </c:pt>
                <c:pt idx="2643">
                  <c:v>57822</c:v>
                </c:pt>
                <c:pt idx="2644">
                  <c:v>57829</c:v>
                </c:pt>
                <c:pt idx="2645">
                  <c:v>57837</c:v>
                </c:pt>
                <c:pt idx="2646">
                  <c:v>57843</c:v>
                </c:pt>
                <c:pt idx="2647">
                  <c:v>57850</c:v>
                </c:pt>
                <c:pt idx="2648">
                  <c:v>57858</c:v>
                </c:pt>
                <c:pt idx="2649">
                  <c:v>57865</c:v>
                </c:pt>
                <c:pt idx="2650">
                  <c:v>57871</c:v>
                </c:pt>
                <c:pt idx="2651">
                  <c:v>57878</c:v>
                </c:pt>
                <c:pt idx="2652">
                  <c:v>57885</c:v>
                </c:pt>
                <c:pt idx="2653">
                  <c:v>57892</c:v>
                </c:pt>
                <c:pt idx="2654">
                  <c:v>57899</c:v>
                </c:pt>
                <c:pt idx="2655">
                  <c:v>57906</c:v>
                </c:pt>
                <c:pt idx="2656">
                  <c:v>57913</c:v>
                </c:pt>
                <c:pt idx="2657">
                  <c:v>57920</c:v>
                </c:pt>
                <c:pt idx="2658">
                  <c:v>57927</c:v>
                </c:pt>
                <c:pt idx="2659">
                  <c:v>57934</c:v>
                </c:pt>
                <c:pt idx="2660">
                  <c:v>57941</c:v>
                </c:pt>
                <c:pt idx="2661">
                  <c:v>57949</c:v>
                </c:pt>
                <c:pt idx="2662">
                  <c:v>57955</c:v>
                </c:pt>
                <c:pt idx="2663">
                  <c:v>57962</c:v>
                </c:pt>
                <c:pt idx="2664">
                  <c:v>57969</c:v>
                </c:pt>
                <c:pt idx="2665">
                  <c:v>57976</c:v>
                </c:pt>
                <c:pt idx="2666">
                  <c:v>57983</c:v>
                </c:pt>
                <c:pt idx="2667">
                  <c:v>57990</c:v>
                </c:pt>
                <c:pt idx="2668">
                  <c:v>57997</c:v>
                </c:pt>
                <c:pt idx="2669">
                  <c:v>58004</c:v>
                </c:pt>
                <c:pt idx="2670">
                  <c:v>58011</c:v>
                </c:pt>
                <c:pt idx="2671">
                  <c:v>58018</c:v>
                </c:pt>
                <c:pt idx="2672">
                  <c:v>58025</c:v>
                </c:pt>
                <c:pt idx="2673">
                  <c:v>58032</c:v>
                </c:pt>
                <c:pt idx="2674">
                  <c:v>58039</c:v>
                </c:pt>
                <c:pt idx="2675">
                  <c:v>58046</c:v>
                </c:pt>
                <c:pt idx="2676">
                  <c:v>58053</c:v>
                </c:pt>
                <c:pt idx="2677">
                  <c:v>58060</c:v>
                </c:pt>
                <c:pt idx="2678">
                  <c:v>58067</c:v>
                </c:pt>
                <c:pt idx="2679">
                  <c:v>58075</c:v>
                </c:pt>
                <c:pt idx="2680">
                  <c:v>58082</c:v>
                </c:pt>
                <c:pt idx="2681">
                  <c:v>58089</c:v>
                </c:pt>
                <c:pt idx="2682">
                  <c:v>58096</c:v>
                </c:pt>
                <c:pt idx="2683">
                  <c:v>58103</c:v>
                </c:pt>
                <c:pt idx="2684">
                  <c:v>58110</c:v>
                </c:pt>
                <c:pt idx="2685">
                  <c:v>58117</c:v>
                </c:pt>
                <c:pt idx="2686">
                  <c:v>58124</c:v>
                </c:pt>
                <c:pt idx="2687">
                  <c:v>58131</c:v>
                </c:pt>
                <c:pt idx="2688">
                  <c:v>58138</c:v>
                </c:pt>
                <c:pt idx="2689">
                  <c:v>58145</c:v>
                </c:pt>
                <c:pt idx="2690">
                  <c:v>58152</c:v>
                </c:pt>
                <c:pt idx="2691">
                  <c:v>58159</c:v>
                </c:pt>
                <c:pt idx="2692">
                  <c:v>58168</c:v>
                </c:pt>
                <c:pt idx="2693">
                  <c:v>58175</c:v>
                </c:pt>
                <c:pt idx="2694">
                  <c:v>58182</c:v>
                </c:pt>
                <c:pt idx="2695">
                  <c:v>58189</c:v>
                </c:pt>
                <c:pt idx="2696">
                  <c:v>58197</c:v>
                </c:pt>
                <c:pt idx="2697">
                  <c:v>58204</c:v>
                </c:pt>
                <c:pt idx="2698">
                  <c:v>58210</c:v>
                </c:pt>
                <c:pt idx="2699">
                  <c:v>58217</c:v>
                </c:pt>
                <c:pt idx="2700">
                  <c:v>58224</c:v>
                </c:pt>
                <c:pt idx="2701">
                  <c:v>58231</c:v>
                </c:pt>
                <c:pt idx="2702">
                  <c:v>58238</c:v>
                </c:pt>
                <c:pt idx="2703">
                  <c:v>58245</c:v>
                </c:pt>
                <c:pt idx="2704">
                  <c:v>58252</c:v>
                </c:pt>
                <c:pt idx="2705">
                  <c:v>58259</c:v>
                </c:pt>
                <c:pt idx="2706">
                  <c:v>58266</c:v>
                </c:pt>
                <c:pt idx="2707">
                  <c:v>58273</c:v>
                </c:pt>
                <c:pt idx="2708">
                  <c:v>58280</c:v>
                </c:pt>
                <c:pt idx="2709">
                  <c:v>58287</c:v>
                </c:pt>
                <c:pt idx="2710">
                  <c:v>58294</c:v>
                </c:pt>
                <c:pt idx="2711">
                  <c:v>58301</c:v>
                </c:pt>
                <c:pt idx="2712">
                  <c:v>58308</c:v>
                </c:pt>
                <c:pt idx="2713">
                  <c:v>58315</c:v>
                </c:pt>
                <c:pt idx="2714">
                  <c:v>58322</c:v>
                </c:pt>
                <c:pt idx="2715">
                  <c:v>58329</c:v>
                </c:pt>
                <c:pt idx="2716">
                  <c:v>58336</c:v>
                </c:pt>
                <c:pt idx="2717">
                  <c:v>58343</c:v>
                </c:pt>
                <c:pt idx="2718">
                  <c:v>58350</c:v>
                </c:pt>
                <c:pt idx="2719">
                  <c:v>58357</c:v>
                </c:pt>
                <c:pt idx="2720">
                  <c:v>58364</c:v>
                </c:pt>
                <c:pt idx="2721">
                  <c:v>58371</c:v>
                </c:pt>
                <c:pt idx="2722">
                  <c:v>58378</c:v>
                </c:pt>
                <c:pt idx="2723">
                  <c:v>58385</c:v>
                </c:pt>
                <c:pt idx="2724">
                  <c:v>58392</c:v>
                </c:pt>
                <c:pt idx="2725">
                  <c:v>58399</c:v>
                </c:pt>
                <c:pt idx="2726">
                  <c:v>58406</c:v>
                </c:pt>
                <c:pt idx="2727">
                  <c:v>58413</c:v>
                </c:pt>
                <c:pt idx="2728">
                  <c:v>58420</c:v>
                </c:pt>
                <c:pt idx="2729">
                  <c:v>58427</c:v>
                </c:pt>
                <c:pt idx="2730">
                  <c:v>58438</c:v>
                </c:pt>
                <c:pt idx="2731">
                  <c:v>58445</c:v>
                </c:pt>
                <c:pt idx="2732">
                  <c:v>58448</c:v>
                </c:pt>
                <c:pt idx="2733">
                  <c:v>58455</c:v>
                </c:pt>
                <c:pt idx="2734">
                  <c:v>58462</c:v>
                </c:pt>
                <c:pt idx="2735">
                  <c:v>58469</c:v>
                </c:pt>
                <c:pt idx="2736">
                  <c:v>58476</c:v>
                </c:pt>
                <c:pt idx="2737">
                  <c:v>58483</c:v>
                </c:pt>
                <c:pt idx="2738">
                  <c:v>58490</c:v>
                </c:pt>
                <c:pt idx="2739">
                  <c:v>58497</c:v>
                </c:pt>
                <c:pt idx="2740">
                  <c:v>58504</c:v>
                </c:pt>
                <c:pt idx="2741">
                  <c:v>58511</c:v>
                </c:pt>
                <c:pt idx="2742">
                  <c:v>58518</c:v>
                </c:pt>
                <c:pt idx="2743">
                  <c:v>58525</c:v>
                </c:pt>
                <c:pt idx="2744">
                  <c:v>58532</c:v>
                </c:pt>
                <c:pt idx="2745">
                  <c:v>58539</c:v>
                </c:pt>
                <c:pt idx="2746">
                  <c:v>58546</c:v>
                </c:pt>
                <c:pt idx="2747">
                  <c:v>58553</c:v>
                </c:pt>
                <c:pt idx="2748">
                  <c:v>58560</c:v>
                </c:pt>
                <c:pt idx="2749">
                  <c:v>58567</c:v>
                </c:pt>
                <c:pt idx="2750">
                  <c:v>58574</c:v>
                </c:pt>
                <c:pt idx="2751">
                  <c:v>58581</c:v>
                </c:pt>
                <c:pt idx="2752">
                  <c:v>58589</c:v>
                </c:pt>
                <c:pt idx="2753">
                  <c:v>58595</c:v>
                </c:pt>
                <c:pt idx="2754">
                  <c:v>58602</c:v>
                </c:pt>
                <c:pt idx="2755">
                  <c:v>58609</c:v>
                </c:pt>
                <c:pt idx="2756">
                  <c:v>58616</c:v>
                </c:pt>
                <c:pt idx="2757">
                  <c:v>58623</c:v>
                </c:pt>
                <c:pt idx="2758">
                  <c:v>58630</c:v>
                </c:pt>
                <c:pt idx="2759">
                  <c:v>58637</c:v>
                </c:pt>
                <c:pt idx="2760">
                  <c:v>58644</c:v>
                </c:pt>
                <c:pt idx="2761">
                  <c:v>58651</c:v>
                </c:pt>
                <c:pt idx="2762">
                  <c:v>58658</c:v>
                </c:pt>
                <c:pt idx="2763">
                  <c:v>58665</c:v>
                </c:pt>
                <c:pt idx="2764">
                  <c:v>58672</c:v>
                </c:pt>
                <c:pt idx="2765">
                  <c:v>58679</c:v>
                </c:pt>
                <c:pt idx="2766">
                  <c:v>58686</c:v>
                </c:pt>
                <c:pt idx="2767">
                  <c:v>58693</c:v>
                </c:pt>
                <c:pt idx="2768">
                  <c:v>58700</c:v>
                </c:pt>
                <c:pt idx="2769">
                  <c:v>58707</c:v>
                </c:pt>
                <c:pt idx="2770">
                  <c:v>58714</c:v>
                </c:pt>
                <c:pt idx="2771">
                  <c:v>58721</c:v>
                </c:pt>
                <c:pt idx="2772">
                  <c:v>58728</c:v>
                </c:pt>
                <c:pt idx="2773">
                  <c:v>58735</c:v>
                </c:pt>
                <c:pt idx="2774">
                  <c:v>58742</c:v>
                </c:pt>
                <c:pt idx="2775">
                  <c:v>58749</c:v>
                </c:pt>
                <c:pt idx="2776">
                  <c:v>58756</c:v>
                </c:pt>
                <c:pt idx="2777">
                  <c:v>58763</c:v>
                </c:pt>
                <c:pt idx="2778">
                  <c:v>58770</c:v>
                </c:pt>
                <c:pt idx="2779">
                  <c:v>58777</c:v>
                </c:pt>
                <c:pt idx="2780">
                  <c:v>58784</c:v>
                </c:pt>
                <c:pt idx="2781">
                  <c:v>58791</c:v>
                </c:pt>
                <c:pt idx="2782">
                  <c:v>58798</c:v>
                </c:pt>
                <c:pt idx="2783">
                  <c:v>58806</c:v>
                </c:pt>
                <c:pt idx="2784">
                  <c:v>58813</c:v>
                </c:pt>
                <c:pt idx="2785">
                  <c:v>58820</c:v>
                </c:pt>
                <c:pt idx="2786">
                  <c:v>58827</c:v>
                </c:pt>
                <c:pt idx="2787">
                  <c:v>58834</c:v>
                </c:pt>
                <c:pt idx="2788">
                  <c:v>58841</c:v>
                </c:pt>
                <c:pt idx="2789">
                  <c:v>58848</c:v>
                </c:pt>
                <c:pt idx="2790">
                  <c:v>58855</c:v>
                </c:pt>
                <c:pt idx="2791">
                  <c:v>58862</c:v>
                </c:pt>
                <c:pt idx="2792">
                  <c:v>58869</c:v>
                </c:pt>
                <c:pt idx="2793">
                  <c:v>58876</c:v>
                </c:pt>
                <c:pt idx="2794">
                  <c:v>58883</c:v>
                </c:pt>
                <c:pt idx="2795">
                  <c:v>58890</c:v>
                </c:pt>
                <c:pt idx="2796">
                  <c:v>58897</c:v>
                </c:pt>
                <c:pt idx="2797">
                  <c:v>58908</c:v>
                </c:pt>
                <c:pt idx="2798">
                  <c:v>58911</c:v>
                </c:pt>
                <c:pt idx="2799">
                  <c:v>58918</c:v>
                </c:pt>
                <c:pt idx="2800">
                  <c:v>58925</c:v>
                </c:pt>
                <c:pt idx="2801">
                  <c:v>58932</c:v>
                </c:pt>
                <c:pt idx="2802">
                  <c:v>58939</c:v>
                </c:pt>
                <c:pt idx="2803">
                  <c:v>58946</c:v>
                </c:pt>
                <c:pt idx="2804">
                  <c:v>58953</c:v>
                </c:pt>
                <c:pt idx="2805">
                  <c:v>58960</c:v>
                </c:pt>
                <c:pt idx="2806">
                  <c:v>58967</c:v>
                </c:pt>
                <c:pt idx="2807">
                  <c:v>58974</c:v>
                </c:pt>
                <c:pt idx="2808">
                  <c:v>58981</c:v>
                </c:pt>
                <c:pt idx="2809">
                  <c:v>58988</c:v>
                </c:pt>
                <c:pt idx="2810">
                  <c:v>58995</c:v>
                </c:pt>
                <c:pt idx="2811">
                  <c:v>59002</c:v>
                </c:pt>
                <c:pt idx="2812">
                  <c:v>59009</c:v>
                </c:pt>
                <c:pt idx="2813">
                  <c:v>59016</c:v>
                </c:pt>
                <c:pt idx="2814">
                  <c:v>59023</c:v>
                </c:pt>
                <c:pt idx="2815">
                  <c:v>59030</c:v>
                </c:pt>
                <c:pt idx="2816">
                  <c:v>59037</c:v>
                </c:pt>
                <c:pt idx="2817">
                  <c:v>59044</c:v>
                </c:pt>
                <c:pt idx="2818">
                  <c:v>59051</c:v>
                </c:pt>
                <c:pt idx="2819">
                  <c:v>59058</c:v>
                </c:pt>
                <c:pt idx="2820">
                  <c:v>59065</c:v>
                </c:pt>
                <c:pt idx="2821">
                  <c:v>59072</c:v>
                </c:pt>
                <c:pt idx="2822">
                  <c:v>59079</c:v>
                </c:pt>
                <c:pt idx="2823">
                  <c:v>59086</c:v>
                </c:pt>
                <c:pt idx="2824">
                  <c:v>59093</c:v>
                </c:pt>
                <c:pt idx="2825">
                  <c:v>59100</c:v>
                </c:pt>
                <c:pt idx="2826">
                  <c:v>59107</c:v>
                </c:pt>
                <c:pt idx="2827">
                  <c:v>59114</c:v>
                </c:pt>
                <c:pt idx="2828">
                  <c:v>59121</c:v>
                </c:pt>
                <c:pt idx="2829">
                  <c:v>59128</c:v>
                </c:pt>
                <c:pt idx="2830">
                  <c:v>59135</c:v>
                </c:pt>
                <c:pt idx="2831">
                  <c:v>59142</c:v>
                </c:pt>
                <c:pt idx="2832">
                  <c:v>59149</c:v>
                </c:pt>
                <c:pt idx="2833">
                  <c:v>59156</c:v>
                </c:pt>
                <c:pt idx="2834">
                  <c:v>59163</c:v>
                </c:pt>
                <c:pt idx="2835">
                  <c:v>59170</c:v>
                </c:pt>
                <c:pt idx="2836">
                  <c:v>59177</c:v>
                </c:pt>
                <c:pt idx="2837">
                  <c:v>59184</c:v>
                </c:pt>
                <c:pt idx="2838">
                  <c:v>59191</c:v>
                </c:pt>
                <c:pt idx="2839">
                  <c:v>59198</c:v>
                </c:pt>
                <c:pt idx="2840">
                  <c:v>59205</c:v>
                </c:pt>
                <c:pt idx="2841">
                  <c:v>59212</c:v>
                </c:pt>
                <c:pt idx="2842">
                  <c:v>59219</c:v>
                </c:pt>
                <c:pt idx="2843">
                  <c:v>59226</c:v>
                </c:pt>
                <c:pt idx="2844">
                  <c:v>59233</c:v>
                </c:pt>
                <c:pt idx="2845">
                  <c:v>59240</c:v>
                </c:pt>
                <c:pt idx="2846">
                  <c:v>59247</c:v>
                </c:pt>
                <c:pt idx="2847">
                  <c:v>59258</c:v>
                </c:pt>
                <c:pt idx="2848">
                  <c:v>59261</c:v>
                </c:pt>
                <c:pt idx="2849">
                  <c:v>59268</c:v>
                </c:pt>
                <c:pt idx="2850">
                  <c:v>59275</c:v>
                </c:pt>
                <c:pt idx="2851">
                  <c:v>59282</c:v>
                </c:pt>
                <c:pt idx="2852">
                  <c:v>59289</c:v>
                </c:pt>
                <c:pt idx="2853">
                  <c:v>59296</c:v>
                </c:pt>
                <c:pt idx="2854">
                  <c:v>59303</c:v>
                </c:pt>
                <c:pt idx="2855">
                  <c:v>59310</c:v>
                </c:pt>
                <c:pt idx="2856">
                  <c:v>59317</c:v>
                </c:pt>
                <c:pt idx="2857">
                  <c:v>59324</c:v>
                </c:pt>
                <c:pt idx="2858">
                  <c:v>59331</c:v>
                </c:pt>
                <c:pt idx="2859">
                  <c:v>59338</c:v>
                </c:pt>
                <c:pt idx="2860">
                  <c:v>59345</c:v>
                </c:pt>
                <c:pt idx="2861">
                  <c:v>59352</c:v>
                </c:pt>
                <c:pt idx="2862">
                  <c:v>59359</c:v>
                </c:pt>
                <c:pt idx="2863">
                  <c:v>59366</c:v>
                </c:pt>
                <c:pt idx="2864">
                  <c:v>59373</c:v>
                </c:pt>
                <c:pt idx="2865">
                  <c:v>59380</c:v>
                </c:pt>
                <c:pt idx="2866">
                  <c:v>59387</c:v>
                </c:pt>
                <c:pt idx="2867">
                  <c:v>59394</c:v>
                </c:pt>
                <c:pt idx="2868">
                  <c:v>59401</c:v>
                </c:pt>
                <c:pt idx="2869">
                  <c:v>59408</c:v>
                </c:pt>
                <c:pt idx="2870">
                  <c:v>59415</c:v>
                </c:pt>
                <c:pt idx="2871">
                  <c:v>59422</c:v>
                </c:pt>
                <c:pt idx="2872">
                  <c:v>59429</c:v>
                </c:pt>
                <c:pt idx="2873">
                  <c:v>59436</c:v>
                </c:pt>
                <c:pt idx="2874">
                  <c:v>59443</c:v>
                </c:pt>
                <c:pt idx="2875">
                  <c:v>59450</c:v>
                </c:pt>
                <c:pt idx="2876">
                  <c:v>59457</c:v>
                </c:pt>
                <c:pt idx="2877">
                  <c:v>59464</c:v>
                </c:pt>
                <c:pt idx="2878">
                  <c:v>59471</c:v>
                </c:pt>
                <c:pt idx="2879">
                  <c:v>59478</c:v>
                </c:pt>
                <c:pt idx="2880">
                  <c:v>59485</c:v>
                </c:pt>
                <c:pt idx="2881">
                  <c:v>59492</c:v>
                </c:pt>
                <c:pt idx="2882">
                  <c:v>59499</c:v>
                </c:pt>
                <c:pt idx="2883">
                  <c:v>59506</c:v>
                </c:pt>
                <c:pt idx="2884">
                  <c:v>59513</c:v>
                </c:pt>
                <c:pt idx="2885">
                  <c:v>59520</c:v>
                </c:pt>
                <c:pt idx="2886">
                  <c:v>59527</c:v>
                </c:pt>
                <c:pt idx="2887">
                  <c:v>59534</c:v>
                </c:pt>
                <c:pt idx="2888">
                  <c:v>59541</c:v>
                </c:pt>
                <c:pt idx="2889">
                  <c:v>59548</c:v>
                </c:pt>
                <c:pt idx="2890">
                  <c:v>59555</c:v>
                </c:pt>
                <c:pt idx="2891">
                  <c:v>59562</c:v>
                </c:pt>
                <c:pt idx="2892">
                  <c:v>59569</c:v>
                </c:pt>
                <c:pt idx="2893">
                  <c:v>59576</c:v>
                </c:pt>
                <c:pt idx="2894">
                  <c:v>59583</c:v>
                </c:pt>
                <c:pt idx="2895">
                  <c:v>59590</c:v>
                </c:pt>
                <c:pt idx="2896">
                  <c:v>59597</c:v>
                </c:pt>
                <c:pt idx="2897">
                  <c:v>59604</c:v>
                </c:pt>
                <c:pt idx="2898">
                  <c:v>59611</c:v>
                </c:pt>
                <c:pt idx="2899">
                  <c:v>59618</c:v>
                </c:pt>
                <c:pt idx="2900">
                  <c:v>59625</c:v>
                </c:pt>
                <c:pt idx="2901">
                  <c:v>59632</c:v>
                </c:pt>
                <c:pt idx="2902">
                  <c:v>59643</c:v>
                </c:pt>
                <c:pt idx="2903">
                  <c:v>59646</c:v>
                </c:pt>
                <c:pt idx="2904">
                  <c:v>59653</c:v>
                </c:pt>
                <c:pt idx="2905">
                  <c:v>59660</c:v>
                </c:pt>
                <c:pt idx="2906">
                  <c:v>59667</c:v>
                </c:pt>
                <c:pt idx="2907">
                  <c:v>59674</c:v>
                </c:pt>
                <c:pt idx="2908">
                  <c:v>59681</c:v>
                </c:pt>
                <c:pt idx="2909">
                  <c:v>59688</c:v>
                </c:pt>
                <c:pt idx="2910">
                  <c:v>59695</c:v>
                </c:pt>
                <c:pt idx="2911">
                  <c:v>59702</c:v>
                </c:pt>
                <c:pt idx="2912">
                  <c:v>59709</c:v>
                </c:pt>
                <c:pt idx="2913">
                  <c:v>59716</c:v>
                </c:pt>
                <c:pt idx="2914">
                  <c:v>59723</c:v>
                </c:pt>
                <c:pt idx="2915">
                  <c:v>59730</c:v>
                </c:pt>
                <c:pt idx="2916">
                  <c:v>59737</c:v>
                </c:pt>
                <c:pt idx="2917">
                  <c:v>59744</c:v>
                </c:pt>
                <c:pt idx="2918">
                  <c:v>59751</c:v>
                </c:pt>
                <c:pt idx="2919">
                  <c:v>59758</c:v>
                </c:pt>
                <c:pt idx="2920">
                  <c:v>59765</c:v>
                </c:pt>
                <c:pt idx="2921">
                  <c:v>59772</c:v>
                </c:pt>
                <c:pt idx="2922">
                  <c:v>59779</c:v>
                </c:pt>
                <c:pt idx="2923">
                  <c:v>59786</c:v>
                </c:pt>
                <c:pt idx="2924">
                  <c:v>59793</c:v>
                </c:pt>
                <c:pt idx="2925">
                  <c:v>59800</c:v>
                </c:pt>
                <c:pt idx="2926">
                  <c:v>59807</c:v>
                </c:pt>
                <c:pt idx="2927">
                  <c:v>59814</c:v>
                </c:pt>
                <c:pt idx="2928">
                  <c:v>59821</c:v>
                </c:pt>
                <c:pt idx="2929">
                  <c:v>59828</c:v>
                </c:pt>
                <c:pt idx="2930">
                  <c:v>59835</c:v>
                </c:pt>
                <c:pt idx="2931">
                  <c:v>59842</c:v>
                </c:pt>
                <c:pt idx="2932">
                  <c:v>59849</c:v>
                </c:pt>
                <c:pt idx="2933">
                  <c:v>59856</c:v>
                </c:pt>
                <c:pt idx="2934">
                  <c:v>59863</c:v>
                </c:pt>
                <c:pt idx="2935">
                  <c:v>59870</c:v>
                </c:pt>
                <c:pt idx="2936">
                  <c:v>59877</c:v>
                </c:pt>
                <c:pt idx="2937">
                  <c:v>59884</c:v>
                </c:pt>
                <c:pt idx="2938">
                  <c:v>59891</c:v>
                </c:pt>
                <c:pt idx="2939">
                  <c:v>59901</c:v>
                </c:pt>
                <c:pt idx="2940">
                  <c:v>59908</c:v>
                </c:pt>
                <c:pt idx="2941">
                  <c:v>59915</c:v>
                </c:pt>
                <c:pt idx="2942">
                  <c:v>59922</c:v>
                </c:pt>
                <c:pt idx="2943">
                  <c:v>59929</c:v>
                </c:pt>
                <c:pt idx="2944">
                  <c:v>59936</c:v>
                </c:pt>
                <c:pt idx="2945">
                  <c:v>59943</c:v>
                </c:pt>
                <c:pt idx="2946">
                  <c:v>59950</c:v>
                </c:pt>
                <c:pt idx="2947">
                  <c:v>59957</c:v>
                </c:pt>
                <c:pt idx="2948">
                  <c:v>59964</c:v>
                </c:pt>
                <c:pt idx="2949">
                  <c:v>59971</c:v>
                </c:pt>
                <c:pt idx="2950">
                  <c:v>59978</c:v>
                </c:pt>
                <c:pt idx="2951">
                  <c:v>59985</c:v>
                </c:pt>
                <c:pt idx="2952">
                  <c:v>59992</c:v>
                </c:pt>
                <c:pt idx="2953">
                  <c:v>60001</c:v>
                </c:pt>
                <c:pt idx="2954">
                  <c:v>60006</c:v>
                </c:pt>
                <c:pt idx="2955">
                  <c:v>60013</c:v>
                </c:pt>
                <c:pt idx="2956">
                  <c:v>60020</c:v>
                </c:pt>
                <c:pt idx="2957">
                  <c:v>60028</c:v>
                </c:pt>
                <c:pt idx="2958">
                  <c:v>60034</c:v>
                </c:pt>
                <c:pt idx="2959">
                  <c:v>60041</c:v>
                </c:pt>
                <c:pt idx="2960">
                  <c:v>60049</c:v>
                </c:pt>
                <c:pt idx="2961">
                  <c:v>60055</c:v>
                </c:pt>
                <c:pt idx="2962">
                  <c:v>60062</c:v>
                </c:pt>
                <c:pt idx="2963">
                  <c:v>60069</c:v>
                </c:pt>
                <c:pt idx="2964">
                  <c:v>60076</c:v>
                </c:pt>
                <c:pt idx="2965">
                  <c:v>60083</c:v>
                </c:pt>
                <c:pt idx="2966">
                  <c:v>60090</c:v>
                </c:pt>
                <c:pt idx="2967">
                  <c:v>60097</c:v>
                </c:pt>
                <c:pt idx="2968">
                  <c:v>60104</c:v>
                </c:pt>
                <c:pt idx="2969">
                  <c:v>60111</c:v>
                </c:pt>
                <c:pt idx="2970">
                  <c:v>60118</c:v>
                </c:pt>
                <c:pt idx="2971">
                  <c:v>60125</c:v>
                </c:pt>
                <c:pt idx="2972">
                  <c:v>60132</c:v>
                </c:pt>
                <c:pt idx="2973">
                  <c:v>60140</c:v>
                </c:pt>
                <c:pt idx="2974">
                  <c:v>60146</c:v>
                </c:pt>
                <c:pt idx="2975">
                  <c:v>60153</c:v>
                </c:pt>
                <c:pt idx="2976">
                  <c:v>60160</c:v>
                </c:pt>
                <c:pt idx="2977">
                  <c:v>60167</c:v>
                </c:pt>
                <c:pt idx="2978">
                  <c:v>60174</c:v>
                </c:pt>
                <c:pt idx="2979">
                  <c:v>60181</c:v>
                </c:pt>
                <c:pt idx="2980">
                  <c:v>60188</c:v>
                </c:pt>
                <c:pt idx="2981">
                  <c:v>60195</c:v>
                </c:pt>
                <c:pt idx="2982">
                  <c:v>60202</c:v>
                </c:pt>
                <c:pt idx="2983">
                  <c:v>60209</c:v>
                </c:pt>
                <c:pt idx="2984">
                  <c:v>60216</c:v>
                </c:pt>
                <c:pt idx="2985">
                  <c:v>60223</c:v>
                </c:pt>
                <c:pt idx="2986">
                  <c:v>60230</c:v>
                </c:pt>
                <c:pt idx="2987">
                  <c:v>60237</c:v>
                </c:pt>
                <c:pt idx="2988">
                  <c:v>60244</c:v>
                </c:pt>
                <c:pt idx="2989">
                  <c:v>60251</c:v>
                </c:pt>
                <c:pt idx="2990">
                  <c:v>60258</c:v>
                </c:pt>
                <c:pt idx="2991">
                  <c:v>60267</c:v>
                </c:pt>
                <c:pt idx="2992">
                  <c:v>60274</c:v>
                </c:pt>
                <c:pt idx="2993">
                  <c:v>60281</c:v>
                </c:pt>
                <c:pt idx="2994">
                  <c:v>60288</c:v>
                </c:pt>
                <c:pt idx="2995">
                  <c:v>60295</c:v>
                </c:pt>
                <c:pt idx="2996">
                  <c:v>60302</c:v>
                </c:pt>
                <c:pt idx="2997">
                  <c:v>60309</c:v>
                </c:pt>
                <c:pt idx="2998">
                  <c:v>60316</c:v>
                </c:pt>
                <c:pt idx="2999">
                  <c:v>60323</c:v>
                </c:pt>
                <c:pt idx="3000">
                  <c:v>60330</c:v>
                </c:pt>
                <c:pt idx="3001">
                  <c:v>60337</c:v>
                </c:pt>
                <c:pt idx="3002">
                  <c:v>60344</c:v>
                </c:pt>
                <c:pt idx="3003">
                  <c:v>60351</c:v>
                </c:pt>
                <c:pt idx="3004">
                  <c:v>60359</c:v>
                </c:pt>
                <c:pt idx="3005">
                  <c:v>60366</c:v>
                </c:pt>
                <c:pt idx="3006">
                  <c:v>60373</c:v>
                </c:pt>
                <c:pt idx="3007">
                  <c:v>60380</c:v>
                </c:pt>
                <c:pt idx="3008">
                  <c:v>60387</c:v>
                </c:pt>
                <c:pt idx="3009">
                  <c:v>60395</c:v>
                </c:pt>
                <c:pt idx="3010">
                  <c:v>60401</c:v>
                </c:pt>
                <c:pt idx="3011">
                  <c:v>60408</c:v>
                </c:pt>
                <c:pt idx="3012">
                  <c:v>60415</c:v>
                </c:pt>
                <c:pt idx="3013">
                  <c:v>60422</c:v>
                </c:pt>
                <c:pt idx="3014">
                  <c:v>60429</c:v>
                </c:pt>
                <c:pt idx="3015">
                  <c:v>60436</c:v>
                </c:pt>
                <c:pt idx="3016">
                  <c:v>60443</c:v>
                </c:pt>
                <c:pt idx="3017">
                  <c:v>60450</c:v>
                </c:pt>
                <c:pt idx="3018">
                  <c:v>60457</c:v>
                </c:pt>
                <c:pt idx="3019">
                  <c:v>60464</c:v>
                </c:pt>
                <c:pt idx="3020">
                  <c:v>60471</c:v>
                </c:pt>
                <c:pt idx="3021">
                  <c:v>60478</c:v>
                </c:pt>
                <c:pt idx="3022">
                  <c:v>60485</c:v>
                </c:pt>
                <c:pt idx="3023">
                  <c:v>60492</c:v>
                </c:pt>
                <c:pt idx="3024">
                  <c:v>60499</c:v>
                </c:pt>
                <c:pt idx="3025">
                  <c:v>60506</c:v>
                </c:pt>
                <c:pt idx="3026">
                  <c:v>60513</c:v>
                </c:pt>
                <c:pt idx="3027">
                  <c:v>60520</c:v>
                </c:pt>
                <c:pt idx="3028">
                  <c:v>60527</c:v>
                </c:pt>
                <c:pt idx="3029">
                  <c:v>60534</c:v>
                </c:pt>
                <c:pt idx="3030">
                  <c:v>60541</c:v>
                </c:pt>
                <c:pt idx="3031">
                  <c:v>60548</c:v>
                </c:pt>
                <c:pt idx="3032">
                  <c:v>60555</c:v>
                </c:pt>
                <c:pt idx="3033">
                  <c:v>60562</c:v>
                </c:pt>
                <c:pt idx="3034">
                  <c:v>60569</c:v>
                </c:pt>
                <c:pt idx="3035">
                  <c:v>60576</c:v>
                </c:pt>
                <c:pt idx="3036">
                  <c:v>60583</c:v>
                </c:pt>
                <c:pt idx="3037">
                  <c:v>60590</c:v>
                </c:pt>
                <c:pt idx="3038">
                  <c:v>60597</c:v>
                </c:pt>
                <c:pt idx="3039">
                  <c:v>60604</c:v>
                </c:pt>
                <c:pt idx="3040">
                  <c:v>60611</c:v>
                </c:pt>
                <c:pt idx="3041">
                  <c:v>60618</c:v>
                </c:pt>
                <c:pt idx="3042">
                  <c:v>60625</c:v>
                </c:pt>
                <c:pt idx="3043">
                  <c:v>60632</c:v>
                </c:pt>
                <c:pt idx="3044">
                  <c:v>60639</c:v>
                </c:pt>
                <c:pt idx="3045">
                  <c:v>60646</c:v>
                </c:pt>
                <c:pt idx="3046">
                  <c:v>60653</c:v>
                </c:pt>
                <c:pt idx="3047">
                  <c:v>60660</c:v>
                </c:pt>
                <c:pt idx="3048">
                  <c:v>60667</c:v>
                </c:pt>
                <c:pt idx="3049">
                  <c:v>60674</c:v>
                </c:pt>
                <c:pt idx="3050">
                  <c:v>60681</c:v>
                </c:pt>
                <c:pt idx="3051">
                  <c:v>60688</c:v>
                </c:pt>
                <c:pt idx="3052">
                  <c:v>60695</c:v>
                </c:pt>
                <c:pt idx="3053">
                  <c:v>60702</c:v>
                </c:pt>
                <c:pt idx="3054">
                  <c:v>60709</c:v>
                </c:pt>
                <c:pt idx="3055">
                  <c:v>60716</c:v>
                </c:pt>
                <c:pt idx="3056">
                  <c:v>60723</c:v>
                </c:pt>
                <c:pt idx="3057">
                  <c:v>60730</c:v>
                </c:pt>
                <c:pt idx="3058">
                  <c:v>60737</c:v>
                </c:pt>
                <c:pt idx="3059">
                  <c:v>60744</c:v>
                </c:pt>
                <c:pt idx="3060">
                  <c:v>60751</c:v>
                </c:pt>
                <c:pt idx="3061">
                  <c:v>60758</c:v>
                </c:pt>
                <c:pt idx="3062">
                  <c:v>60765</c:v>
                </c:pt>
                <c:pt idx="3063">
                  <c:v>60773</c:v>
                </c:pt>
                <c:pt idx="3064">
                  <c:v>60779</c:v>
                </c:pt>
                <c:pt idx="3065">
                  <c:v>60786</c:v>
                </c:pt>
                <c:pt idx="3066">
                  <c:v>60793</c:v>
                </c:pt>
                <c:pt idx="3067">
                  <c:v>60800</c:v>
                </c:pt>
                <c:pt idx="3068">
                  <c:v>60807</c:v>
                </c:pt>
                <c:pt idx="3069">
                  <c:v>60814</c:v>
                </c:pt>
                <c:pt idx="3070">
                  <c:v>60821</c:v>
                </c:pt>
                <c:pt idx="3071">
                  <c:v>60828</c:v>
                </c:pt>
                <c:pt idx="3072">
                  <c:v>60835</c:v>
                </c:pt>
                <c:pt idx="3073">
                  <c:v>60842</c:v>
                </c:pt>
                <c:pt idx="3074">
                  <c:v>60849</c:v>
                </c:pt>
                <c:pt idx="3075">
                  <c:v>60856</c:v>
                </c:pt>
                <c:pt idx="3076">
                  <c:v>60863</c:v>
                </c:pt>
                <c:pt idx="3077">
                  <c:v>60870</c:v>
                </c:pt>
                <c:pt idx="3078">
                  <c:v>60877</c:v>
                </c:pt>
                <c:pt idx="3079">
                  <c:v>60884</c:v>
                </c:pt>
                <c:pt idx="3080">
                  <c:v>60891</c:v>
                </c:pt>
                <c:pt idx="3081">
                  <c:v>60898</c:v>
                </c:pt>
                <c:pt idx="3082">
                  <c:v>60905</c:v>
                </c:pt>
                <c:pt idx="3083">
                  <c:v>60912</c:v>
                </c:pt>
                <c:pt idx="3084">
                  <c:v>60919</c:v>
                </c:pt>
                <c:pt idx="3085">
                  <c:v>60926</c:v>
                </c:pt>
                <c:pt idx="3086">
                  <c:v>60933</c:v>
                </c:pt>
                <c:pt idx="3087">
                  <c:v>60940</c:v>
                </c:pt>
                <c:pt idx="3088">
                  <c:v>60947</c:v>
                </c:pt>
                <c:pt idx="3089">
                  <c:v>60954</c:v>
                </c:pt>
                <c:pt idx="3090">
                  <c:v>60961</c:v>
                </c:pt>
                <c:pt idx="3091">
                  <c:v>60968</c:v>
                </c:pt>
                <c:pt idx="3092">
                  <c:v>60975</c:v>
                </c:pt>
                <c:pt idx="3093">
                  <c:v>60982</c:v>
                </c:pt>
                <c:pt idx="3094">
                  <c:v>60989</c:v>
                </c:pt>
                <c:pt idx="3095">
                  <c:v>60997</c:v>
                </c:pt>
                <c:pt idx="3096">
                  <c:v>61004</c:v>
                </c:pt>
                <c:pt idx="3097">
                  <c:v>61011</c:v>
                </c:pt>
                <c:pt idx="3098">
                  <c:v>61018</c:v>
                </c:pt>
                <c:pt idx="3099">
                  <c:v>61025</c:v>
                </c:pt>
                <c:pt idx="3100">
                  <c:v>61032</c:v>
                </c:pt>
                <c:pt idx="3101">
                  <c:v>61039</c:v>
                </c:pt>
                <c:pt idx="3102">
                  <c:v>61046</c:v>
                </c:pt>
                <c:pt idx="3103">
                  <c:v>61053</c:v>
                </c:pt>
                <c:pt idx="3104">
                  <c:v>61060</c:v>
                </c:pt>
                <c:pt idx="3105">
                  <c:v>61067</c:v>
                </c:pt>
                <c:pt idx="3106">
                  <c:v>61074</c:v>
                </c:pt>
                <c:pt idx="3107">
                  <c:v>61081</c:v>
                </c:pt>
                <c:pt idx="3108">
                  <c:v>61092</c:v>
                </c:pt>
                <c:pt idx="3109">
                  <c:v>61095</c:v>
                </c:pt>
                <c:pt idx="3110">
                  <c:v>61102</c:v>
                </c:pt>
                <c:pt idx="3111">
                  <c:v>61109</c:v>
                </c:pt>
                <c:pt idx="3112">
                  <c:v>61116</c:v>
                </c:pt>
                <c:pt idx="3113">
                  <c:v>61123</c:v>
                </c:pt>
                <c:pt idx="3114">
                  <c:v>61130</c:v>
                </c:pt>
                <c:pt idx="3115">
                  <c:v>61137</c:v>
                </c:pt>
                <c:pt idx="3116">
                  <c:v>61144</c:v>
                </c:pt>
                <c:pt idx="3117">
                  <c:v>61151</c:v>
                </c:pt>
                <c:pt idx="3118">
                  <c:v>61158</c:v>
                </c:pt>
                <c:pt idx="3119">
                  <c:v>61165</c:v>
                </c:pt>
                <c:pt idx="3120">
                  <c:v>61172</c:v>
                </c:pt>
                <c:pt idx="3121">
                  <c:v>61179</c:v>
                </c:pt>
                <c:pt idx="3122">
                  <c:v>61186</c:v>
                </c:pt>
                <c:pt idx="3123">
                  <c:v>61193</c:v>
                </c:pt>
                <c:pt idx="3124">
                  <c:v>61200</c:v>
                </c:pt>
                <c:pt idx="3125">
                  <c:v>61207</c:v>
                </c:pt>
                <c:pt idx="3126">
                  <c:v>61214</c:v>
                </c:pt>
                <c:pt idx="3127">
                  <c:v>61221</c:v>
                </c:pt>
                <c:pt idx="3128">
                  <c:v>61228</c:v>
                </c:pt>
                <c:pt idx="3129">
                  <c:v>61235</c:v>
                </c:pt>
                <c:pt idx="3130">
                  <c:v>61242</c:v>
                </c:pt>
                <c:pt idx="3131">
                  <c:v>61249</c:v>
                </c:pt>
                <c:pt idx="3132">
                  <c:v>61256</c:v>
                </c:pt>
                <c:pt idx="3133">
                  <c:v>61263</c:v>
                </c:pt>
                <c:pt idx="3134">
                  <c:v>61270</c:v>
                </c:pt>
                <c:pt idx="3135">
                  <c:v>61277</c:v>
                </c:pt>
                <c:pt idx="3136">
                  <c:v>61284</c:v>
                </c:pt>
                <c:pt idx="3137">
                  <c:v>61291</c:v>
                </c:pt>
                <c:pt idx="3138">
                  <c:v>61298</c:v>
                </c:pt>
                <c:pt idx="3139">
                  <c:v>61305</c:v>
                </c:pt>
                <c:pt idx="3140">
                  <c:v>61312</c:v>
                </c:pt>
                <c:pt idx="3141">
                  <c:v>61319</c:v>
                </c:pt>
                <c:pt idx="3142">
                  <c:v>61326</c:v>
                </c:pt>
                <c:pt idx="3143">
                  <c:v>61333</c:v>
                </c:pt>
                <c:pt idx="3144">
                  <c:v>61340</c:v>
                </c:pt>
                <c:pt idx="3145">
                  <c:v>61347</c:v>
                </c:pt>
                <c:pt idx="3146">
                  <c:v>61354</c:v>
                </c:pt>
                <c:pt idx="3147">
                  <c:v>61361</c:v>
                </c:pt>
                <c:pt idx="3148">
                  <c:v>61368</c:v>
                </c:pt>
                <c:pt idx="3149">
                  <c:v>61375</c:v>
                </c:pt>
                <c:pt idx="3150">
                  <c:v>61382</c:v>
                </c:pt>
                <c:pt idx="3151">
                  <c:v>61389</c:v>
                </c:pt>
                <c:pt idx="3152">
                  <c:v>61396</c:v>
                </c:pt>
                <c:pt idx="3153">
                  <c:v>61403</c:v>
                </c:pt>
                <c:pt idx="3154">
                  <c:v>61410</c:v>
                </c:pt>
                <c:pt idx="3155">
                  <c:v>61417</c:v>
                </c:pt>
                <c:pt idx="3156">
                  <c:v>61424</c:v>
                </c:pt>
                <c:pt idx="3157">
                  <c:v>61431</c:v>
                </c:pt>
                <c:pt idx="3158">
                  <c:v>61438</c:v>
                </c:pt>
                <c:pt idx="3159">
                  <c:v>61445</c:v>
                </c:pt>
                <c:pt idx="3160">
                  <c:v>61452</c:v>
                </c:pt>
                <c:pt idx="3161">
                  <c:v>61459</c:v>
                </c:pt>
                <c:pt idx="3162">
                  <c:v>61466</c:v>
                </c:pt>
                <c:pt idx="3163">
                  <c:v>61477</c:v>
                </c:pt>
                <c:pt idx="3164">
                  <c:v>61480</c:v>
                </c:pt>
                <c:pt idx="3165">
                  <c:v>61487</c:v>
                </c:pt>
                <c:pt idx="3166">
                  <c:v>61494</c:v>
                </c:pt>
                <c:pt idx="3167">
                  <c:v>61501</c:v>
                </c:pt>
                <c:pt idx="3168">
                  <c:v>61508</c:v>
                </c:pt>
                <c:pt idx="3169">
                  <c:v>61515</c:v>
                </c:pt>
                <c:pt idx="3170">
                  <c:v>61522</c:v>
                </c:pt>
                <c:pt idx="3171">
                  <c:v>61529</c:v>
                </c:pt>
                <c:pt idx="3172">
                  <c:v>61536</c:v>
                </c:pt>
                <c:pt idx="3173">
                  <c:v>61543</c:v>
                </c:pt>
                <c:pt idx="3174">
                  <c:v>61550</c:v>
                </c:pt>
                <c:pt idx="3175">
                  <c:v>61557</c:v>
                </c:pt>
                <c:pt idx="3176">
                  <c:v>61564</c:v>
                </c:pt>
                <c:pt idx="3177">
                  <c:v>61571</c:v>
                </c:pt>
                <c:pt idx="3178">
                  <c:v>61578</c:v>
                </c:pt>
                <c:pt idx="3179">
                  <c:v>61585</c:v>
                </c:pt>
                <c:pt idx="3180">
                  <c:v>61592</c:v>
                </c:pt>
                <c:pt idx="3181">
                  <c:v>61599</c:v>
                </c:pt>
                <c:pt idx="3182">
                  <c:v>61606</c:v>
                </c:pt>
                <c:pt idx="3183">
                  <c:v>61613</c:v>
                </c:pt>
                <c:pt idx="3184">
                  <c:v>61620</c:v>
                </c:pt>
                <c:pt idx="3185">
                  <c:v>61627</c:v>
                </c:pt>
                <c:pt idx="3186">
                  <c:v>61634</c:v>
                </c:pt>
                <c:pt idx="3187">
                  <c:v>61641</c:v>
                </c:pt>
                <c:pt idx="3188">
                  <c:v>61648</c:v>
                </c:pt>
                <c:pt idx="3189">
                  <c:v>61655</c:v>
                </c:pt>
                <c:pt idx="3190">
                  <c:v>61662</c:v>
                </c:pt>
                <c:pt idx="3191">
                  <c:v>61669</c:v>
                </c:pt>
                <c:pt idx="3192">
                  <c:v>61676</c:v>
                </c:pt>
                <c:pt idx="3193">
                  <c:v>61683</c:v>
                </c:pt>
                <c:pt idx="3194">
                  <c:v>61690</c:v>
                </c:pt>
                <c:pt idx="3195">
                  <c:v>61697</c:v>
                </c:pt>
                <c:pt idx="3196">
                  <c:v>61704</c:v>
                </c:pt>
                <c:pt idx="3197">
                  <c:v>61711</c:v>
                </c:pt>
                <c:pt idx="3198">
                  <c:v>61718</c:v>
                </c:pt>
                <c:pt idx="3199">
                  <c:v>61728</c:v>
                </c:pt>
                <c:pt idx="3200">
                  <c:v>61735</c:v>
                </c:pt>
                <c:pt idx="3201">
                  <c:v>61742</c:v>
                </c:pt>
                <c:pt idx="3202">
                  <c:v>61749</c:v>
                </c:pt>
                <c:pt idx="3203">
                  <c:v>61756</c:v>
                </c:pt>
                <c:pt idx="3204">
                  <c:v>61763</c:v>
                </c:pt>
                <c:pt idx="3205">
                  <c:v>61770</c:v>
                </c:pt>
                <c:pt idx="3206">
                  <c:v>61777</c:v>
                </c:pt>
                <c:pt idx="3207">
                  <c:v>61784</c:v>
                </c:pt>
                <c:pt idx="3208">
                  <c:v>61791</c:v>
                </c:pt>
                <c:pt idx="3209">
                  <c:v>61798</c:v>
                </c:pt>
                <c:pt idx="3210">
                  <c:v>61805</c:v>
                </c:pt>
                <c:pt idx="3211">
                  <c:v>61812</c:v>
                </c:pt>
                <c:pt idx="3212">
                  <c:v>61819</c:v>
                </c:pt>
                <c:pt idx="3213">
                  <c:v>61826</c:v>
                </c:pt>
                <c:pt idx="3214">
                  <c:v>61835</c:v>
                </c:pt>
                <c:pt idx="3215">
                  <c:v>61840</c:v>
                </c:pt>
                <c:pt idx="3216">
                  <c:v>61847</c:v>
                </c:pt>
                <c:pt idx="3217">
                  <c:v>61855</c:v>
                </c:pt>
                <c:pt idx="3218">
                  <c:v>61861</c:v>
                </c:pt>
                <c:pt idx="3219">
                  <c:v>61868</c:v>
                </c:pt>
                <c:pt idx="3220">
                  <c:v>61876</c:v>
                </c:pt>
                <c:pt idx="3221">
                  <c:v>61883</c:v>
                </c:pt>
                <c:pt idx="3222">
                  <c:v>61889</c:v>
                </c:pt>
                <c:pt idx="3223">
                  <c:v>61896</c:v>
                </c:pt>
                <c:pt idx="3224">
                  <c:v>61903</c:v>
                </c:pt>
                <c:pt idx="3225">
                  <c:v>61910</c:v>
                </c:pt>
                <c:pt idx="3226">
                  <c:v>61917</c:v>
                </c:pt>
                <c:pt idx="3227">
                  <c:v>61924</c:v>
                </c:pt>
                <c:pt idx="3228">
                  <c:v>61931</c:v>
                </c:pt>
                <c:pt idx="3229">
                  <c:v>61938</c:v>
                </c:pt>
                <c:pt idx="3230">
                  <c:v>61945</c:v>
                </c:pt>
                <c:pt idx="3231">
                  <c:v>61952</c:v>
                </c:pt>
                <c:pt idx="3232">
                  <c:v>61959</c:v>
                </c:pt>
                <c:pt idx="3233">
                  <c:v>61967</c:v>
                </c:pt>
                <c:pt idx="3234">
                  <c:v>61973</c:v>
                </c:pt>
                <c:pt idx="3235">
                  <c:v>61980</c:v>
                </c:pt>
                <c:pt idx="3236">
                  <c:v>61987</c:v>
                </c:pt>
                <c:pt idx="3237">
                  <c:v>61994</c:v>
                </c:pt>
                <c:pt idx="3238">
                  <c:v>62001</c:v>
                </c:pt>
                <c:pt idx="3239">
                  <c:v>62008</c:v>
                </c:pt>
                <c:pt idx="3240">
                  <c:v>62015</c:v>
                </c:pt>
                <c:pt idx="3241">
                  <c:v>62022</c:v>
                </c:pt>
                <c:pt idx="3242">
                  <c:v>62029</c:v>
                </c:pt>
                <c:pt idx="3243">
                  <c:v>62036</c:v>
                </c:pt>
                <c:pt idx="3244">
                  <c:v>62043</c:v>
                </c:pt>
                <c:pt idx="3245">
                  <c:v>62050</c:v>
                </c:pt>
                <c:pt idx="3246">
                  <c:v>62057</c:v>
                </c:pt>
                <c:pt idx="3247">
                  <c:v>62064</c:v>
                </c:pt>
                <c:pt idx="3248">
                  <c:v>62071</c:v>
                </c:pt>
                <c:pt idx="3249">
                  <c:v>62078</c:v>
                </c:pt>
                <c:pt idx="3250">
                  <c:v>62085</c:v>
                </c:pt>
                <c:pt idx="3251">
                  <c:v>62093</c:v>
                </c:pt>
                <c:pt idx="3252">
                  <c:v>62100</c:v>
                </c:pt>
                <c:pt idx="3253">
                  <c:v>62107</c:v>
                </c:pt>
                <c:pt idx="3254">
                  <c:v>62114</c:v>
                </c:pt>
                <c:pt idx="3255">
                  <c:v>62121</c:v>
                </c:pt>
                <c:pt idx="3256">
                  <c:v>62128</c:v>
                </c:pt>
                <c:pt idx="3257">
                  <c:v>62135</c:v>
                </c:pt>
                <c:pt idx="3258">
                  <c:v>62142</c:v>
                </c:pt>
                <c:pt idx="3259">
                  <c:v>62149</c:v>
                </c:pt>
                <c:pt idx="3260">
                  <c:v>62156</c:v>
                </c:pt>
                <c:pt idx="3261">
                  <c:v>62163</c:v>
                </c:pt>
                <c:pt idx="3262">
                  <c:v>62170</c:v>
                </c:pt>
                <c:pt idx="3263">
                  <c:v>62177</c:v>
                </c:pt>
                <c:pt idx="3264">
                  <c:v>62186</c:v>
                </c:pt>
                <c:pt idx="3265">
                  <c:v>62193</c:v>
                </c:pt>
                <c:pt idx="3266">
                  <c:v>62200</c:v>
                </c:pt>
                <c:pt idx="3267">
                  <c:v>62207</c:v>
                </c:pt>
                <c:pt idx="3268">
                  <c:v>62215</c:v>
                </c:pt>
                <c:pt idx="3269">
                  <c:v>62222</c:v>
                </c:pt>
                <c:pt idx="3270">
                  <c:v>62228</c:v>
                </c:pt>
                <c:pt idx="3271">
                  <c:v>62235</c:v>
                </c:pt>
                <c:pt idx="3272">
                  <c:v>62242</c:v>
                </c:pt>
                <c:pt idx="3273">
                  <c:v>62249</c:v>
                </c:pt>
                <c:pt idx="3274">
                  <c:v>62256</c:v>
                </c:pt>
                <c:pt idx="3275">
                  <c:v>62263</c:v>
                </c:pt>
                <c:pt idx="3276">
                  <c:v>62270</c:v>
                </c:pt>
                <c:pt idx="3277">
                  <c:v>62277</c:v>
                </c:pt>
                <c:pt idx="3278">
                  <c:v>62284</c:v>
                </c:pt>
                <c:pt idx="3279">
                  <c:v>62291</c:v>
                </c:pt>
                <c:pt idx="3280">
                  <c:v>62298</c:v>
                </c:pt>
                <c:pt idx="3281">
                  <c:v>62305</c:v>
                </c:pt>
                <c:pt idx="3282">
                  <c:v>62312</c:v>
                </c:pt>
                <c:pt idx="3283">
                  <c:v>62319</c:v>
                </c:pt>
                <c:pt idx="3284">
                  <c:v>62326</c:v>
                </c:pt>
                <c:pt idx="3285">
                  <c:v>62333</c:v>
                </c:pt>
                <c:pt idx="3286">
                  <c:v>62340</c:v>
                </c:pt>
                <c:pt idx="3287">
                  <c:v>62347</c:v>
                </c:pt>
                <c:pt idx="3288">
                  <c:v>62354</c:v>
                </c:pt>
                <c:pt idx="3289">
                  <c:v>62361</c:v>
                </c:pt>
                <c:pt idx="3290">
                  <c:v>62368</c:v>
                </c:pt>
                <c:pt idx="3291">
                  <c:v>62375</c:v>
                </c:pt>
                <c:pt idx="3292">
                  <c:v>62382</c:v>
                </c:pt>
                <c:pt idx="3293">
                  <c:v>62389</c:v>
                </c:pt>
                <c:pt idx="3294">
                  <c:v>62396</c:v>
                </c:pt>
                <c:pt idx="3295">
                  <c:v>62403</c:v>
                </c:pt>
                <c:pt idx="3296">
                  <c:v>62410</c:v>
                </c:pt>
                <c:pt idx="3297">
                  <c:v>62417</c:v>
                </c:pt>
                <c:pt idx="3298">
                  <c:v>62424</c:v>
                </c:pt>
                <c:pt idx="3299">
                  <c:v>62431</c:v>
                </c:pt>
                <c:pt idx="3300">
                  <c:v>62438</c:v>
                </c:pt>
                <c:pt idx="3301">
                  <c:v>62445</c:v>
                </c:pt>
                <c:pt idx="3302">
                  <c:v>62456</c:v>
                </c:pt>
                <c:pt idx="3303">
                  <c:v>62463</c:v>
                </c:pt>
                <c:pt idx="3304">
                  <c:v>62466</c:v>
                </c:pt>
                <c:pt idx="3305">
                  <c:v>62473</c:v>
                </c:pt>
                <c:pt idx="3306">
                  <c:v>62480</c:v>
                </c:pt>
                <c:pt idx="3307">
                  <c:v>62487</c:v>
                </c:pt>
                <c:pt idx="3308">
                  <c:v>62494</c:v>
                </c:pt>
                <c:pt idx="3309">
                  <c:v>62501</c:v>
                </c:pt>
                <c:pt idx="3310">
                  <c:v>62508</c:v>
                </c:pt>
                <c:pt idx="3311">
                  <c:v>62515</c:v>
                </c:pt>
                <c:pt idx="3312">
                  <c:v>62522</c:v>
                </c:pt>
                <c:pt idx="3313">
                  <c:v>62529</c:v>
                </c:pt>
                <c:pt idx="3314">
                  <c:v>62536</c:v>
                </c:pt>
                <c:pt idx="3315">
                  <c:v>62543</c:v>
                </c:pt>
                <c:pt idx="3316">
                  <c:v>62550</c:v>
                </c:pt>
                <c:pt idx="3317">
                  <c:v>62557</c:v>
                </c:pt>
                <c:pt idx="3318">
                  <c:v>62564</c:v>
                </c:pt>
                <c:pt idx="3319">
                  <c:v>62571</c:v>
                </c:pt>
                <c:pt idx="3320">
                  <c:v>62578</c:v>
                </c:pt>
                <c:pt idx="3321">
                  <c:v>62585</c:v>
                </c:pt>
                <c:pt idx="3322">
                  <c:v>62592</c:v>
                </c:pt>
                <c:pt idx="3323">
                  <c:v>62599</c:v>
                </c:pt>
                <c:pt idx="3324">
                  <c:v>62607</c:v>
                </c:pt>
                <c:pt idx="3325">
                  <c:v>62613</c:v>
                </c:pt>
                <c:pt idx="3326">
                  <c:v>62620</c:v>
                </c:pt>
                <c:pt idx="3327">
                  <c:v>62627</c:v>
                </c:pt>
                <c:pt idx="3328">
                  <c:v>62634</c:v>
                </c:pt>
                <c:pt idx="3329">
                  <c:v>62641</c:v>
                </c:pt>
                <c:pt idx="3330">
                  <c:v>62648</c:v>
                </c:pt>
                <c:pt idx="3331">
                  <c:v>62655</c:v>
                </c:pt>
                <c:pt idx="3332">
                  <c:v>62662</c:v>
                </c:pt>
                <c:pt idx="3333">
                  <c:v>62669</c:v>
                </c:pt>
                <c:pt idx="3334">
                  <c:v>62676</c:v>
                </c:pt>
                <c:pt idx="3335">
                  <c:v>62683</c:v>
                </c:pt>
                <c:pt idx="3336">
                  <c:v>62690</c:v>
                </c:pt>
                <c:pt idx="3337">
                  <c:v>62697</c:v>
                </c:pt>
                <c:pt idx="3338">
                  <c:v>62704</c:v>
                </c:pt>
                <c:pt idx="3339">
                  <c:v>62711</c:v>
                </c:pt>
                <c:pt idx="3340">
                  <c:v>62718</c:v>
                </c:pt>
                <c:pt idx="3341">
                  <c:v>62725</c:v>
                </c:pt>
                <c:pt idx="3342">
                  <c:v>62732</c:v>
                </c:pt>
                <c:pt idx="3343">
                  <c:v>62739</c:v>
                </c:pt>
                <c:pt idx="3344">
                  <c:v>62746</c:v>
                </c:pt>
                <c:pt idx="3345">
                  <c:v>62753</c:v>
                </c:pt>
                <c:pt idx="3346">
                  <c:v>62760</c:v>
                </c:pt>
                <c:pt idx="3347">
                  <c:v>62767</c:v>
                </c:pt>
                <c:pt idx="3348">
                  <c:v>62774</c:v>
                </c:pt>
                <c:pt idx="3349">
                  <c:v>62781</c:v>
                </c:pt>
                <c:pt idx="3350">
                  <c:v>62788</c:v>
                </c:pt>
                <c:pt idx="3351">
                  <c:v>62795</c:v>
                </c:pt>
                <c:pt idx="3352">
                  <c:v>62802</c:v>
                </c:pt>
                <c:pt idx="3353">
                  <c:v>62809</c:v>
                </c:pt>
                <c:pt idx="3354">
                  <c:v>62816</c:v>
                </c:pt>
                <c:pt idx="3355">
                  <c:v>62823</c:v>
                </c:pt>
                <c:pt idx="3356">
                  <c:v>62830</c:v>
                </c:pt>
                <c:pt idx="3357">
                  <c:v>62837</c:v>
                </c:pt>
                <c:pt idx="3358">
                  <c:v>62844</c:v>
                </c:pt>
                <c:pt idx="3359">
                  <c:v>62851</c:v>
                </c:pt>
                <c:pt idx="3360">
                  <c:v>62858</c:v>
                </c:pt>
                <c:pt idx="3361">
                  <c:v>62865</c:v>
                </c:pt>
                <c:pt idx="3362">
                  <c:v>62872</c:v>
                </c:pt>
                <c:pt idx="3363">
                  <c:v>62879</c:v>
                </c:pt>
                <c:pt idx="3364">
                  <c:v>62886</c:v>
                </c:pt>
                <c:pt idx="3365">
                  <c:v>62893</c:v>
                </c:pt>
                <c:pt idx="3366">
                  <c:v>62900</c:v>
                </c:pt>
                <c:pt idx="3367">
                  <c:v>62907</c:v>
                </c:pt>
                <c:pt idx="3368">
                  <c:v>62914</c:v>
                </c:pt>
                <c:pt idx="3369">
                  <c:v>62921</c:v>
                </c:pt>
                <c:pt idx="3370">
                  <c:v>62928</c:v>
                </c:pt>
                <c:pt idx="3371">
                  <c:v>62935</c:v>
                </c:pt>
                <c:pt idx="3372">
                  <c:v>62942</c:v>
                </c:pt>
                <c:pt idx="3373">
                  <c:v>62949</c:v>
                </c:pt>
                <c:pt idx="3374">
                  <c:v>62956</c:v>
                </c:pt>
                <c:pt idx="3375">
                  <c:v>62964</c:v>
                </c:pt>
                <c:pt idx="3376">
                  <c:v>62970</c:v>
                </c:pt>
                <c:pt idx="3377">
                  <c:v>62977</c:v>
                </c:pt>
                <c:pt idx="3378">
                  <c:v>62984</c:v>
                </c:pt>
                <c:pt idx="3379">
                  <c:v>62991</c:v>
                </c:pt>
                <c:pt idx="3380">
                  <c:v>62998</c:v>
                </c:pt>
                <c:pt idx="3381">
                  <c:v>63005</c:v>
                </c:pt>
                <c:pt idx="3382">
                  <c:v>63012</c:v>
                </c:pt>
                <c:pt idx="3383">
                  <c:v>63019</c:v>
                </c:pt>
                <c:pt idx="3384">
                  <c:v>63026</c:v>
                </c:pt>
                <c:pt idx="3385">
                  <c:v>63033</c:v>
                </c:pt>
                <c:pt idx="3386">
                  <c:v>63040</c:v>
                </c:pt>
                <c:pt idx="3387">
                  <c:v>63047</c:v>
                </c:pt>
                <c:pt idx="3388">
                  <c:v>63054</c:v>
                </c:pt>
                <c:pt idx="3389">
                  <c:v>63061</c:v>
                </c:pt>
                <c:pt idx="3390">
                  <c:v>63068</c:v>
                </c:pt>
                <c:pt idx="3391">
                  <c:v>63075</c:v>
                </c:pt>
                <c:pt idx="3392">
                  <c:v>63082</c:v>
                </c:pt>
                <c:pt idx="3393">
                  <c:v>63089</c:v>
                </c:pt>
                <c:pt idx="3394">
                  <c:v>63096</c:v>
                </c:pt>
                <c:pt idx="3395">
                  <c:v>63103</c:v>
                </c:pt>
                <c:pt idx="3396">
                  <c:v>63110</c:v>
                </c:pt>
                <c:pt idx="3397">
                  <c:v>63117</c:v>
                </c:pt>
                <c:pt idx="3398">
                  <c:v>63124</c:v>
                </c:pt>
                <c:pt idx="3399">
                  <c:v>63131</c:v>
                </c:pt>
                <c:pt idx="3400">
                  <c:v>63138</c:v>
                </c:pt>
                <c:pt idx="3401">
                  <c:v>63145</c:v>
                </c:pt>
                <c:pt idx="3402">
                  <c:v>63152</c:v>
                </c:pt>
                <c:pt idx="3403">
                  <c:v>63159</c:v>
                </c:pt>
                <c:pt idx="3404">
                  <c:v>63166</c:v>
                </c:pt>
                <c:pt idx="3405">
                  <c:v>63173</c:v>
                </c:pt>
                <c:pt idx="3406">
                  <c:v>63180</c:v>
                </c:pt>
                <c:pt idx="3407">
                  <c:v>63188</c:v>
                </c:pt>
                <c:pt idx="3408">
                  <c:v>63195</c:v>
                </c:pt>
                <c:pt idx="3409">
                  <c:v>63202</c:v>
                </c:pt>
                <c:pt idx="3410">
                  <c:v>63209</c:v>
                </c:pt>
                <c:pt idx="3411">
                  <c:v>63216</c:v>
                </c:pt>
                <c:pt idx="3412">
                  <c:v>63223</c:v>
                </c:pt>
                <c:pt idx="3413">
                  <c:v>63230</c:v>
                </c:pt>
                <c:pt idx="3414">
                  <c:v>63237</c:v>
                </c:pt>
                <c:pt idx="3415">
                  <c:v>63244</c:v>
                </c:pt>
                <c:pt idx="3416">
                  <c:v>63251</c:v>
                </c:pt>
                <c:pt idx="3417">
                  <c:v>63258</c:v>
                </c:pt>
                <c:pt idx="3418">
                  <c:v>63265</c:v>
                </c:pt>
                <c:pt idx="3419">
                  <c:v>63276</c:v>
                </c:pt>
                <c:pt idx="3420">
                  <c:v>63279</c:v>
                </c:pt>
                <c:pt idx="3421">
                  <c:v>63286</c:v>
                </c:pt>
                <c:pt idx="3422">
                  <c:v>63293</c:v>
                </c:pt>
                <c:pt idx="3423">
                  <c:v>63300</c:v>
                </c:pt>
                <c:pt idx="3424">
                  <c:v>63307</c:v>
                </c:pt>
                <c:pt idx="3425">
                  <c:v>63314</c:v>
                </c:pt>
                <c:pt idx="3426">
                  <c:v>63321</c:v>
                </c:pt>
                <c:pt idx="3427">
                  <c:v>63328</c:v>
                </c:pt>
                <c:pt idx="3428">
                  <c:v>63335</c:v>
                </c:pt>
                <c:pt idx="3429">
                  <c:v>63342</c:v>
                </c:pt>
                <c:pt idx="3430">
                  <c:v>63349</c:v>
                </c:pt>
                <c:pt idx="3431">
                  <c:v>63356</c:v>
                </c:pt>
                <c:pt idx="3432">
                  <c:v>63363</c:v>
                </c:pt>
                <c:pt idx="3433">
                  <c:v>63370</c:v>
                </c:pt>
                <c:pt idx="3434">
                  <c:v>63377</c:v>
                </c:pt>
                <c:pt idx="3435">
                  <c:v>63384</c:v>
                </c:pt>
                <c:pt idx="3436">
                  <c:v>63391</c:v>
                </c:pt>
                <c:pt idx="3437">
                  <c:v>63398</c:v>
                </c:pt>
                <c:pt idx="3438">
                  <c:v>63405</c:v>
                </c:pt>
                <c:pt idx="3439">
                  <c:v>63412</c:v>
                </c:pt>
                <c:pt idx="3440">
                  <c:v>63419</c:v>
                </c:pt>
                <c:pt idx="3441">
                  <c:v>63426</c:v>
                </c:pt>
                <c:pt idx="3442">
                  <c:v>63433</c:v>
                </c:pt>
                <c:pt idx="3443">
                  <c:v>63440</c:v>
                </c:pt>
                <c:pt idx="3444">
                  <c:v>63447</c:v>
                </c:pt>
                <c:pt idx="3445">
                  <c:v>63454</c:v>
                </c:pt>
                <c:pt idx="3446">
                  <c:v>63461</c:v>
                </c:pt>
                <c:pt idx="3447">
                  <c:v>63468</c:v>
                </c:pt>
                <c:pt idx="3448">
                  <c:v>63475</c:v>
                </c:pt>
                <c:pt idx="3449">
                  <c:v>63482</c:v>
                </c:pt>
                <c:pt idx="3450">
                  <c:v>63489</c:v>
                </c:pt>
                <c:pt idx="3451">
                  <c:v>63496</c:v>
                </c:pt>
                <c:pt idx="3452">
                  <c:v>63503</c:v>
                </c:pt>
                <c:pt idx="3453">
                  <c:v>63510</c:v>
                </c:pt>
                <c:pt idx="3454">
                  <c:v>63517</c:v>
                </c:pt>
                <c:pt idx="3455">
                  <c:v>63524</c:v>
                </c:pt>
                <c:pt idx="3456">
                  <c:v>63531</c:v>
                </c:pt>
                <c:pt idx="3457">
                  <c:v>63538</c:v>
                </c:pt>
                <c:pt idx="3458">
                  <c:v>63545</c:v>
                </c:pt>
                <c:pt idx="3459">
                  <c:v>63552</c:v>
                </c:pt>
                <c:pt idx="3460">
                  <c:v>63559</c:v>
                </c:pt>
                <c:pt idx="3461">
                  <c:v>63566</c:v>
                </c:pt>
                <c:pt idx="3462">
                  <c:v>63573</c:v>
                </c:pt>
                <c:pt idx="3463">
                  <c:v>63580</c:v>
                </c:pt>
                <c:pt idx="3464">
                  <c:v>63587</c:v>
                </c:pt>
                <c:pt idx="3465">
                  <c:v>63594</c:v>
                </c:pt>
                <c:pt idx="3466">
                  <c:v>63601</c:v>
                </c:pt>
                <c:pt idx="3467">
                  <c:v>63608</c:v>
                </c:pt>
                <c:pt idx="3468">
                  <c:v>63615</c:v>
                </c:pt>
                <c:pt idx="3469">
                  <c:v>63622</c:v>
                </c:pt>
                <c:pt idx="3470">
                  <c:v>63629</c:v>
                </c:pt>
                <c:pt idx="3471">
                  <c:v>63636</c:v>
                </c:pt>
                <c:pt idx="3472">
                  <c:v>63643</c:v>
                </c:pt>
                <c:pt idx="3473">
                  <c:v>63650</c:v>
                </c:pt>
                <c:pt idx="3474">
                  <c:v>63661</c:v>
                </c:pt>
                <c:pt idx="3475">
                  <c:v>63664</c:v>
                </c:pt>
                <c:pt idx="3476">
                  <c:v>63671</c:v>
                </c:pt>
                <c:pt idx="3477">
                  <c:v>63678</c:v>
                </c:pt>
                <c:pt idx="3478">
                  <c:v>63685</c:v>
                </c:pt>
                <c:pt idx="3479">
                  <c:v>63692</c:v>
                </c:pt>
                <c:pt idx="3480">
                  <c:v>63699</c:v>
                </c:pt>
                <c:pt idx="3481">
                  <c:v>63706</c:v>
                </c:pt>
                <c:pt idx="3482">
                  <c:v>63713</c:v>
                </c:pt>
                <c:pt idx="3483">
                  <c:v>63720</c:v>
                </c:pt>
                <c:pt idx="3484">
                  <c:v>63727</c:v>
                </c:pt>
                <c:pt idx="3485">
                  <c:v>63734</c:v>
                </c:pt>
                <c:pt idx="3486">
                  <c:v>63741</c:v>
                </c:pt>
                <c:pt idx="3487">
                  <c:v>63748</c:v>
                </c:pt>
                <c:pt idx="3488">
                  <c:v>63755</c:v>
                </c:pt>
                <c:pt idx="3489">
                  <c:v>63762</c:v>
                </c:pt>
                <c:pt idx="3490">
                  <c:v>63769</c:v>
                </c:pt>
                <c:pt idx="3491">
                  <c:v>63776</c:v>
                </c:pt>
                <c:pt idx="3492">
                  <c:v>63783</c:v>
                </c:pt>
                <c:pt idx="3493">
                  <c:v>63790</c:v>
                </c:pt>
                <c:pt idx="3494">
                  <c:v>63797</c:v>
                </c:pt>
                <c:pt idx="3495">
                  <c:v>63804</c:v>
                </c:pt>
                <c:pt idx="3496">
                  <c:v>63811</c:v>
                </c:pt>
                <c:pt idx="3497">
                  <c:v>63818</c:v>
                </c:pt>
                <c:pt idx="3498">
                  <c:v>63825</c:v>
                </c:pt>
                <c:pt idx="3499">
                  <c:v>63832</c:v>
                </c:pt>
                <c:pt idx="3500">
                  <c:v>63839</c:v>
                </c:pt>
                <c:pt idx="3501">
                  <c:v>63846</c:v>
                </c:pt>
                <c:pt idx="3502">
                  <c:v>63853</c:v>
                </c:pt>
                <c:pt idx="3503">
                  <c:v>63860</c:v>
                </c:pt>
                <c:pt idx="3504">
                  <c:v>63867</c:v>
                </c:pt>
                <c:pt idx="3505">
                  <c:v>63874</c:v>
                </c:pt>
                <c:pt idx="3506">
                  <c:v>63881</c:v>
                </c:pt>
                <c:pt idx="3507">
                  <c:v>63888</c:v>
                </c:pt>
                <c:pt idx="3508">
                  <c:v>63895</c:v>
                </c:pt>
                <c:pt idx="3509">
                  <c:v>63902</c:v>
                </c:pt>
                <c:pt idx="3510">
                  <c:v>63909</c:v>
                </c:pt>
                <c:pt idx="3511">
                  <c:v>63919</c:v>
                </c:pt>
                <c:pt idx="3512">
                  <c:v>63926</c:v>
                </c:pt>
                <c:pt idx="3513">
                  <c:v>63933</c:v>
                </c:pt>
                <c:pt idx="3514">
                  <c:v>63940</c:v>
                </c:pt>
                <c:pt idx="3515">
                  <c:v>63947</c:v>
                </c:pt>
                <c:pt idx="3516">
                  <c:v>63954</c:v>
                </c:pt>
                <c:pt idx="3517">
                  <c:v>63961</c:v>
                </c:pt>
                <c:pt idx="3518">
                  <c:v>63968</c:v>
                </c:pt>
                <c:pt idx="3519">
                  <c:v>63975</c:v>
                </c:pt>
                <c:pt idx="3520">
                  <c:v>63982</c:v>
                </c:pt>
                <c:pt idx="3521">
                  <c:v>63989</c:v>
                </c:pt>
                <c:pt idx="3522">
                  <c:v>63996</c:v>
                </c:pt>
                <c:pt idx="3523">
                  <c:v>64003</c:v>
                </c:pt>
                <c:pt idx="3524">
                  <c:v>64010</c:v>
                </c:pt>
                <c:pt idx="3525">
                  <c:v>64019</c:v>
                </c:pt>
                <c:pt idx="3526">
                  <c:v>64024</c:v>
                </c:pt>
                <c:pt idx="3527">
                  <c:v>64031</c:v>
                </c:pt>
                <c:pt idx="3528">
                  <c:v>64038</c:v>
                </c:pt>
                <c:pt idx="3529">
                  <c:v>64046</c:v>
                </c:pt>
                <c:pt idx="3530">
                  <c:v>64052</c:v>
                </c:pt>
                <c:pt idx="3531">
                  <c:v>64059</c:v>
                </c:pt>
                <c:pt idx="3532">
                  <c:v>64067</c:v>
                </c:pt>
                <c:pt idx="3533">
                  <c:v>64073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-7.7430000000001022E-3</c:v>
                </c:pt>
                <c:pt idx="1">
                  <c:v>-7.8058867945438402E-3</c:v>
                </c:pt>
                <c:pt idx="2">
                  <c:v>-7.8191741334047698E-3</c:v>
                </c:pt>
                <c:pt idx="3">
                  <c:v>-7.8239814472417773E-3</c:v>
                </c:pt>
                <c:pt idx="4">
                  <c:v>-7.8231655794519274E-3</c:v>
                </c:pt>
                <c:pt idx="5">
                  <c:v>-7.8330034003603454E-3</c:v>
                </c:pt>
                <c:pt idx="6">
                  <c:v>-7.8289377765305024E-3</c:v>
                </c:pt>
                <c:pt idx="7">
                  <c:v>-7.8356340042176256E-3</c:v>
                </c:pt>
                <c:pt idx="8">
                  <c:v>-7.8439267178377695E-3</c:v>
                </c:pt>
                <c:pt idx="9">
                  <c:v>-7.8462176582382685E-3</c:v>
                </c:pt>
                <c:pt idx="10">
                  <c:v>-7.8905268020148713E-3</c:v>
                </c:pt>
                <c:pt idx="11">
                  <c:v>-7.9049002233554048E-3</c:v>
                </c:pt>
                <c:pt idx="12">
                  <c:v>-7.9201094442850409E-3</c:v>
                </c:pt>
                <c:pt idx="13">
                  <c:v>-7.9360276866323413E-3</c:v>
                </c:pt>
                <c:pt idx="14">
                  <c:v>-7.9674753730097272E-3</c:v>
                </c:pt>
                <c:pt idx="15">
                  <c:v>-8.0042553679865215E-3</c:v>
                </c:pt>
                <c:pt idx="16">
                  <c:v>-8.0218171084127567E-3</c:v>
                </c:pt>
                <c:pt idx="17">
                  <c:v>-8.0393272413732987E-3</c:v>
                </c:pt>
                <c:pt idx="18">
                  <c:v>-8.0566590030726002E-3</c:v>
                </c:pt>
                <c:pt idx="19">
                  <c:v>-8.086599260355579E-3</c:v>
                </c:pt>
                <c:pt idx="20">
                  <c:v>-8.1216671375880876E-3</c:v>
                </c:pt>
                <c:pt idx="21">
                  <c:v>-8.1362300015888744E-3</c:v>
                </c:pt>
                <c:pt idx="22">
                  <c:v>-8.1499999994395361E-3</c:v>
                </c:pt>
                <c:pt idx="23">
                  <c:v>-8.1629990162650889E-3</c:v>
                </c:pt>
                <c:pt idx="24">
                  <c:v>-8.1852627838497494E-3</c:v>
                </c:pt>
                <c:pt idx="25">
                  <c:v>-8.2079563113000801E-3</c:v>
                </c:pt>
                <c:pt idx="26">
                  <c:v>-8.217610176907867E-3</c:v>
                </c:pt>
                <c:pt idx="27">
                  <c:v>-8.2266995507736078E-3</c:v>
                </c:pt>
                <c:pt idx="28">
                  <c:v>-8.2352592775861762E-3</c:v>
                </c:pt>
                <c:pt idx="29">
                  <c:v>-8.250939270495472E-3</c:v>
                </c:pt>
                <c:pt idx="30">
                  <c:v>-8.2648985904493454E-3</c:v>
                </c:pt>
                <c:pt idx="31">
                  <c:v>-8.2713327352897416E-3</c:v>
                </c:pt>
                <c:pt idx="32">
                  <c:v>-8.2774462915566217E-3</c:v>
                </c:pt>
                <c:pt idx="33">
                  <c:v>-8.2832741010737641E-3</c:v>
                </c:pt>
                <c:pt idx="34">
                  <c:v>-8.2946141502478112E-3</c:v>
                </c:pt>
                <c:pt idx="35">
                  <c:v>-8.3044246989577332E-3</c:v>
                </c:pt>
                <c:pt idx="36">
                  <c:v>-8.3093463932042335E-3</c:v>
                </c:pt>
                <c:pt idx="37">
                  <c:v>-8.3141913865807295E-3</c:v>
                </c:pt>
                <c:pt idx="38">
                  <c:v>-8.3189945193709244E-3</c:v>
                </c:pt>
                <c:pt idx="39">
                  <c:v>-8.3279834882401902E-3</c:v>
                </c:pt>
                <c:pt idx="40">
                  <c:v>-8.3384852443257884E-3</c:v>
                </c:pt>
                <c:pt idx="41">
                  <c:v>-8.3436016723991788E-3</c:v>
                </c:pt>
                <c:pt idx="42">
                  <c:v>-8.3488852779166293E-3</c:v>
                </c:pt>
                <c:pt idx="43">
                  <c:v>-8.3543619079269917E-3</c:v>
                </c:pt>
                <c:pt idx="44">
                  <c:v>-8.3626723571715543E-3</c:v>
                </c:pt>
                <c:pt idx="45">
                  <c:v>-8.3779063362404947E-3</c:v>
                </c:pt>
                <c:pt idx="46">
                  <c:v>-8.3841063570772277E-3</c:v>
                </c:pt>
                <c:pt idx="47">
                  <c:v>-8.3903937184596263E-3</c:v>
                </c:pt>
                <c:pt idx="48">
                  <c:v>-8.3967493081050643E-3</c:v>
                </c:pt>
                <c:pt idx="49">
                  <c:v>-8.4041717028488765E-3</c:v>
                </c:pt>
                <c:pt idx="50">
                  <c:v>-8.4224717079529957E-3</c:v>
                </c:pt>
                <c:pt idx="51">
                  <c:v>-8.4288817589812277E-3</c:v>
                </c:pt>
                <c:pt idx="52">
                  <c:v>-8.4352453671742312E-3</c:v>
                </c:pt>
                <c:pt idx="53">
                  <c:v>-8.4415434211204208E-3</c:v>
                </c:pt>
                <c:pt idx="54">
                  <c:v>-8.4479885143417602E-3</c:v>
                </c:pt>
                <c:pt idx="55">
                  <c:v>-8.4656978703012229E-3</c:v>
                </c:pt>
                <c:pt idx="56">
                  <c:v>-8.4713814858846138E-3</c:v>
                </c:pt>
                <c:pt idx="57">
                  <c:v>-8.4768848811124092E-3</c:v>
                </c:pt>
                <c:pt idx="58">
                  <c:v>-8.4821889453050494E-3</c:v>
                </c:pt>
                <c:pt idx="59">
                  <c:v>-8.4852391660567607E-3</c:v>
                </c:pt>
                <c:pt idx="60">
                  <c:v>-8.5010296805561152E-3</c:v>
                </c:pt>
                <c:pt idx="61">
                  <c:v>-8.5050504316421041E-3</c:v>
                </c:pt>
                <c:pt idx="62">
                  <c:v>-8.5087571888063599E-3</c:v>
                </c:pt>
                <c:pt idx="63">
                  <c:v>-8.5121308416490991E-3</c:v>
                </c:pt>
                <c:pt idx="64">
                  <c:v>-8.5119765491315658E-3</c:v>
                </c:pt>
                <c:pt idx="65">
                  <c:v>-8.5219122008764591E-3</c:v>
                </c:pt>
                <c:pt idx="66">
                  <c:v>-8.5233394528356869E-3</c:v>
                </c:pt>
                <c:pt idx="67">
                  <c:v>-8.5243536044931224E-3</c:v>
                </c:pt>
                <c:pt idx="68">
                  <c:v>-8.5249702123135762E-3</c:v>
                </c:pt>
                <c:pt idx="69">
                  <c:v>-8.5213247118733331E-3</c:v>
                </c:pt>
                <c:pt idx="70">
                  <c:v>-8.523772330138386E-3</c:v>
                </c:pt>
                <c:pt idx="71">
                  <c:v>-8.5226345615725015E-3</c:v>
                </c:pt>
                <c:pt idx="72">
                  <c:v>-8.5211925856573077E-3</c:v>
                </c:pt>
                <c:pt idx="73">
                  <c:v>-8.5194619582224691E-3</c:v>
                </c:pt>
                <c:pt idx="74">
                  <c:v>-8.513309101183246E-3</c:v>
                </c:pt>
                <c:pt idx="75">
                  <c:v>-8.5091215451560277E-3</c:v>
                </c:pt>
                <c:pt idx="76">
                  <c:v>-8.5059793566075528E-3</c:v>
                </c:pt>
                <c:pt idx="77">
                  <c:v>-8.5026548384171414E-3</c:v>
                </c:pt>
                <c:pt idx="78">
                  <c:v>-8.4991637176892523E-3</c:v>
                </c:pt>
                <c:pt idx="79">
                  <c:v>-8.4878480118637106E-3</c:v>
                </c:pt>
                <c:pt idx="80">
                  <c:v>-8.4838477527915887E-3</c:v>
                </c:pt>
                <c:pt idx="81">
                  <c:v>-8.4797595273209056E-3</c:v>
                </c:pt>
                <c:pt idx="82">
                  <c:v>-8.4755990628398465E-3</c:v>
                </c:pt>
                <c:pt idx="83">
                  <c:v>-8.4713820867976398E-3</c:v>
                </c:pt>
                <c:pt idx="84">
                  <c:v>-8.458549364750885E-3</c:v>
                </c:pt>
                <c:pt idx="85">
                  <c:v>-8.4542636182512194E-3</c:v>
                </c:pt>
                <c:pt idx="86">
                  <c:v>-8.4499999984239162E-3</c:v>
                </c:pt>
                <c:pt idx="87">
                  <c:v>-8.4457740544401552E-3</c:v>
                </c:pt>
                <c:pt idx="88">
                  <c:v>-8.4415979995272929E-3</c:v>
                </c:pt>
                <c:pt idx="89">
                  <c:v>-8.4293741779086391E-3</c:v>
                </c:pt>
                <c:pt idx="90">
                  <c:v>-8.4253974453543934E-3</c:v>
                </c:pt>
                <c:pt idx="91">
                  <c:v>-8.4214678635836458E-3</c:v>
                </c:pt>
                <c:pt idx="92">
                  <c:v>-8.4175843606617666E-3</c:v>
                </c:pt>
                <c:pt idx="93">
                  <c:v>-8.4073296207666636E-3</c:v>
                </c:pt>
                <c:pt idx="94">
                  <c:v>-8.4009212854212877E-3</c:v>
                </c:pt>
                <c:pt idx="95">
                  <c:v>-8.3988205106657957E-3</c:v>
                </c:pt>
                <c:pt idx="96">
                  <c:v>-8.3936496531106485E-3</c:v>
                </c:pt>
                <c:pt idx="97">
                  <c:v>-8.3855036716247514E-3</c:v>
                </c:pt>
                <c:pt idx="98">
                  <c:v>-8.3835016312056379E-3</c:v>
                </c:pt>
                <c:pt idx="99">
                  <c:v>-8.3761113641864591E-3</c:v>
                </c:pt>
                <c:pt idx="100">
                  <c:v>-8.3727050739457187E-3</c:v>
                </c:pt>
                <c:pt idx="101">
                  <c:v>-8.3693300988037546E-3</c:v>
                </c:pt>
                <c:pt idx="102">
                  <c:v>-8.3659853784283072E-3</c:v>
                </c:pt>
                <c:pt idx="103">
                  <c:v>-8.3597400668499345E-3</c:v>
                </c:pt>
                <c:pt idx="104">
                  <c:v>-8.3528878378453415E-3</c:v>
                </c:pt>
                <c:pt idx="105">
                  <c:v>-8.3496784862017708E-3</c:v>
                </c:pt>
                <c:pt idx="106">
                  <c:v>-8.3464930272551512E-3</c:v>
                </c:pt>
                <c:pt idx="107">
                  <c:v>-8.3433304006454226E-3</c:v>
                </c:pt>
                <c:pt idx="108">
                  <c:v>-8.3372818338324044E-3</c:v>
                </c:pt>
                <c:pt idx="109">
                  <c:v>-8.3308870102569033E-3</c:v>
                </c:pt>
                <c:pt idx="110">
                  <c:v>-8.3278226398095113E-3</c:v>
                </c:pt>
                <c:pt idx="111">
                  <c:v>-8.3247747394647933E-3</c:v>
                </c:pt>
                <c:pt idx="112">
                  <c:v>-8.3217422488374888E-3</c:v>
                </c:pt>
                <c:pt idx="113">
                  <c:v>-8.3157709846075657E-3</c:v>
                </c:pt>
                <c:pt idx="114">
                  <c:v>-8.3097451756751917E-3</c:v>
                </c:pt>
                <c:pt idx="115">
                  <c:v>-8.3067738277361903E-3</c:v>
                </c:pt>
                <c:pt idx="116">
                  <c:v>-8.3038115271313762E-3</c:v>
                </c:pt>
                <c:pt idx="117">
                  <c:v>-8.3008572134537703E-3</c:v>
                </c:pt>
                <c:pt idx="118">
                  <c:v>-8.2994235078338204E-3</c:v>
                </c:pt>
                <c:pt idx="119">
                  <c:v>-8.2890986197137681E-3</c:v>
                </c:pt>
                <c:pt idx="120">
                  <c:v>-8.2861683344206596E-3</c:v>
                </c:pt>
                <c:pt idx="121">
                  <c:v>-8.2832396735333796E-3</c:v>
                </c:pt>
                <c:pt idx="122">
                  <c:v>-8.2803115766210533E-3</c:v>
                </c:pt>
                <c:pt idx="123">
                  <c:v>-8.274167603424077E-3</c:v>
                </c:pt>
                <c:pt idx="124">
                  <c:v>-8.268583619979562E-3</c:v>
                </c:pt>
                <c:pt idx="125">
                  <c:v>-8.2656424363581268E-3</c:v>
                </c:pt>
                <c:pt idx="126">
                  <c:v>-8.2626954540581977E-3</c:v>
                </c:pt>
                <c:pt idx="127">
                  <c:v>-8.2597416126241399E-3</c:v>
                </c:pt>
                <c:pt idx="128">
                  <c:v>-8.2533631342626163E-3</c:v>
                </c:pt>
                <c:pt idx="129">
                  <c:v>-8.2478364463643653E-3</c:v>
                </c:pt>
                <c:pt idx="130">
                  <c:v>-8.2448324023425678E-3</c:v>
                </c:pt>
                <c:pt idx="131">
                  <c:v>-8.2418151363972125E-3</c:v>
                </c:pt>
                <c:pt idx="132">
                  <c:v>-8.2387835880509443E-3</c:v>
                </c:pt>
                <c:pt idx="133">
                  <c:v>-8.2320821749283062E-3</c:v>
                </c:pt>
                <c:pt idx="134">
                  <c:v>-8.2264933609966159E-3</c:v>
                </c:pt>
                <c:pt idx="135">
                  <c:v>-8.2233744933702807E-3</c:v>
                </c:pt>
                <c:pt idx="136">
                  <c:v>-8.2202349804076352E-3</c:v>
                </c:pt>
                <c:pt idx="137">
                  <c:v>-8.2170737616078619E-3</c:v>
                </c:pt>
                <c:pt idx="138">
                  <c:v>-8.2099687370806376E-3</c:v>
                </c:pt>
                <c:pt idx="139">
                  <c:v>-8.2061900820505924E-3</c:v>
                </c:pt>
                <c:pt idx="140">
                  <c:v>-8.2029249396501809E-3</c:v>
                </c:pt>
                <c:pt idx="141">
                  <c:v>-8.1996319025618922E-3</c:v>
                </c:pt>
                <c:pt idx="142">
                  <c:v>-8.1963098985801033E-3</c:v>
                </c:pt>
                <c:pt idx="143">
                  <c:v>-8.1929578554952431E-3</c:v>
                </c:pt>
                <c:pt idx="144">
                  <c:v>-8.182710769462356E-3</c:v>
                </c:pt>
                <c:pt idx="145">
                  <c:v>-8.1792278477820606E-3</c:v>
                </c:pt>
                <c:pt idx="146">
                  <c:v>-8.175709525885819E-3</c:v>
                </c:pt>
                <c:pt idx="147">
                  <c:v>-8.1721547315333157E-3</c:v>
                </c:pt>
                <c:pt idx="148">
                  <c:v>-8.1685623924859854E-3</c:v>
                </c:pt>
                <c:pt idx="149">
                  <c:v>-8.1575493846796215E-3</c:v>
                </c:pt>
                <c:pt idx="150">
                  <c:v>-8.153796144332974E-3</c:v>
                </c:pt>
                <c:pt idx="151">
                  <c:v>-8.1499999980055807E-3</c:v>
                </c:pt>
                <c:pt idx="152">
                  <c:v>-8.14616009609705E-3</c:v>
                </c:pt>
                <c:pt idx="153">
                  <c:v>-8.1422764796874898E-3</c:v>
                </c:pt>
                <c:pt idx="154">
                  <c:v>-8.1303659809551527E-3</c:v>
                </c:pt>
                <c:pt idx="155">
                  <c:v>-8.1263101440439967E-3</c:v>
                </c:pt>
                <c:pt idx="156">
                  <c:v>-8.1222119113821944E-3</c:v>
                </c:pt>
                <c:pt idx="157">
                  <c:v>-8.1180715467200869E-3</c:v>
                </c:pt>
                <c:pt idx="158">
                  <c:v>-8.0967469745939508E-3</c:v>
                </c:pt>
                <c:pt idx="159">
                  <c:v>-8.0923593566458642E-3</c:v>
                </c:pt>
                <c:pt idx="160">
                  <c:v>-8.0879314529353607E-3</c:v>
                </c:pt>
                <c:pt idx="161">
                  <c:v>-8.0698222554311666E-3</c:v>
                </c:pt>
                <c:pt idx="162">
                  <c:v>-8.0651968791298559E-3</c:v>
                </c:pt>
                <c:pt idx="163">
                  <c:v>-8.0605327995554293E-3</c:v>
                </c:pt>
                <c:pt idx="164">
                  <c:v>-8.0558302804551573E-3</c:v>
                </c:pt>
                <c:pt idx="165">
                  <c:v>-8.0510895855776185E-3</c:v>
                </c:pt>
                <c:pt idx="166">
                  <c:v>-8.0366410837685708E-3</c:v>
                </c:pt>
                <c:pt idx="167">
                  <c:v>-8.0317503232691257E-3</c:v>
                </c:pt>
                <c:pt idx="168">
                  <c:v>-8.0268227057379692E-3</c:v>
                </c:pt>
                <c:pt idx="169">
                  <c:v>-8.0218584949241223E-3</c:v>
                </c:pt>
                <c:pt idx="170">
                  <c:v>-8.016857954577487E-3</c:v>
                </c:pt>
                <c:pt idx="171">
                  <c:v>-8.0016409938451286E-3</c:v>
                </c:pt>
                <c:pt idx="172">
                  <c:v>-7.9964977728738153E-3</c:v>
                </c:pt>
                <c:pt idx="173">
                  <c:v>-7.9913195411253687E-3</c:v>
                </c:pt>
                <c:pt idx="174">
                  <c:v>-7.9861065623527613E-3</c:v>
                </c:pt>
                <c:pt idx="175">
                  <c:v>-7.9808591003072138E-3</c:v>
                </c:pt>
                <c:pt idx="176">
                  <c:v>-7.9649124520732272E-3</c:v>
                </c:pt>
                <c:pt idx="177">
                  <c:v>-7.9595296944766532E-3</c:v>
                </c:pt>
                <c:pt idx="178">
                  <c:v>-7.9541137723803616E-3</c:v>
                </c:pt>
                <c:pt idx="179">
                  <c:v>-7.9486649495399634E-3</c:v>
                </c:pt>
                <c:pt idx="180">
                  <c:v>-7.943183489711507E-3</c:v>
                </c:pt>
                <c:pt idx="181">
                  <c:v>-7.92342014655824E-3</c:v>
                </c:pt>
                <c:pt idx="182">
                  <c:v>-7.9209365556824722E-3</c:v>
                </c:pt>
                <c:pt idx="183">
                  <c:v>-7.918439366729757E-3</c:v>
                </c:pt>
                <c:pt idx="184">
                  <c:v>-7.9127800102027912E-3</c:v>
                </c:pt>
                <c:pt idx="185">
                  <c:v>-7.90392159097408E-3</c:v>
                </c:pt>
                <c:pt idx="186">
                  <c:v>-7.8866318840964521E-3</c:v>
                </c:pt>
                <c:pt idx="187">
                  <c:v>-7.8840248903060406E-3</c:v>
                </c:pt>
                <c:pt idx="188">
                  <c:v>-7.8781840657979885E-3</c:v>
                </c:pt>
                <c:pt idx="189">
                  <c:v>-7.8723139300920231E-3</c:v>
                </c:pt>
                <c:pt idx="190">
                  <c:v>-7.866414749893913E-3</c:v>
                </c:pt>
                <c:pt idx="191">
                  <c:v>-7.8419691823605753E-3</c:v>
                </c:pt>
                <c:pt idx="192">
                  <c:v>-7.8392369749659616E-3</c:v>
                </c:pt>
                <c:pt idx="193">
                  <c:v>-7.8364925163469934E-3</c:v>
                </c:pt>
                <c:pt idx="194">
                  <c:v>-7.8304246701010882E-3</c:v>
                </c:pt>
                <c:pt idx="195">
                  <c:v>-7.8243296463385015E-3</c:v>
                </c:pt>
                <c:pt idx="196">
                  <c:v>-7.802523138264187E-3</c:v>
                </c:pt>
                <c:pt idx="197">
                  <c:v>-7.7996831104454323E-3</c:v>
                </c:pt>
                <c:pt idx="198">
                  <c:v>-7.7934561998489471E-3</c:v>
                </c:pt>
                <c:pt idx="199">
                  <c:v>-7.7872037120432225E-3</c:v>
                </c:pt>
                <c:pt idx="200">
                  <c:v>-7.7809259137486819E-3</c:v>
                </c:pt>
                <c:pt idx="201">
                  <c:v>-7.7550688859813303E-3</c:v>
                </c:pt>
                <c:pt idx="202">
                  <c:v>-7.748672116923404E-3</c:v>
                </c:pt>
                <c:pt idx="203">
                  <c:v>-7.7422514587130817E-3</c:v>
                </c:pt>
                <c:pt idx="204">
                  <c:v>-7.735807172264699E-3</c:v>
                </c:pt>
                <c:pt idx="205">
                  <c:v>-7.7223578890187336E-3</c:v>
                </c:pt>
                <c:pt idx="206">
                  <c:v>-7.7097989624323928E-3</c:v>
                </c:pt>
                <c:pt idx="207">
                  <c:v>-7.7032404485621398E-3</c:v>
                </c:pt>
                <c:pt idx="208">
                  <c:v>-7.696659871970238E-3</c:v>
                </c:pt>
                <c:pt idx="209">
                  <c:v>-7.6900574935818804E-3</c:v>
                </c:pt>
                <c:pt idx="210">
                  <c:v>-7.6763126077649289E-3</c:v>
                </c:pt>
                <c:pt idx="211">
                  <c:v>-7.6634351805882081E-3</c:v>
                </c:pt>
                <c:pt idx="212">
                  <c:v>-7.6567277071259024E-3</c:v>
                </c:pt>
                <c:pt idx="213">
                  <c:v>-7.6499999974417691E-3</c:v>
                </c:pt>
                <c:pt idx="214">
                  <c:v>-7.6432523298040848E-3</c:v>
                </c:pt>
                <c:pt idx="215">
                  <c:v>-7.6292294676123008E-3</c:v>
                </c:pt>
                <c:pt idx="216">
                  <c:v>-7.6160692052910147E-3</c:v>
                </c:pt>
                <c:pt idx="217">
                  <c:v>-7.6092271354212121E-3</c:v>
                </c:pt>
                <c:pt idx="218">
                  <c:v>-7.6023672799614521E-3</c:v>
                </c:pt>
                <c:pt idx="219">
                  <c:v>-7.5954900038697985E-3</c:v>
                </c:pt>
                <c:pt idx="220">
                  <c:v>-7.5608550876217553E-3</c:v>
                </c:pt>
                <c:pt idx="221">
                  <c:v>-7.5538809519840652E-3</c:v>
                </c:pt>
                <c:pt idx="222">
                  <c:v>-7.5506030465898582E-3</c:v>
                </c:pt>
                <c:pt idx="223">
                  <c:v>-7.5436043320057222E-3</c:v>
                </c:pt>
                <c:pt idx="224">
                  <c:v>-7.5225230187163971E-3</c:v>
                </c:pt>
                <c:pt idx="225">
                  <c:v>-7.5154687544496052E-3</c:v>
                </c:pt>
                <c:pt idx="226">
                  <c:v>-7.5084015252736671E-3</c:v>
                </c:pt>
                <c:pt idx="227">
                  <c:v>-7.5013217002002173E-3</c:v>
                </c:pt>
                <c:pt idx="228">
                  <c:v>-7.4942296482408896E-3</c:v>
                </c:pt>
                <c:pt idx="229">
                  <c:v>-7.4728838212105445E-3</c:v>
                </c:pt>
                <c:pt idx="230">
                  <c:v>-7.4657465518842229E-3</c:v>
                </c:pt>
                <c:pt idx="231">
                  <c:v>-7.4585989007719218E-3</c:v>
                </c:pt>
                <c:pt idx="232">
                  <c:v>-7.4514412369032822E-3</c:v>
                </c:pt>
                <c:pt idx="233">
                  <c:v>-7.4442739293088247E-3</c:v>
                </c:pt>
                <c:pt idx="234">
                  <c:v>-7.4227178345104465E-3</c:v>
                </c:pt>
                <c:pt idx="235">
                  <c:v>-7.415515642366235E-3</c:v>
                </c:pt>
                <c:pt idx="236">
                  <c:v>-7.4083056516883366E-3</c:v>
                </c:pt>
                <c:pt idx="237">
                  <c:v>-7.4010882315217645E-3</c:v>
                </c:pt>
                <c:pt idx="238">
                  <c:v>-7.3938637509150485E-3</c:v>
                </c:pt>
                <c:pt idx="239">
                  <c:v>-7.3721516369893826E-3</c:v>
                </c:pt>
                <c:pt idx="240">
                  <c:v>-7.3649026051679795E-3</c:v>
                </c:pt>
                <c:pt idx="241">
                  <c:v>-7.3576483581916747E-3</c:v>
                </c:pt>
                <c:pt idx="242">
                  <c:v>-7.3503892651261248E-3</c:v>
                </c:pt>
                <c:pt idx="243">
                  <c:v>-7.3431256950378674E-3</c:v>
                </c:pt>
                <c:pt idx="244">
                  <c:v>-7.3103040585907556E-3</c:v>
                </c:pt>
                <c:pt idx="245">
                  <c:v>-7.3030267956849968E-3</c:v>
                </c:pt>
                <c:pt idx="246">
                  <c:v>-7.2810375093616429E-3</c:v>
                </c:pt>
                <c:pt idx="247">
                  <c:v>-7.2810375093616429E-3</c:v>
                </c:pt>
                <c:pt idx="248">
                  <c:v>-7.266616430441305E-3</c:v>
                </c:pt>
                <c:pt idx="249">
                  <c:v>-7.2593321027672108E-3</c:v>
                </c:pt>
                <c:pt idx="250">
                  <c:v>-7.252047875402008E-3</c:v>
                </c:pt>
                <c:pt idx="251">
                  <c:v>-7.2447641134332228E-3</c:v>
                </c:pt>
                <c:pt idx="252">
                  <c:v>-7.2301112978861394E-3</c:v>
                </c:pt>
                <c:pt idx="253">
                  <c:v>-7.208365062670188E-3</c:v>
                </c:pt>
                <c:pt idx="254">
                  <c:v>-7.208365062670188E-3</c:v>
                </c:pt>
                <c:pt idx="255">
                  <c:v>-7.2010917600035217E-3</c:v>
                </c:pt>
                <c:pt idx="256">
                  <c:v>-7.1938214784011247E-3</c:v>
                </c:pt>
                <c:pt idx="257">
                  <c:v>-7.1792565955938921E-3</c:v>
                </c:pt>
                <c:pt idx="258">
                  <c:v>-7.1647778648130803E-3</c:v>
                </c:pt>
                <c:pt idx="259">
                  <c:v>-7.1575281651868067E-3</c:v>
                </c:pt>
                <c:pt idx="260">
                  <c:v>-7.150283677305482E-3</c:v>
                </c:pt>
                <c:pt idx="261">
                  <c:v>-7.1430447662926885E-3</c:v>
                </c:pt>
                <c:pt idx="262">
                  <c:v>-7.1249949010392501E-3</c:v>
                </c:pt>
                <c:pt idx="263">
                  <c:v>-7.1069466437194122E-3</c:v>
                </c:pt>
                <c:pt idx="264">
                  <c:v>-7.0997488616381839E-3</c:v>
                </c:pt>
                <c:pt idx="265">
                  <c:v>-7.0925592123583445E-3</c:v>
                </c:pt>
                <c:pt idx="266">
                  <c:v>-7.0782519698336334E-3</c:v>
                </c:pt>
                <c:pt idx="267">
                  <c:v>-7.0638892461741872E-3</c:v>
                </c:pt>
                <c:pt idx="268">
                  <c:v>-7.0567457381156265E-3</c:v>
                </c:pt>
                <c:pt idx="269">
                  <c:v>-7.0496125537611318E-3</c:v>
                </c:pt>
                <c:pt idx="270">
                  <c:v>-7.0424900582720809E-3</c:v>
                </c:pt>
                <c:pt idx="271">
                  <c:v>-7.0283471881074228E-3</c:v>
                </c:pt>
                <c:pt idx="272">
                  <c:v>-7.0141142682483117E-3</c:v>
                </c:pt>
                <c:pt idx="273">
                  <c:v>-7.0070506945693013E-3</c:v>
                </c:pt>
                <c:pt idx="274">
                  <c:v>-7.0000000007670211E-3</c:v>
                </c:pt>
                <c:pt idx="275">
                  <c:v>-6.9929625218513175E-3</c:v>
                </c:pt>
                <c:pt idx="276">
                  <c:v>-6.9790022497422432E-3</c:v>
                </c:pt>
                <c:pt idx="277">
                  <c:v>-6.964944845781691E-3</c:v>
                </c:pt>
                <c:pt idx="278">
                  <c:v>-6.9579726428488668E-3</c:v>
                </c:pt>
                <c:pt idx="279">
                  <c:v>-6.951012964477866E-3</c:v>
                </c:pt>
                <c:pt idx="280">
                  <c:v>-6.9440656297321164E-3</c:v>
                </c:pt>
                <c:pt idx="281">
                  <c:v>-6.9302757989909529E-3</c:v>
                </c:pt>
                <c:pt idx="282">
                  <c:v>-6.9163961081855274E-3</c:v>
                </c:pt>
                <c:pt idx="283">
                  <c:v>-6.909507777445807E-3</c:v>
                </c:pt>
                <c:pt idx="284">
                  <c:v>-6.9026307046723854E-3</c:v>
                </c:pt>
                <c:pt idx="285">
                  <c:v>-6.8957647089186993E-3</c:v>
                </c:pt>
                <c:pt idx="286">
                  <c:v>-6.8821207584052304E-3</c:v>
                </c:pt>
                <c:pt idx="287">
                  <c:v>-6.8684078771040439E-3</c:v>
                </c:pt>
                <c:pt idx="288">
                  <c:v>-6.8615945521884837E-3</c:v>
                </c:pt>
                <c:pt idx="289">
                  <c:v>-6.8547912185780982E-3</c:v>
                </c:pt>
                <c:pt idx="290">
                  <c:v>-6.8479976953145956E-3</c:v>
                </c:pt>
                <c:pt idx="291">
                  <c:v>-6.8344763864570971E-3</c:v>
                </c:pt>
                <c:pt idx="292">
                  <c:v>-6.8209180865579271E-3</c:v>
                </c:pt>
                <c:pt idx="293">
                  <c:v>-6.814170900632739E-3</c:v>
                </c:pt>
                <c:pt idx="294">
                  <c:v>-6.8074324392864358E-3</c:v>
                </c:pt>
                <c:pt idx="295">
                  <c:v>-6.8007025215494309E-3</c:v>
                </c:pt>
                <c:pt idx="296">
                  <c:v>-6.7872819383692599E-3</c:v>
                </c:pt>
                <c:pt idx="297">
                  <c:v>-6.7738646673404478E-3</c:v>
                </c:pt>
                <c:pt idx="298">
                  <c:v>-6.7671747531191607E-3</c:v>
                </c:pt>
                <c:pt idx="299">
                  <c:v>-6.7604922966822637E-3</c:v>
                </c:pt>
                <c:pt idx="300">
                  <c:v>-6.7538171170549556E-3</c:v>
                </c:pt>
                <c:pt idx="301">
                  <c:v>-6.7404766661861163E-3</c:v>
                </c:pt>
                <c:pt idx="302">
                  <c:v>-6.7271855470939172E-3</c:v>
                </c:pt>
                <c:pt idx="303">
                  <c:v>-6.7205440368412889E-3</c:v>
                </c:pt>
                <c:pt idx="304">
                  <c:v>-6.7139087175190374E-3</c:v>
                </c:pt>
                <c:pt idx="305">
                  <c:v>-6.707279408142806E-3</c:v>
                </c:pt>
                <c:pt idx="306">
                  <c:v>-6.6939998188464645E-3</c:v>
                </c:pt>
                <c:pt idx="307">
                  <c:v>-6.6742166759172971E-3</c:v>
                </c:pt>
                <c:pt idx="308">
                  <c:v>-6.6742166759172971E-3</c:v>
                </c:pt>
                <c:pt idx="309">
                  <c:v>-6.6676196254774568E-3</c:v>
                </c:pt>
                <c:pt idx="310">
                  <c:v>-6.6610273180601129E-3</c:v>
                </c:pt>
                <c:pt idx="311">
                  <c:v>-6.6477906422392E-3</c:v>
                </c:pt>
                <c:pt idx="312">
                  <c:v>-6.6347018986909088E-3</c:v>
                </c:pt>
                <c:pt idx="313">
                  <c:v>-6.6281305914373465E-3</c:v>
                </c:pt>
                <c:pt idx="314">
                  <c:v>-6.6215629412210665E-3</c:v>
                </c:pt>
                <c:pt idx="315">
                  <c:v>-6.6149987670398981E-3</c:v>
                </c:pt>
                <c:pt idx="316">
                  <c:v>-6.6017883792471128E-3</c:v>
                </c:pt>
                <c:pt idx="317">
                  <c:v>-6.588773210584719E-3</c:v>
                </c:pt>
                <c:pt idx="318">
                  <c:v>-6.5822237015083331E-3</c:v>
                </c:pt>
                <c:pt idx="319">
                  <c:v>-6.5756765824318848E-3</c:v>
                </c:pt>
                <c:pt idx="320">
                  <c:v>-6.5691316723427776E-3</c:v>
                </c:pt>
                <c:pt idx="321">
                  <c:v>-6.5559322697881315E-3</c:v>
                </c:pt>
                <c:pt idx="322">
                  <c:v>-6.5429705016286843E-3</c:v>
                </c:pt>
                <c:pt idx="323">
                  <c:v>-6.5364339212860348E-3</c:v>
                </c:pt>
                <c:pt idx="324">
                  <c:v>-6.5298984638468942E-3</c:v>
                </c:pt>
                <c:pt idx="325">
                  <c:v>-6.5233639482895431E-3</c:v>
                </c:pt>
                <c:pt idx="326">
                  <c:v>-6.5101615508433852E-3</c:v>
                </c:pt>
                <c:pt idx="327">
                  <c:v>-6.4906991630020458E-3</c:v>
                </c:pt>
                <c:pt idx="328">
                  <c:v>-6.4875050411873107E-3</c:v>
                </c:pt>
                <c:pt idx="329">
                  <c:v>-6.4809732435913252E-3</c:v>
                </c:pt>
                <c:pt idx="330">
                  <c:v>-6.474440967650064E-3</c:v>
                </c:pt>
                <c:pt idx="331">
                  <c:v>-6.4548394395241545E-3</c:v>
                </c:pt>
                <c:pt idx="332">
                  <c:v>-6.4483034199678052E-3</c:v>
                </c:pt>
                <c:pt idx="333">
                  <c:v>-6.441766006944136E-3</c:v>
                </c:pt>
                <c:pt idx="334">
                  <c:v>-6.4352270174237317E-3</c:v>
                </c:pt>
                <c:pt idx="335">
                  <c:v>-6.428686268379372E-3</c:v>
                </c:pt>
                <c:pt idx="336">
                  <c:v>-6.4090516337860061E-3</c:v>
                </c:pt>
                <c:pt idx="337">
                  <c:v>-6.4025020163261939E-3</c:v>
                </c:pt>
                <c:pt idx="338">
                  <c:v>-6.3959497241760227E-3</c:v>
                </c:pt>
                <c:pt idx="339">
                  <c:v>-6.3893945743003664E-3</c:v>
                </c:pt>
                <c:pt idx="340">
                  <c:v>-6.3828364141654157E-3</c:v>
                </c:pt>
                <c:pt idx="341">
                  <c:v>-6.3631436890286847E-3</c:v>
                </c:pt>
                <c:pt idx="342">
                  <c:v>-6.3565733656887847E-3</c:v>
                </c:pt>
                <c:pt idx="343">
                  <c:v>-6.3500000015096567E-3</c:v>
                </c:pt>
                <c:pt idx="344">
                  <c:v>-6.3434235387102673E-3</c:v>
                </c:pt>
                <c:pt idx="345">
                  <c:v>-6.3368436884416708E-3</c:v>
                </c:pt>
                <c:pt idx="346">
                  <c:v>-6.3103194380146575E-3</c:v>
                </c:pt>
                <c:pt idx="347">
                  <c:v>-6.3071010314615398E-3</c:v>
                </c:pt>
                <c:pt idx="348">
                  <c:v>-6.3038814933939376E-3</c:v>
                </c:pt>
                <c:pt idx="349">
                  <c:v>-6.2972740392769041E-3</c:v>
                </c:pt>
                <c:pt idx="350">
                  <c:v>-6.2906607713238642E-3</c:v>
                </c:pt>
                <c:pt idx="351">
                  <c:v>-6.2673731479190795E-3</c:v>
                </c:pt>
                <c:pt idx="352">
                  <c:v>-6.2607275909526182E-3</c:v>
                </c:pt>
                <c:pt idx="353">
                  <c:v>-6.2540741930856188E-3</c:v>
                </c:pt>
                <c:pt idx="354">
                  <c:v>-6.2474126114440923E-3</c:v>
                </c:pt>
                <c:pt idx="355">
                  <c:v>-6.2338582108688277E-3</c:v>
                </c:pt>
                <c:pt idx="356">
                  <c:v>-6.2206775895842668E-3</c:v>
                </c:pt>
                <c:pt idx="357">
                  <c:v>-6.2139699458833558E-3</c:v>
                </c:pt>
                <c:pt idx="358">
                  <c:v>-6.2072520611161884E-3</c:v>
                </c:pt>
                <c:pt idx="359">
                  <c:v>-6.2005235923896611E-3</c:v>
                </c:pt>
                <c:pt idx="360">
                  <c:v>-6.1867900730096497E-3</c:v>
                </c:pt>
                <c:pt idx="361">
                  <c:v>-6.1734970200069805E-3</c:v>
                </c:pt>
                <c:pt idx="362">
                  <c:v>-6.1667104880449288E-3</c:v>
                </c:pt>
                <c:pt idx="363">
                  <c:v>-6.1599113147275232E-3</c:v>
                </c:pt>
                <c:pt idx="364">
                  <c:v>-6.1530991571494944E-3</c:v>
                </c:pt>
                <c:pt idx="365">
                  <c:v>-6.1391454153547388E-3</c:v>
                </c:pt>
                <c:pt idx="366">
                  <c:v>-6.1257138259641492E-3</c:v>
                </c:pt>
                <c:pt idx="367">
                  <c:v>-6.1188316033649439E-3</c:v>
                </c:pt>
                <c:pt idx="368">
                  <c:v>-6.1119343390026865E-3</c:v>
                </c:pt>
                <c:pt idx="369">
                  <c:v>-6.1050216899503854E-3</c:v>
                </c:pt>
                <c:pt idx="370">
                  <c:v>-6.0908091256107813E-3</c:v>
                </c:pt>
                <c:pt idx="371">
                  <c:v>-6.0772103882331483E-3</c:v>
                </c:pt>
                <c:pt idx="372">
                  <c:v>-6.0702156717510388E-3</c:v>
                </c:pt>
                <c:pt idx="373">
                  <c:v>-6.0632035129687166E-3</c:v>
                </c:pt>
                <c:pt idx="374">
                  <c:v>-6.0561735689405091E-3</c:v>
                </c:pt>
                <c:pt idx="375">
                  <c:v>-6.0416660853259835E-3</c:v>
                </c:pt>
                <c:pt idx="376">
                  <c:v>-6.0278690813937059E-3</c:v>
                </c:pt>
                <c:pt idx="377">
                  <c:v>-6.0207450668780119E-3</c:v>
                </c:pt>
                <c:pt idx="378">
                  <c:v>-6.0136012093933112E-3</c:v>
                </c:pt>
                <c:pt idx="379">
                  <c:v>-6.0064371659739471E-3</c:v>
                </c:pt>
                <c:pt idx="380">
                  <c:v>-5.9916011696677001E-3</c:v>
                </c:pt>
                <c:pt idx="381">
                  <c:v>-5.9775722735941703E-3</c:v>
                </c:pt>
                <c:pt idx="382">
                  <c:v>-5.9703021559523572E-3</c:v>
                </c:pt>
                <c:pt idx="383">
                  <c:v>-5.9630097945367654E-3</c:v>
                </c:pt>
                <c:pt idx="384">
                  <c:v>-5.9556948463604497E-3</c:v>
                </c:pt>
                <c:pt idx="385">
                  <c:v>-5.9404992471605153E-3</c:v>
                </c:pt>
                <c:pt idx="386">
                  <c:v>-5.9262023262765173E-3</c:v>
                </c:pt>
                <c:pt idx="387">
                  <c:v>-5.9187692994381366E-3</c:v>
                </c:pt>
                <c:pt idx="388">
                  <c:v>-5.9113116278747997E-3</c:v>
                </c:pt>
                <c:pt idx="389">
                  <c:v>-5.9038289685795792E-3</c:v>
                </c:pt>
                <c:pt idx="390">
                  <c:v>-5.88824517939158E-3</c:v>
                </c:pt>
                <c:pt idx="391">
                  <c:v>-5.873641593878323E-3</c:v>
                </c:pt>
                <c:pt idx="392">
                  <c:v>-5.8701143399601183E-3</c:v>
                </c:pt>
                <c:pt idx="393">
                  <c:v>-5.8665813721381355E-3</c:v>
                </c:pt>
                <c:pt idx="394">
                  <c:v>-5.8589469341363554E-3</c:v>
                </c:pt>
                <c:pt idx="395">
                  <c:v>-5.8512849162490888E-3</c:v>
                </c:pt>
                <c:pt idx="396">
                  <c:v>-5.823956819011435E-3</c:v>
                </c:pt>
                <c:pt idx="397">
                  <c:v>-5.8203540326293712E-3</c:v>
                </c:pt>
                <c:pt idx="398">
                  <c:v>-5.8125488553724125E-3</c:v>
                </c:pt>
                <c:pt idx="399">
                  <c:v>-5.8047139942294379E-3</c:v>
                </c:pt>
                <c:pt idx="400">
                  <c:v>-5.7968490985205179E-3</c:v>
                </c:pt>
                <c:pt idx="401">
                  <c:v>-5.7687796171801298E-3</c:v>
                </c:pt>
                <c:pt idx="402">
                  <c:v>-5.7650821563397514E-3</c:v>
                </c:pt>
                <c:pt idx="403">
                  <c:v>-5.7570618275040175E-3</c:v>
                </c:pt>
                <c:pt idx="404">
                  <c:v>-5.749009359958368E-3</c:v>
                </c:pt>
                <c:pt idx="405">
                  <c:v>-5.7409244029988926E-3</c:v>
                </c:pt>
                <c:pt idx="406">
                  <c:v>-5.7120602986670006E-3</c:v>
                </c:pt>
                <c:pt idx="407">
                  <c:v>-5.7082526668290612E-3</c:v>
                </c:pt>
                <c:pt idx="408">
                  <c:v>-5.700000002123673E-3</c:v>
                </c:pt>
                <c:pt idx="409">
                  <c:v>-5.6917130086504564E-3</c:v>
                </c:pt>
                <c:pt idx="410">
                  <c:v>-5.6833926603991891E-3</c:v>
                </c:pt>
                <c:pt idx="411">
                  <c:v>-5.6413339607361834E-3</c:v>
                </c:pt>
                <c:pt idx="412">
                  <c:v>-5.6328395019105137E-3</c:v>
                </c:pt>
                <c:pt idx="413">
                  <c:v>-5.6197744535719726E-3</c:v>
                </c:pt>
                <c:pt idx="414">
                  <c:v>-5.5900217583104705E-3</c:v>
                </c:pt>
                <c:pt idx="415">
                  <c:v>-5.5813977929068948E-3</c:v>
                </c:pt>
                <c:pt idx="416">
                  <c:v>-5.5727565797267786E-3</c:v>
                </c:pt>
                <c:pt idx="417">
                  <c:v>-5.5640993578438547E-3</c:v>
                </c:pt>
                <c:pt idx="418">
                  <c:v>-5.5334902693884892E-3</c:v>
                </c:pt>
                <c:pt idx="419">
                  <c:v>-5.5293351650713696E-3</c:v>
                </c:pt>
                <c:pt idx="420">
                  <c:v>-5.5206164861139051E-3</c:v>
                </c:pt>
                <c:pt idx="421">
                  <c:v>-5.5118892331043057E-3</c:v>
                </c:pt>
                <c:pt idx="422">
                  <c:v>-5.5031546451904667E-3</c:v>
                </c:pt>
                <c:pt idx="423">
                  <c:v>-5.4679302623193166E-3</c:v>
                </c:pt>
                <c:pt idx="424">
                  <c:v>-5.4636779465230059E-3</c:v>
                </c:pt>
                <c:pt idx="425">
                  <c:v>-5.4594150529378993E-3</c:v>
                </c:pt>
                <c:pt idx="426">
                  <c:v>-5.4506624782781898E-3</c:v>
                </c:pt>
                <c:pt idx="427">
                  <c:v>-5.4419112430408312E-3</c:v>
                </c:pt>
                <c:pt idx="428">
                  <c:v>-5.4112725775933672E-3</c:v>
                </c:pt>
                <c:pt idx="429">
                  <c:v>-5.4069444811526424E-3</c:v>
                </c:pt>
                <c:pt idx="430">
                  <c:v>-5.3982185317469344E-3</c:v>
                </c:pt>
                <c:pt idx="431">
                  <c:v>-5.3895013573250772E-3</c:v>
                </c:pt>
                <c:pt idx="432">
                  <c:v>-5.3807941971859563E-3</c:v>
                </c:pt>
                <c:pt idx="433">
                  <c:v>-5.3633468322104227E-3</c:v>
                </c:pt>
                <c:pt idx="434">
                  <c:v>-5.3589580494759021E-3</c:v>
                </c:pt>
                <c:pt idx="435">
                  <c:v>-5.3374519869100467E-3</c:v>
                </c:pt>
                <c:pt idx="436">
                  <c:v>-5.3330555232553815E-3</c:v>
                </c:pt>
                <c:pt idx="437">
                  <c:v>-5.3244296233262121E-3</c:v>
                </c:pt>
                <c:pt idx="438">
                  <c:v>-5.2904411110453638E-3</c:v>
                </c:pt>
                <c:pt idx="439">
                  <c:v>-5.2860308282038915E-3</c:v>
                </c:pt>
                <c:pt idx="440">
                  <c:v>-5.2816145239758267E-3</c:v>
                </c:pt>
                <c:pt idx="441">
                  <c:v>-5.2731231576147635E-3</c:v>
                </c:pt>
                <c:pt idx="442">
                  <c:v>-5.2646586002882438E-3</c:v>
                </c:pt>
                <c:pt idx="443">
                  <c:v>-5.2315962474577789E-3</c:v>
                </c:pt>
                <c:pt idx="444">
                  <c:v>-5.2271906200935803E-3</c:v>
                </c:pt>
                <c:pt idx="445">
                  <c:v>-5.2227818181774955E-3</c:v>
                </c:pt>
                <c:pt idx="446">
                  <c:v>-5.214504436598686E-3</c:v>
                </c:pt>
                <c:pt idx="447">
                  <c:v>-5.2062626379919498E-3</c:v>
                </c:pt>
                <c:pt idx="448">
                  <c:v>-5.1743592319683724E-3</c:v>
                </c:pt>
                <c:pt idx="449">
                  <c:v>-5.1699949973071924E-3</c:v>
                </c:pt>
                <c:pt idx="450">
                  <c:v>-5.1656312608886392E-3</c:v>
                </c:pt>
                <c:pt idx="451">
                  <c:v>-5.1576292830482953E-3</c:v>
                </c:pt>
                <c:pt idx="452">
                  <c:v>-5.1496716625733718E-3</c:v>
                </c:pt>
                <c:pt idx="453">
                  <c:v>-5.1157248995837221E-3</c:v>
                </c:pt>
                <c:pt idx="454">
                  <c:v>-5.1080635415105529E-3</c:v>
                </c:pt>
                <c:pt idx="455">
                  <c:v>-5.1004536645515375E-3</c:v>
                </c:pt>
                <c:pt idx="456">
                  <c:v>-5.0928964813623046E-3</c:v>
                </c:pt>
                <c:pt idx="457">
                  <c:v>-5.0756999473669196E-3</c:v>
                </c:pt>
                <c:pt idx="458">
                  <c:v>-5.0632189396260241E-3</c:v>
                </c:pt>
                <c:pt idx="459">
                  <c:v>-5.0559434153416866E-3</c:v>
                </c:pt>
                <c:pt idx="460">
                  <c:v>-5.0487278608994839E-3</c:v>
                </c:pt>
                <c:pt idx="461">
                  <c:v>-5.0415734890006609E-3</c:v>
                </c:pt>
                <c:pt idx="462">
                  <c:v>-5.0285145455775115E-3</c:v>
                </c:pt>
                <c:pt idx="463">
                  <c:v>-5.0135920810730032E-3</c:v>
                </c:pt>
                <c:pt idx="464">
                  <c:v>-5.0067618126178283E-3</c:v>
                </c:pt>
                <c:pt idx="465">
                  <c:v>-5.0000000030342683E-3</c:v>
                </c:pt>
                <c:pt idx="466">
                  <c:v>-4.9933076843411417E-3</c:v>
                </c:pt>
                <c:pt idx="467">
                  <c:v>-4.9812428254740792E-3</c:v>
                </c:pt>
                <c:pt idx="468">
                  <c:v>-4.9672376937431153E-3</c:v>
                </c:pt>
                <c:pt idx="469">
                  <c:v>-4.9608956591252126E-3</c:v>
                </c:pt>
                <c:pt idx="470">
                  <c:v>-4.9546238644407447E-3</c:v>
                </c:pt>
                <c:pt idx="471">
                  <c:v>-4.9484214277412848E-3</c:v>
                </c:pt>
                <c:pt idx="472">
                  <c:v>-4.9372907071879076E-3</c:v>
                </c:pt>
                <c:pt idx="473">
                  <c:v>-4.924283580224874E-3</c:v>
                </c:pt>
                <c:pt idx="474">
                  <c:v>-4.9184116729292602E-3</c:v>
                </c:pt>
                <c:pt idx="475">
                  <c:v>-4.9126026193389311E-3</c:v>
                </c:pt>
                <c:pt idx="476">
                  <c:v>-4.9068553353727997E-3</c:v>
                </c:pt>
                <c:pt idx="477">
                  <c:v>-4.90350745994011E-3</c:v>
                </c:pt>
                <c:pt idx="478">
                  <c:v>-4.8867357019510959E-3</c:v>
                </c:pt>
                <c:pt idx="479">
                  <c:v>-4.8812610168155355E-3</c:v>
                </c:pt>
                <c:pt idx="480">
                  <c:v>-4.8758424553470067E-3</c:v>
                </c:pt>
                <c:pt idx="481">
                  <c:v>-4.8704789214706308E-3</c:v>
                </c:pt>
                <c:pt idx="482">
                  <c:v>-4.8651693191088946E-3</c:v>
                </c:pt>
                <c:pt idx="483">
                  <c:v>-4.8495531401826497E-3</c:v>
                </c:pt>
                <c:pt idx="484">
                  <c:v>-4.8444483029141464E-3</c:v>
                </c:pt>
                <c:pt idx="485">
                  <c:v>-4.839391916639629E-3</c:v>
                </c:pt>
                <c:pt idx="486">
                  <c:v>-4.8343828852332703E-3</c:v>
                </c:pt>
                <c:pt idx="487">
                  <c:v>-4.8100096862713215E-3</c:v>
                </c:pt>
                <c:pt idx="488">
                  <c:v>-4.8052617650090187E-3</c:v>
                </c:pt>
                <c:pt idx="489">
                  <c:v>-4.800553525528971E-3</c:v>
                </c:pt>
                <c:pt idx="490">
                  <c:v>-4.7958838716522078E-3</c:v>
                </c:pt>
                <c:pt idx="491">
                  <c:v>-4.7820954617223375E-3</c:v>
                </c:pt>
                <c:pt idx="492">
                  <c:v>-4.777569188310877E-3</c:v>
                </c:pt>
                <c:pt idx="493">
                  <c:v>-4.7730760195019914E-3</c:v>
                </c:pt>
                <c:pt idx="494">
                  <c:v>-4.7686148590754254E-3</c:v>
                </c:pt>
                <c:pt idx="495">
                  <c:v>-4.7581640598320808E-3</c:v>
                </c:pt>
                <c:pt idx="496">
                  <c:v>-4.7447519188914544E-3</c:v>
                </c:pt>
                <c:pt idx="497">
                  <c:v>-4.740459715910591E-3</c:v>
                </c:pt>
                <c:pt idx="498">
                  <c:v>-4.7361913348567663E-3</c:v>
                </c:pt>
                <c:pt idx="499">
                  <c:v>-4.7279305032227681E-3</c:v>
                </c:pt>
                <c:pt idx="500">
                  <c:v>-4.7193343431994406E-3</c:v>
                </c:pt>
                <c:pt idx="501">
                  <c:v>-4.715168806701097E-3</c:v>
                </c:pt>
                <c:pt idx="502">
                  <c:v>-4.7110205860632377E-3</c:v>
                </c:pt>
                <c:pt idx="503">
                  <c:v>-4.70688859692196E-3</c:v>
                </c:pt>
                <c:pt idx="504">
                  <c:v>-4.6987115716246976E-3</c:v>
                </c:pt>
                <c:pt idx="505">
                  <c:v>-4.6905012679277422E-3</c:v>
                </c:pt>
                <c:pt idx="506">
                  <c:v>-4.6864341706787591E-3</c:v>
                </c:pt>
                <c:pt idx="507">
                  <c:v>-4.6823767986573558E-3</c:v>
                </c:pt>
                <c:pt idx="508">
                  <c:v>-4.678328067466612E-3</c:v>
                </c:pt>
                <c:pt idx="509">
                  <c:v>-4.6701432532142073E-3</c:v>
                </c:pt>
                <c:pt idx="510">
                  <c:v>-4.6621978629701744E-3</c:v>
                </c:pt>
                <c:pt idx="511">
                  <c:v>-4.658176069859893E-3</c:v>
                </c:pt>
                <c:pt idx="512">
                  <c:v>-4.6541564111175111E-3</c:v>
                </c:pt>
                <c:pt idx="513">
                  <c:v>-4.6397218720293466E-3</c:v>
                </c:pt>
                <c:pt idx="514">
                  <c:v>-4.6397218720293466E-3</c:v>
                </c:pt>
                <c:pt idx="515">
                  <c:v>-4.6300225522214033E-3</c:v>
                </c:pt>
                <c:pt idx="516">
                  <c:v>-4.6259874698740197E-3</c:v>
                </c:pt>
                <c:pt idx="517">
                  <c:v>-4.6219458463598977E-3</c:v>
                </c:pt>
                <c:pt idx="518">
                  <c:v>-4.5933802337111184E-3</c:v>
                </c:pt>
                <c:pt idx="519">
                  <c:v>-4.5640689875400221E-3</c:v>
                </c:pt>
                <c:pt idx="520">
                  <c:v>-4.5337021148001595E-3</c:v>
                </c:pt>
                <c:pt idx="521">
                  <c:v>-4.5022175951339848E-3</c:v>
                </c:pt>
                <c:pt idx="522">
                  <c:v>-4.4696154015335379E-3</c:v>
                </c:pt>
                <c:pt idx="523">
                  <c:v>-4.435895506036837E-3</c:v>
                </c:pt>
                <c:pt idx="524">
                  <c:v>-4.4010578797204977E-3</c:v>
                </c:pt>
                <c:pt idx="525">
                  <c:v>-4.3651024927014665E-3</c:v>
                </c:pt>
                <c:pt idx="526">
                  <c:v>-4.3280293141400661E-3</c:v>
                </c:pt>
                <c:pt idx="527">
                  <c:v>-4.2898383122369488E-3</c:v>
                </c:pt>
                <c:pt idx="528">
                  <c:v>-4.2505294542309318E-3</c:v>
                </c:pt>
                <c:pt idx="529">
                  <c:v>-4.2101027064068083E-3</c:v>
                </c:pt>
                <c:pt idx="530">
                  <c:v>-4.171760663080868E-3</c:v>
                </c:pt>
                <c:pt idx="531">
                  <c:v>-4.1291773968191326E-3</c:v>
                </c:pt>
                <c:pt idx="532">
                  <c:v>-4.0854761288696851E-3</c:v>
                </c:pt>
                <c:pt idx="533">
                  <c:v>-4.0406568221544948E-3</c:v>
                </c:pt>
                <c:pt idx="534">
                  <c:v>-3.9947194386459562E-3</c:v>
                </c:pt>
                <c:pt idx="535">
                  <c:v>-3.9440645241889637E-3</c:v>
                </c:pt>
                <c:pt idx="536">
                  <c:v>-3.8958115229525488E-3</c:v>
                </c:pt>
                <c:pt idx="537">
                  <c:v>-3.8464403276205557E-3</c:v>
                </c:pt>
                <c:pt idx="538">
                  <c:v>-3.7959508958407759E-3</c:v>
                </c:pt>
                <c:pt idx="539">
                  <c:v>-3.7443431843004644E-3</c:v>
                </c:pt>
                <c:pt idx="540">
                  <c:v>-3.6916171487293816E-3</c:v>
                </c:pt>
                <c:pt idx="541">
                  <c:v>-3.6377727438963174E-3</c:v>
                </c:pt>
                <c:pt idx="542">
                  <c:v>-3.5828099236103945E-3</c:v>
                </c:pt>
                <c:pt idx="543">
                  <c:v>-3.535189408085504E-3</c:v>
                </c:pt>
                <c:pt idx="544">
                  <c:v>-3.4781482980319467E-3</c:v>
                </c:pt>
                <c:pt idx="545">
                  <c:v>-3.419988632189952E-3</c:v>
                </c:pt>
                <c:pt idx="546">
                  <c:v>-3.3607103617470102E-3</c:v>
                </c:pt>
                <c:pt idx="547">
                  <c:v>-3.2915939831741348E-3</c:v>
                </c:pt>
                <c:pt idx="548">
                  <c:v>-3.2299185341475578E-3</c:v>
                </c:pt>
                <c:pt idx="549">
                  <c:v>-3.1671243210018574E-3</c:v>
                </c:pt>
                <c:pt idx="550">
                  <c:v>-3.1032112910382992E-3</c:v>
                </c:pt>
                <c:pt idx="551">
                  <c:v>-3.0381793906144594E-3</c:v>
                </c:pt>
                <c:pt idx="552">
                  <c:v>-2.9769731956642326E-3</c:v>
                </c:pt>
                <c:pt idx="553">
                  <c:v>-2.9097827719957643E-3</c:v>
                </c:pt>
                <c:pt idx="554">
                  <c:v>-2.8414733733377754E-3</c:v>
                </c:pt>
                <c:pt idx="555">
                  <c:v>-2.7720725349843103E-3</c:v>
                </c:pt>
                <c:pt idx="556">
                  <c:v>-2.6755213100473491E-3</c:v>
                </c:pt>
                <c:pt idx="557">
                  <c:v>-2.6040569619421592E-3</c:v>
                </c:pt>
                <c:pt idx="558">
                  <c:v>-2.5318807469400504E-3</c:v>
                </c:pt>
                <c:pt idx="559">
                  <c:v>-2.4590982558447827E-3</c:v>
                </c:pt>
                <c:pt idx="560">
                  <c:v>-2.3597194871604068E-3</c:v>
                </c:pt>
                <c:pt idx="561">
                  <c:v>-2.328098404528519E-3</c:v>
                </c:pt>
                <c:pt idx="562">
                  <c:v>-2.2541101372037971E-3</c:v>
                </c:pt>
                <c:pt idx="563">
                  <c:v>-2.1799221570850801E-3</c:v>
                </c:pt>
                <c:pt idx="564">
                  <c:v>-2.1056435783450111E-3</c:v>
                </c:pt>
                <c:pt idx="565">
                  <c:v>-2.0155855847648258E-3</c:v>
                </c:pt>
                <c:pt idx="566">
                  <c:v>-1.941516366830012E-3</c:v>
                </c:pt>
                <c:pt idx="567">
                  <c:v>-1.867684499935297E-3</c:v>
                </c:pt>
                <c:pt idx="568">
                  <c:v>-1.7889511988384492E-3</c:v>
                </c:pt>
                <c:pt idx="569">
                  <c:v>-1.720911578243571E-3</c:v>
                </c:pt>
                <c:pt idx="570">
                  <c:v>-1.6479738433343289E-3</c:v>
                </c:pt>
                <c:pt idx="571">
                  <c:v>-1.5753352819467877E-3</c:v>
                </c:pt>
                <c:pt idx="572">
                  <c:v>-1.5029959111604767E-3</c:v>
                </c:pt>
                <c:pt idx="573">
                  <c:v>-1.4462346003512722E-3</c:v>
                </c:pt>
                <c:pt idx="574">
                  <c:v>-1.3592148093788628E-3</c:v>
                </c:pt>
                <c:pt idx="575">
                  <c:v>-1.2877731121973628E-3</c:v>
                </c:pt>
                <c:pt idx="576">
                  <c:v>-1.2166306732498008E-3</c:v>
                </c:pt>
                <c:pt idx="577">
                  <c:v>-1.1457875092661985E-3</c:v>
                </c:pt>
                <c:pt idx="578">
                  <c:v>-1.0752436369106731E-3</c:v>
                </c:pt>
                <c:pt idx="579">
                  <c:v>-1.004999072774208E-3</c:v>
                </c:pt>
                <c:pt idx="580">
                  <c:v>-9.3505383337933129E-4</c:v>
                </c:pt>
                <c:pt idx="581">
                  <c:v>-8.6540793517586351E-4</c:v>
                </c:pt>
                <c:pt idx="582">
                  <c:v>-8.1075702897699198E-4</c:v>
                </c:pt>
                <c:pt idx="583">
                  <c:v>-7.4164525967392243E-4</c:v>
                </c:pt>
                <c:pt idx="584">
                  <c:v>-6.72832918521259E-4</c:v>
                </c:pt>
                <c:pt idx="585">
                  <c:v>-6.0432002119042191E-4</c:v>
                </c:pt>
                <c:pt idx="586">
                  <c:v>-5.2166913292745268E-4</c:v>
                </c:pt>
                <c:pt idx="587">
                  <c:v>-4.5381962342560611E-4</c:v>
                </c:pt>
                <c:pt idx="588">
                  <c:v>-3.8626956830887805E-4</c:v>
                </c:pt>
                <c:pt idx="589">
                  <c:v>-3.190189834683866E-4</c:v>
                </c:pt>
                <c:pt idx="590">
                  <c:v>-2.5206788472296749E-4</c:v>
                </c:pt>
                <c:pt idx="591">
                  <c:v>-1.8541628782172477E-4</c:v>
                </c:pt>
                <c:pt idx="592">
                  <c:v>-1.1906420844233046E-4</c:v>
                </c:pt>
                <c:pt idx="593">
                  <c:v>-5.3011662194850933E-5</c:v>
                </c:pt>
                <c:pt idx="594">
                  <c:v>1.2741335382504783E-5</c:v>
                </c:pt>
                <c:pt idx="595">
                  <c:v>5.9712524631549968E-5</c:v>
                </c:pt>
                <c:pt idx="596">
                  <c:v>1.2495191053307764E-4</c:v>
                </c:pt>
                <c:pt idx="597">
                  <c:v>1.8989165927330021E-4</c:v>
                </c:pt>
                <c:pt idx="598">
                  <c:v>2.5453175622303092E-4</c:v>
                </c:pt>
                <c:pt idx="599">
                  <c:v>3.372908401423246E-4</c:v>
                </c:pt>
                <c:pt idx="600">
                  <c:v>4.1477488157312887E-4</c:v>
                </c:pt>
                <c:pt idx="601">
                  <c:v>4.7836616118049254E-4</c:v>
                </c:pt>
                <c:pt idx="602">
                  <c:v>5.4612070994398542E-4</c:v>
                </c:pt>
                <c:pt idx="603">
                  <c:v>6.0464958798888877E-4</c:v>
                </c:pt>
                <c:pt idx="604">
                  <c:v>6.7176207327464092E-4</c:v>
                </c:pt>
                <c:pt idx="605">
                  <c:v>7.2973407582281103E-4</c:v>
                </c:pt>
                <c:pt idx="606">
                  <c:v>7.9182783901512674E-4</c:v>
                </c:pt>
                <c:pt idx="607">
                  <c:v>8.5799614994948618E-4</c:v>
                </c:pt>
                <c:pt idx="608">
                  <c:v>9.1952105706280909E-4</c:v>
                </c:pt>
                <c:pt idx="609">
                  <c:v>9.8080000762535368E-4</c:v>
                </c:pt>
                <c:pt idx="610">
                  <c:v>1.0418518338537754E-3</c:v>
                </c:pt>
                <c:pt idx="611">
                  <c:v>1.1026953691776729E-3</c:v>
                </c:pt>
                <c:pt idx="612">
                  <c:v>1.1590476167141399E-3</c:v>
                </c:pt>
                <c:pt idx="613">
                  <c:v>1.2195380771745585E-3</c:v>
                </c:pt>
                <c:pt idx="614">
                  <c:v>1.2798756504041895E-3</c:v>
                </c:pt>
                <c:pt idx="615">
                  <c:v>1.3572585298315344E-3</c:v>
                </c:pt>
                <c:pt idx="616">
                  <c:v>1.4001683172682035E-3</c:v>
                </c:pt>
                <c:pt idx="617">
                  <c:v>1.4730005256362009E-3</c:v>
                </c:pt>
                <c:pt idx="618">
                  <c:v>1.5243502307555022E-3</c:v>
                </c:pt>
                <c:pt idx="619">
                  <c:v>1.5842044407872761E-3</c:v>
                </c:pt>
                <c:pt idx="620">
                  <c:v>1.6525452517132547E-3</c:v>
                </c:pt>
                <c:pt idx="621">
                  <c:v>1.7037561160649774E-3</c:v>
                </c:pt>
                <c:pt idx="622">
                  <c:v>1.77197760718214E-3</c:v>
                </c:pt>
                <c:pt idx="623">
                  <c:v>1.8230989775329569E-3</c:v>
                </c:pt>
                <c:pt idx="624">
                  <c:v>1.8826920970485671E-3</c:v>
                </c:pt>
                <c:pt idx="625">
                  <c:v>1.9422330058701484E-3</c:v>
                </c:pt>
                <c:pt idx="626">
                  <c:v>2.0017217015874549E-3</c:v>
                </c:pt>
                <c:pt idx="627">
                  <c:v>2.0611581817911091E-3</c:v>
                </c:pt>
                <c:pt idx="628">
                  <c:v>2.1205424440769475E-3</c:v>
                </c:pt>
                <c:pt idx="629">
                  <c:v>2.1798744860425439E-3</c:v>
                </c:pt>
                <c:pt idx="630">
                  <c:v>2.2391543052846037E-3</c:v>
                </c:pt>
                <c:pt idx="631">
                  <c:v>2.2983818994041761E-3</c:v>
                </c:pt>
                <c:pt idx="632">
                  <c:v>2.3575572660040479E-3</c:v>
                </c:pt>
                <c:pt idx="633">
                  <c:v>2.4251223012689248E-3</c:v>
                </c:pt>
                <c:pt idx="634">
                  <c:v>2.4715334736543186E-3</c:v>
                </c:pt>
                <c:pt idx="635">
                  <c:v>2.5305554646702323E-3</c:v>
                </c:pt>
                <c:pt idx="636">
                  <c:v>2.5895252094743936E-3</c:v>
                </c:pt>
                <c:pt idx="637">
                  <c:v>2.6484427057064928E-3</c:v>
                </c:pt>
                <c:pt idx="638">
                  <c:v>2.7115125537210843E-3</c:v>
                </c:pt>
                <c:pt idx="639">
                  <c:v>2.7703222607392119E-3</c:v>
                </c:pt>
                <c:pt idx="640">
                  <c:v>2.8290797211363971E-3</c:v>
                </c:pt>
                <c:pt idx="641">
                  <c:v>2.8877849325319354E-3</c:v>
                </c:pt>
                <c:pt idx="642">
                  <c:v>2.9464378925529422E-3</c:v>
                </c:pt>
                <c:pt idx="643">
                  <c:v>3.0050385988213196E-3</c:v>
                </c:pt>
                <c:pt idx="644">
                  <c:v>3.063587048968528E-3</c:v>
                </c:pt>
                <c:pt idx="645">
                  <c:v>3.1220832406216822E-3</c:v>
                </c:pt>
                <c:pt idx="646">
                  <c:v>3.1805271714139805E-3</c:v>
                </c:pt>
                <c:pt idx="647">
                  <c:v>3.2347434785529286E-3</c:v>
                </c:pt>
                <c:pt idx="648">
                  <c:v>3.2930860852433417E-3</c:v>
                </c:pt>
                <c:pt idx="649">
                  <c:v>3.3513764151890638E-3</c:v>
                </c:pt>
                <c:pt idx="650">
                  <c:v>3.4096144660543805E-3</c:v>
                </c:pt>
                <c:pt idx="651">
                  <c:v>3.4761082202837091E-3</c:v>
                </c:pt>
                <c:pt idx="652">
                  <c:v>3.5342342367031296E-3</c:v>
                </c:pt>
                <c:pt idx="653">
                  <c:v>3.592307966720529E-3</c:v>
                </c:pt>
                <c:pt idx="654">
                  <c:v>3.6503294080107336E-3</c:v>
                </c:pt>
                <c:pt idx="655">
                  <c:v>3.7082985582512066E-3</c:v>
                </c:pt>
                <c:pt idx="656">
                  <c:v>3.7662154151185314E-3</c:v>
                </c:pt>
                <c:pt idx="657">
                  <c:v>3.8199364468125552E-3</c:v>
                </c:pt>
                <c:pt idx="658">
                  <c:v>3.8777513721699464E-3</c:v>
                </c:pt>
                <c:pt idx="659">
                  <c:v>3.9396299815650177E-3</c:v>
                </c:pt>
                <c:pt idx="660">
                  <c:v>4.0013805301181878E-3</c:v>
                </c:pt>
                <c:pt idx="661">
                  <c:v>4.0588558120806433E-3</c:v>
                </c:pt>
                <c:pt idx="662">
                  <c:v>4.1161525552463095E-3</c:v>
                </c:pt>
                <c:pt idx="663">
                  <c:v>4.1732367649706939E-3</c:v>
                </c:pt>
                <c:pt idx="664">
                  <c:v>4.2260423104306119E-3</c:v>
                </c:pt>
                <c:pt idx="665">
                  <c:v>4.2826278593022238E-3</c:v>
                </c:pt>
                <c:pt idx="666">
                  <c:v>4.354916705766208E-3</c:v>
                </c:pt>
                <c:pt idx="667">
                  <c:v>4.4107374458992824E-3</c:v>
                </c:pt>
                <c:pt idx="668">
                  <c:v>4.4700652879794611E-3</c:v>
                </c:pt>
                <c:pt idx="669">
                  <c:v>4.5250350437345387E-3</c:v>
                </c:pt>
                <c:pt idx="670">
                  <c:v>4.5795445334130607E-3</c:v>
                </c:pt>
                <c:pt idx="671">
                  <c:v>4.6488074542972348E-3</c:v>
                </c:pt>
                <c:pt idx="672">
                  <c:v>4.6870829598411531E-3</c:v>
                </c:pt>
                <c:pt idx="673">
                  <c:v>4.740103432307536E-3</c:v>
                </c:pt>
                <c:pt idx="674">
                  <c:v>4.7926247116583786E-3</c:v>
                </c:pt>
                <c:pt idx="675">
                  <c:v>4.8446467778001899E-3</c:v>
                </c:pt>
                <c:pt idx="676">
                  <c:v>4.8961696108245469E-3</c:v>
                </c:pt>
                <c:pt idx="677">
                  <c:v>4.9471931910202603E-3</c:v>
                </c:pt>
                <c:pt idx="678">
                  <c:v>4.9977174988638162E-3</c:v>
                </c:pt>
                <c:pt idx="679">
                  <c:v>5.0477425150219843E-3</c:v>
                </c:pt>
                <c:pt idx="680">
                  <c:v>5.0972682203552925E-3</c:v>
                </c:pt>
                <c:pt idx="681">
                  <c:v>5.1462945959128131E-3</c:v>
                </c:pt>
                <c:pt idx="682">
                  <c:v>5.1948216229338994E-3</c:v>
                </c:pt>
                <c:pt idx="683">
                  <c:v>5.2428492828516665E-3</c:v>
                </c:pt>
                <c:pt idx="684">
                  <c:v>5.2903775572869013E-3</c:v>
                </c:pt>
                <c:pt idx="685">
                  <c:v>5.3374064280550205E-3</c:v>
                </c:pt>
                <c:pt idx="686">
                  <c:v>5.3806665193069326E-3</c:v>
                </c:pt>
                <c:pt idx="687">
                  <c:v>5.4267315137087515E-3</c:v>
                </c:pt>
                <c:pt idx="688">
                  <c:v>5.472297053972743E-3</c:v>
                </c:pt>
                <c:pt idx="689">
                  <c:v>5.5173631228494077E-3</c:v>
                </c:pt>
                <c:pt idx="690">
                  <c:v>5.5744274851520746E-3</c:v>
                </c:pt>
                <c:pt idx="691">
                  <c:v>5.609091181239317E-3</c:v>
                </c:pt>
                <c:pt idx="692">
                  <c:v>5.6526237331469198E-3</c:v>
                </c:pt>
                <c:pt idx="693">
                  <c:v>5.6956567427652489E-3</c:v>
                </c:pt>
                <c:pt idx="694">
                  <c:v>5.7381901936309531E-3</c:v>
                </c:pt>
                <c:pt idx="695">
                  <c:v>5.7802240694674861E-3</c:v>
                </c:pt>
                <c:pt idx="696">
                  <c:v>5.8217583541868472E-3</c:v>
                </c:pt>
                <c:pt idx="697">
                  <c:v>5.8627930318974021E-3</c:v>
                </c:pt>
                <c:pt idx="698">
                  <c:v>5.9033280868925828E-3</c:v>
                </c:pt>
                <c:pt idx="699">
                  <c:v>5.9377316407474012E-3</c:v>
                </c:pt>
                <c:pt idx="700">
                  <c:v>5.9773374756462161E-3</c:v>
                </c:pt>
                <c:pt idx="701">
                  <c:v>6.0164436519833941E-3</c:v>
                </c:pt>
                <c:pt idx="702">
                  <c:v>6.055050155121755E-3</c:v>
                </c:pt>
                <c:pt idx="703">
                  <c:v>6.0931569706053068E-3</c:v>
                </c:pt>
                <c:pt idx="704">
                  <c:v>6.1307640841681277E-3</c:v>
                </c:pt>
                <c:pt idx="705">
                  <c:v>6.1678714817308133E-3</c:v>
                </c:pt>
                <c:pt idx="706">
                  <c:v>6.204479149400477E-3</c:v>
                </c:pt>
                <c:pt idx="707">
                  <c:v>6.2405870734725255E-3</c:v>
                </c:pt>
                <c:pt idx="708">
                  <c:v>6.2736898541388923E-3</c:v>
                </c:pt>
                <c:pt idx="709">
                  <c:v>6.3088333359534393E-3</c:v>
                </c:pt>
                <c:pt idx="710">
                  <c:v>6.3434770548205554E-3</c:v>
                </c:pt>
                <c:pt idx="711">
                  <c:v>6.3776283007461439E-3</c:v>
                </c:pt>
                <c:pt idx="712">
                  <c:v>6.4184310835613276E-3</c:v>
                </c:pt>
                <c:pt idx="713">
                  <c:v>6.4516059764002419E-3</c:v>
                </c:pt>
                <c:pt idx="714">
                  <c:v>6.4843830464818113E-3</c:v>
                </c:pt>
                <c:pt idx="715">
                  <c:v>6.5167908504830578E-3</c:v>
                </c:pt>
                <c:pt idx="716">
                  <c:v>6.5465677311068119E-3</c:v>
                </c:pt>
                <c:pt idx="717">
                  <c:v>6.5783367855963238E-3</c:v>
                </c:pt>
                <c:pt idx="718">
                  <c:v>6.6098205040901262E-3</c:v>
                </c:pt>
                <c:pt idx="719">
                  <c:v>6.6410477607475446E-3</c:v>
                </c:pt>
                <c:pt idx="720">
                  <c:v>6.6720474307020734E-3</c:v>
                </c:pt>
                <c:pt idx="721">
                  <c:v>6.705082390767822E-3</c:v>
                </c:pt>
                <c:pt idx="722">
                  <c:v>6.7445137996247307E-3</c:v>
                </c:pt>
                <c:pt idx="723">
                  <c:v>6.7661864676105141E-3</c:v>
                </c:pt>
                <c:pt idx="724">
                  <c:v>6.7965425870173696E-3</c:v>
                </c:pt>
                <c:pt idx="725">
                  <c:v>6.8267742486227698E-3</c:v>
                </c:pt>
                <c:pt idx="726">
                  <c:v>6.8568814495429328E-3</c:v>
                </c:pt>
                <c:pt idx="727">
                  <c:v>6.8868641869079825E-3</c:v>
                </c:pt>
                <c:pt idx="728">
                  <c:v>6.9167224578558584E-3</c:v>
                </c:pt>
                <c:pt idx="729">
                  <c:v>6.9464562595427494E-3</c:v>
                </c:pt>
                <c:pt idx="730">
                  <c:v>6.9760655891300564E-3</c:v>
                </c:pt>
                <c:pt idx="731">
                  <c:v>7.0055504437930832E-3</c:v>
                </c:pt>
                <c:pt idx="732">
                  <c:v>7.0349108207227711E-3</c:v>
                </c:pt>
                <c:pt idx="733">
                  <c:v>7.0641467171161454E-3</c:v>
                </c:pt>
                <c:pt idx="734">
                  <c:v>7.0932581301858706E-3</c:v>
                </c:pt>
                <c:pt idx="735">
                  <c:v>7.1222450571550378E-3</c:v>
                </c:pt>
                <c:pt idx="736">
                  <c:v>7.1511074952597701E-3</c:v>
                </c:pt>
                <c:pt idx="737">
                  <c:v>7.17984544174575E-3</c:v>
                </c:pt>
                <c:pt idx="738">
                  <c:v>7.2063665260709026E-3</c:v>
                </c:pt>
                <c:pt idx="739">
                  <c:v>7.2348638029291774E-3</c:v>
                </c:pt>
                <c:pt idx="740">
                  <c:v>7.2632365804333292E-3</c:v>
                </c:pt>
                <c:pt idx="741">
                  <c:v>7.2914848559076971E-3</c:v>
                </c:pt>
                <c:pt idx="742">
                  <c:v>7.3216677043950965E-3</c:v>
                </c:pt>
                <c:pt idx="743">
                  <c:v>7.3496586440307864E-3</c:v>
                </c:pt>
                <c:pt idx="744">
                  <c:v>7.3775250731115665E-3</c:v>
                </c:pt>
                <c:pt idx="745">
                  <c:v>7.4052669889778247E-3</c:v>
                </c:pt>
                <c:pt idx="746">
                  <c:v>7.432884388984721E-3</c:v>
                </c:pt>
                <c:pt idx="747">
                  <c:v>7.4603772704978409E-3</c:v>
                </c:pt>
                <c:pt idx="748">
                  <c:v>7.4877456308958023E-3</c:v>
                </c:pt>
                <c:pt idx="749">
                  <c:v>7.5149894675676501E-3</c:v>
                </c:pt>
                <c:pt idx="750">
                  <c:v>7.5421087779137261E-3</c:v>
                </c:pt>
                <c:pt idx="751">
                  <c:v>7.5651345111875656E-3</c:v>
                </c:pt>
                <c:pt idx="752">
                  <c:v>7.5920214207920722E-3</c:v>
                </c:pt>
                <c:pt idx="753">
                  <c:v>7.6187837979686535E-3</c:v>
                </c:pt>
                <c:pt idx="754">
                  <c:v>7.6454216402188635E-3</c:v>
                </c:pt>
                <c:pt idx="755">
                  <c:v>7.67571239357423E-3</c:v>
                </c:pt>
                <c:pt idx="756">
                  <c:v>7.7020833669161348E-3</c:v>
                </c:pt>
                <c:pt idx="757">
                  <c:v>7.7283297975609955E-3</c:v>
                </c:pt>
                <c:pt idx="758">
                  <c:v>7.7544516830574395E-3</c:v>
                </c:pt>
                <c:pt idx="759">
                  <c:v>7.7804490209691934E-3</c:v>
                </c:pt>
                <c:pt idx="760">
                  <c:v>7.8044123247724218E-3</c:v>
                </c:pt>
                <c:pt idx="761">
                  <c:v>7.8301688982900172E-3</c:v>
                </c:pt>
                <c:pt idx="762">
                  <c:v>7.8558008708766898E-3</c:v>
                </c:pt>
                <c:pt idx="763">
                  <c:v>7.8813040850895123E-3</c:v>
                </c:pt>
                <c:pt idx="764">
                  <c:v>7.9178777204905321E-3</c:v>
                </c:pt>
                <c:pt idx="765">
                  <c:v>7.9411583540201659E-3</c:v>
                </c:pt>
                <c:pt idx="766">
                  <c:v>7.9661336446897896E-3</c:v>
                </c:pt>
                <c:pt idx="767">
                  <c:v>7.9909269339701362E-3</c:v>
                </c:pt>
                <c:pt idx="768">
                  <c:v>8.010100898698266E-3</c:v>
                </c:pt>
                <c:pt idx="769">
                  <c:v>8.0345471617025033E-3</c:v>
                </c:pt>
                <c:pt idx="770">
                  <c:v>8.0725249668027934E-3</c:v>
                </c:pt>
                <c:pt idx="771">
                  <c:v>8.0827846075274719E-3</c:v>
                </c:pt>
                <c:pt idx="772">
                  <c:v>8.1065520545682695E-3</c:v>
                </c:pt>
                <c:pt idx="773">
                  <c:v>8.1352212214869327E-3</c:v>
                </c:pt>
                <c:pt idx="774">
                  <c:v>8.1584187862156349E-3</c:v>
                </c:pt>
                <c:pt idx="775">
                  <c:v>8.1813427852737951E-3</c:v>
                </c:pt>
                <c:pt idx="776">
                  <c:v>8.2056435475398957E-3</c:v>
                </c:pt>
                <c:pt idx="777">
                  <c:v>8.2263545283589347E-3</c:v>
                </c:pt>
                <c:pt idx="778">
                  <c:v>8.2484421118811137E-3</c:v>
                </c:pt>
                <c:pt idx="779">
                  <c:v>8.2702508302791092E-3</c:v>
                </c:pt>
                <c:pt idx="780">
                  <c:v>8.2917806788001258E-3</c:v>
                </c:pt>
                <c:pt idx="781">
                  <c:v>8.3130316527491969E-3</c:v>
                </c:pt>
                <c:pt idx="782">
                  <c:v>8.334003747492583E-3</c:v>
                </c:pt>
                <c:pt idx="783">
                  <c:v>8.3546969584569197E-3</c:v>
                </c:pt>
                <c:pt idx="784">
                  <c:v>8.3751112811300717E-3</c:v>
                </c:pt>
                <c:pt idx="785">
                  <c:v>8.3952467110611322E-3</c:v>
                </c:pt>
                <c:pt idx="786">
                  <c:v>8.4151032438604199E-3</c:v>
                </c:pt>
                <c:pt idx="787">
                  <c:v>8.4346808751977823E-3</c:v>
                </c:pt>
                <c:pt idx="788">
                  <c:v>8.4539796008042956E-3</c:v>
                </c:pt>
                <c:pt idx="789">
                  <c:v>8.4729994164722579E-3</c:v>
                </c:pt>
                <c:pt idx="790">
                  <c:v>8.4875796103380911E-3</c:v>
                </c:pt>
                <c:pt idx="791">
                  <c:v>8.5061000528864582E-3</c:v>
                </c:pt>
                <c:pt idx="792">
                  <c:v>8.5243415910231709E-3</c:v>
                </c:pt>
                <c:pt idx="793">
                  <c:v>8.542304220899001E-3</c:v>
                </c:pt>
                <c:pt idx="794">
                  <c:v>8.5599879387226966E-3</c:v>
                </c:pt>
                <c:pt idx="795">
                  <c:v>8.5812609737699105E-3</c:v>
                </c:pt>
                <c:pt idx="796">
                  <c:v>8.5983283071479847E-3</c:v>
                </c:pt>
                <c:pt idx="797">
                  <c:v>8.6151166991114102E-3</c:v>
                </c:pt>
                <c:pt idx="798">
                  <c:v>8.6316261459992889E-3</c:v>
                </c:pt>
                <c:pt idx="799">
                  <c:v>8.6478566442119448E-3</c:v>
                </c:pt>
                <c:pt idx="800">
                  <c:v>8.6638081902117824E-3</c:v>
                </c:pt>
                <c:pt idx="801">
                  <c:v>8.6794807805181812E-3</c:v>
                </c:pt>
                <c:pt idx="802">
                  <c:v>8.6948744117151516E-3</c:v>
                </c:pt>
                <c:pt idx="803">
                  <c:v>8.7054529608758813E-3</c:v>
                </c:pt>
                <c:pt idx="804">
                  <c:v>8.7203669270357054E-3</c:v>
                </c:pt>
                <c:pt idx="805">
                  <c:v>8.7350019496827969E-3</c:v>
                </c:pt>
                <c:pt idx="806">
                  <c:v>8.7493580257609338E-3</c:v>
                </c:pt>
                <c:pt idx="807">
                  <c:v>8.7644936554626199E-3</c:v>
                </c:pt>
                <c:pt idx="808">
                  <c:v>8.7772333262812197E-3</c:v>
                </c:pt>
                <c:pt idx="809">
                  <c:v>8.7907525449022472E-3</c:v>
                </c:pt>
                <c:pt idx="810">
                  <c:v>8.8039928053156302E-3</c:v>
                </c:pt>
                <c:pt idx="811">
                  <c:v>8.8169541047555811E-3</c:v>
                </c:pt>
                <c:pt idx="812">
                  <c:v>8.8286740986453175E-3</c:v>
                </c:pt>
                <c:pt idx="813">
                  <c:v>8.841097089915614E-3</c:v>
                </c:pt>
                <c:pt idx="814">
                  <c:v>8.853241198612246E-3</c:v>
                </c:pt>
                <c:pt idx="815">
                  <c:v>8.8651134489779754E-3</c:v>
                </c:pt>
                <c:pt idx="816">
                  <c:v>8.881180178762044E-3</c:v>
                </c:pt>
                <c:pt idx="817">
                  <c:v>8.8925088336119958E-3</c:v>
                </c:pt>
                <c:pt idx="818">
                  <c:v>8.9036361781990193E-3</c:v>
                </c:pt>
                <c:pt idx="819">
                  <c:v>8.9145816344714211E-3</c:v>
                </c:pt>
                <c:pt idx="820">
                  <c:v>8.9228043363637644E-3</c:v>
                </c:pt>
                <c:pt idx="821">
                  <c:v>8.9394885080018582E-3</c:v>
                </c:pt>
                <c:pt idx="822">
                  <c:v>8.9439859078161797E-3</c:v>
                </c:pt>
                <c:pt idx="823">
                  <c:v>8.9544061225318838E-3</c:v>
                </c:pt>
                <c:pt idx="824">
                  <c:v>8.9672603762971266E-3</c:v>
                </c:pt>
                <c:pt idx="825">
                  <c:v>8.9775223770058952E-3</c:v>
                </c:pt>
                <c:pt idx="826">
                  <c:v>8.9877384496005863E-3</c:v>
                </c:pt>
                <c:pt idx="827">
                  <c:v>8.99792741378104E-3</c:v>
                </c:pt>
                <c:pt idx="828">
                  <c:v>9.0089334210850438E-3</c:v>
                </c:pt>
                <c:pt idx="829">
                  <c:v>9.0182502925396247E-3</c:v>
                </c:pt>
                <c:pt idx="830">
                  <c:v>9.0283844616630745E-3</c:v>
                </c:pt>
                <c:pt idx="831">
                  <c:v>9.0385004504229295E-3</c:v>
                </c:pt>
                <c:pt idx="832">
                  <c:v>9.0485982586763214E-3</c:v>
                </c:pt>
                <c:pt idx="833">
                  <c:v>9.0561866140155805E-3</c:v>
                </c:pt>
                <c:pt idx="834">
                  <c:v>9.0687393330888596E-3</c:v>
                </c:pt>
                <c:pt idx="835">
                  <c:v>9.0787825989614261E-3</c:v>
                </c:pt>
                <c:pt idx="836">
                  <c:v>9.0888076837535234E-3</c:v>
                </c:pt>
                <c:pt idx="837">
                  <c:v>9.0988145873239848E-3</c:v>
                </c:pt>
                <c:pt idx="838">
                  <c:v>9.1088033095307972E-3</c:v>
                </c:pt>
                <c:pt idx="839">
                  <c:v>9.1187738502302475E-3</c:v>
                </c:pt>
                <c:pt idx="840">
                  <c:v>9.128726209281169E-3</c:v>
                </c:pt>
                <c:pt idx="841">
                  <c:v>9.1386603865415503E-3</c:v>
                </c:pt>
                <c:pt idx="842">
                  <c:v>9.1461133612441032E-3</c:v>
                </c:pt>
                <c:pt idx="843">
                  <c:v>9.1560143165015182E-3</c:v>
                </c:pt>
                <c:pt idx="844">
                  <c:v>9.1658970901479925E-3</c:v>
                </c:pt>
                <c:pt idx="845">
                  <c:v>9.175761682047371E-3</c:v>
                </c:pt>
                <c:pt idx="846">
                  <c:v>9.1856080920643748E-3</c:v>
                </c:pt>
                <c:pt idx="847">
                  <c:v>9.1978836246253692E-3</c:v>
                </c:pt>
                <c:pt idx="848">
                  <c:v>9.207690525414685E-3</c:v>
                </c:pt>
                <c:pt idx="849">
                  <c:v>9.217479243291804E-3</c:v>
                </c:pt>
                <c:pt idx="850">
                  <c:v>9.2272497781164132E-3</c:v>
                </c:pt>
                <c:pt idx="851">
                  <c:v>9.2370021297498994E-3</c:v>
                </c:pt>
                <c:pt idx="852">
                  <c:v>9.2467362980536497E-3</c:v>
                </c:pt>
                <c:pt idx="853">
                  <c:v>9.2564522828890525E-3</c:v>
                </c:pt>
                <c:pt idx="854">
                  <c:v>9.2661500841174933E-3</c:v>
                </c:pt>
                <c:pt idx="855">
                  <c:v>9.2734075752102085E-3</c:v>
                </c:pt>
                <c:pt idx="856">
                  <c:v>9.283072158985238E-3</c:v>
                </c:pt>
                <c:pt idx="857">
                  <c:v>9.2927185593995165E-3</c:v>
                </c:pt>
                <c:pt idx="858">
                  <c:v>9.3023467763221589E-3</c:v>
                </c:pt>
                <c:pt idx="859">
                  <c:v>9.3111534629510828E-3</c:v>
                </c:pt>
                <c:pt idx="860">
                  <c:v>9.3215486591567021E-3</c:v>
                </c:pt>
                <c:pt idx="861">
                  <c:v>9.3311223248041981E-3</c:v>
                </c:pt>
                <c:pt idx="862">
                  <c:v>9.3406778064303742E-3</c:v>
                </c:pt>
                <c:pt idx="863">
                  <c:v>9.3502151039034642E-3</c:v>
                </c:pt>
                <c:pt idx="864">
                  <c:v>9.3589361271648741E-3</c:v>
                </c:pt>
                <c:pt idx="865">
                  <c:v>9.3692351458650996E-3</c:v>
                </c:pt>
                <c:pt idx="866">
                  <c:v>9.3779219016694171E-3</c:v>
                </c:pt>
                <c:pt idx="867">
                  <c:v>9.3873860852831115E-3</c:v>
                </c:pt>
                <c:pt idx="868">
                  <c:v>9.399991586322088E-3</c:v>
                </c:pt>
                <c:pt idx="869">
                  <c:v>9.409387930640032E-3</c:v>
                </c:pt>
                <c:pt idx="870">
                  <c:v>9.4187456281709294E-3</c:v>
                </c:pt>
                <c:pt idx="871">
                  <c:v>9.4280591699240669E-3</c:v>
                </c:pt>
                <c:pt idx="872">
                  <c:v>9.4402749093680637E-3</c:v>
                </c:pt>
                <c:pt idx="873">
                  <c:v>9.4442211723029541E-3</c:v>
                </c:pt>
                <c:pt idx="874">
                  <c:v>9.4533857440953963E-3</c:v>
                </c:pt>
                <c:pt idx="875">
                  <c:v>9.4624849843489775E-3</c:v>
                </c:pt>
                <c:pt idx="876">
                  <c:v>9.4715132026819068E-3</c:v>
                </c:pt>
                <c:pt idx="877">
                  <c:v>9.4827046391962062E-3</c:v>
                </c:pt>
                <c:pt idx="878">
                  <c:v>9.4915548345013267E-3</c:v>
                </c:pt>
                <c:pt idx="879">
                  <c:v>9.5003168217128522E-3</c:v>
                </c:pt>
                <c:pt idx="880">
                  <c:v>9.5097134309096842E-3</c:v>
                </c:pt>
                <c:pt idx="881">
                  <c:v>9.5154011236391282E-3</c:v>
                </c:pt>
                <c:pt idx="882">
                  <c:v>9.5260507947436679E-3</c:v>
                </c:pt>
                <c:pt idx="883">
                  <c:v>9.5344444528960258E-3</c:v>
                </c:pt>
                <c:pt idx="884">
                  <c:v>9.5427459436061932E-3</c:v>
                </c:pt>
                <c:pt idx="885">
                  <c:v>9.5509552662755032E-3</c:v>
                </c:pt>
                <c:pt idx="886">
                  <c:v>9.5590724203146391E-3</c:v>
                </c:pt>
                <c:pt idx="887">
                  <c:v>9.5670974051368339E-3</c:v>
                </c:pt>
                <c:pt idx="888">
                  <c:v>9.5750302201646799E-3</c:v>
                </c:pt>
                <c:pt idx="889">
                  <c:v>9.5828708648275675E-3</c:v>
                </c:pt>
                <c:pt idx="890">
                  <c:v>9.5906193385599942E-3</c:v>
                </c:pt>
                <c:pt idx="891">
                  <c:v>9.5982756408049558E-3</c:v>
                </c:pt>
                <c:pt idx="892">
                  <c:v>9.6058397710088537E-3</c:v>
                </c:pt>
                <c:pt idx="893">
                  <c:v>9.6133117286291443E-3</c:v>
                </c:pt>
                <c:pt idx="894">
                  <c:v>9.618776195362104E-3</c:v>
                </c:pt>
                <c:pt idx="895">
                  <c:v>9.6260829726095305E-3</c:v>
                </c:pt>
                <c:pt idx="896">
                  <c:v>9.633297582734672E-3</c:v>
                </c:pt>
                <c:pt idx="897">
                  <c:v>9.6404200252350712E-3</c:v>
                </c:pt>
                <c:pt idx="898">
                  <c:v>9.6474502996126681E-3</c:v>
                </c:pt>
                <c:pt idx="899">
                  <c:v>9.6562078203963186E-3</c:v>
                </c:pt>
                <c:pt idx="900">
                  <c:v>9.6630345552256684E-3</c:v>
                </c:pt>
                <c:pt idx="901">
                  <c:v>9.6697691133504522E-3</c:v>
                </c:pt>
                <c:pt idx="902">
                  <c:v>9.6764114942868001E-3</c:v>
                </c:pt>
                <c:pt idx="903">
                  <c:v>9.6829616975542456E-3</c:v>
                </c:pt>
                <c:pt idx="904">
                  <c:v>9.6894197226825261E-3</c:v>
                </c:pt>
                <c:pt idx="905">
                  <c:v>9.6957855692056324E-3</c:v>
                </c:pt>
                <c:pt idx="906">
                  <c:v>9.702059236665209E-3</c:v>
                </c:pt>
                <c:pt idx="907">
                  <c:v>9.7065751247724184E-3</c:v>
                </c:pt>
                <c:pt idx="908">
                  <c:v>9.712133707526327E-3</c:v>
                </c:pt>
                <c:pt idx="909">
                  <c:v>9.7181565231165834E-3</c:v>
                </c:pt>
                <c:pt idx="910">
                  <c:v>9.7240871675428053E-3</c:v>
                </c:pt>
                <c:pt idx="911">
                  <c:v>9.7332205272859795E-3</c:v>
                </c:pt>
                <c:pt idx="912">
                  <c:v>9.738914158281986E-3</c:v>
                </c:pt>
                <c:pt idx="913">
                  <c:v>9.7445156166822144E-3</c:v>
                </c:pt>
                <c:pt idx="914">
                  <c:v>9.7505326438916008E-3</c:v>
                </c:pt>
                <c:pt idx="915">
                  <c:v>9.7554420141561238E-3</c:v>
                </c:pt>
                <c:pt idx="916">
                  <c:v>9.7612618169449009E-3</c:v>
                </c:pt>
                <c:pt idx="917">
                  <c:v>9.7659997166905654E-3</c:v>
                </c:pt>
                <c:pt idx="918">
                  <c:v>9.7711403870173186E-3</c:v>
                </c:pt>
                <c:pt idx="919">
                  <c:v>9.776666403184477E-3</c:v>
                </c:pt>
                <c:pt idx="920">
                  <c:v>9.7820923690452796E-3</c:v>
                </c:pt>
                <c:pt idx="921">
                  <c:v>9.7869579183843588E-3</c:v>
                </c:pt>
                <c:pt idx="922">
                  <c:v>9.791741064063891E-3</c:v>
                </c:pt>
                <c:pt idx="923">
                  <c:v>9.7964443405808357E-3</c:v>
                </c:pt>
                <c:pt idx="924">
                  <c:v>9.8006206976164589E-3</c:v>
                </c:pt>
                <c:pt idx="925">
                  <c:v>9.8051763876623229E-3</c:v>
                </c:pt>
                <c:pt idx="926">
                  <c:v>9.80965966683792E-3</c:v>
                </c:pt>
                <c:pt idx="927">
                  <c:v>9.8153216069458878E-3</c:v>
                </c:pt>
                <c:pt idx="928">
                  <c:v>9.8215518892634367E-3</c:v>
                </c:pt>
                <c:pt idx="929">
                  <c:v>9.8243392413266406E-3</c:v>
                </c:pt>
                <c:pt idx="930">
                  <c:v>9.8285371159571571E-3</c:v>
                </c:pt>
                <c:pt idx="931">
                  <c:v>9.8326756997015596E-3</c:v>
                </c:pt>
                <c:pt idx="932">
                  <c:v>9.8369194460138452E-3</c:v>
                </c:pt>
                <c:pt idx="933">
                  <c:v>9.8407762611927106E-3</c:v>
                </c:pt>
                <c:pt idx="934">
                  <c:v>9.8447382385771429E-3</c:v>
                </c:pt>
                <c:pt idx="935">
                  <c:v>9.8486413468137565E-3</c:v>
                </c:pt>
                <c:pt idx="936">
                  <c:v>9.8524855857270409E-3</c:v>
                </c:pt>
                <c:pt idx="937">
                  <c:v>9.8562709551458291E-3</c:v>
                </c:pt>
                <c:pt idx="938">
                  <c:v>9.8599974548972142E-3</c:v>
                </c:pt>
                <c:pt idx="939">
                  <c:v>9.863665084815244E-3</c:v>
                </c:pt>
                <c:pt idx="940">
                  <c:v>9.8672738447348335E-3</c:v>
                </c:pt>
                <c:pt idx="941">
                  <c:v>9.8708237344917651E-3</c:v>
                </c:pt>
                <c:pt idx="942">
                  <c:v>9.8743147539279031E-3</c:v>
                </c:pt>
                <c:pt idx="943">
                  <c:v>9.8777469028851171E-3</c:v>
                </c:pt>
                <c:pt idx="944">
                  <c:v>9.8811201812096117E-3</c:v>
                </c:pt>
                <c:pt idx="945">
                  <c:v>9.8844345887484711E-3</c:v>
                </c:pt>
                <c:pt idx="946">
                  <c:v>9.8873330357061185E-3</c:v>
                </c:pt>
                <c:pt idx="947">
                  <c:v>9.8905338185044846E-3</c:v>
                </c:pt>
                <c:pt idx="948">
                  <c:v>9.8936757316771956E-3</c:v>
                </c:pt>
                <c:pt idx="949">
                  <c:v>9.8981353877868033E-3</c:v>
                </c:pt>
                <c:pt idx="950">
                  <c:v>9.9011430716454043E-3</c:v>
                </c:pt>
                <c:pt idx="951">
                  <c:v>9.903084739328015E-3</c:v>
                </c:pt>
                <c:pt idx="952">
                  <c:v>9.9059870473428013E-3</c:v>
                </c:pt>
                <c:pt idx="953">
                  <c:v>9.9088304834528476E-3</c:v>
                </c:pt>
                <c:pt idx="954">
                  <c:v>9.9116150475304261E-3</c:v>
                </c:pt>
                <c:pt idx="955">
                  <c:v>9.9143407394504217E-3</c:v>
                </c:pt>
                <c:pt idx="956">
                  <c:v>9.9170075590894538E-3</c:v>
                </c:pt>
                <c:pt idx="957">
                  <c:v>9.9196155063276184E-3</c:v>
                </c:pt>
                <c:pt idx="958">
                  <c:v>9.9221645810476187E-3</c:v>
                </c:pt>
                <c:pt idx="959">
                  <c:v>9.9240475141515461E-3</c:v>
                </c:pt>
                <c:pt idx="960">
                  <c:v>9.9264871195465787E-3</c:v>
                </c:pt>
                <c:pt idx="961">
                  <c:v>9.9288678553124399E-3</c:v>
                </c:pt>
                <c:pt idx="962">
                  <c:v>9.9327791138042361E-3</c:v>
                </c:pt>
                <c:pt idx="963">
                  <c:v>9.9352888360860134E-3</c:v>
                </c:pt>
                <c:pt idx="964">
                  <c:v>9.9356568438002668E-3</c:v>
                </c:pt>
                <c:pt idx="965">
                  <c:v>9.937802100028037E-3</c:v>
                </c:pt>
                <c:pt idx="966">
                  <c:v>9.9398884861283676E-3</c:v>
                </c:pt>
                <c:pt idx="967">
                  <c:v>9.9419160020097763E-3</c:v>
                </c:pt>
                <c:pt idx="968">
                  <c:v>9.9436177272320351E-3</c:v>
                </c:pt>
                <c:pt idx="969">
                  <c:v>9.9455316546387083E-3</c:v>
                </c:pt>
                <c:pt idx="970">
                  <c:v>9.9473870454792248E-3</c:v>
                </c:pt>
                <c:pt idx="971">
                  <c:v>9.94918981344739E-3</c:v>
                </c:pt>
                <c:pt idx="972">
                  <c:v>9.9517164730193921E-3</c:v>
                </c:pt>
                <c:pt idx="973">
                  <c:v>9.9534461969973554E-3</c:v>
                </c:pt>
                <c:pt idx="974">
                  <c:v>9.955158397904498E-3</c:v>
                </c:pt>
                <c:pt idx="975">
                  <c:v>9.9568634134515072E-3</c:v>
                </c:pt>
                <c:pt idx="976">
                  <c:v>9.958309350049311E-3</c:v>
                </c:pt>
                <c:pt idx="977">
                  <c:v>9.9600272744577532E-3</c:v>
                </c:pt>
                <c:pt idx="978">
                  <c:v>9.9617684418526319E-3</c:v>
                </c:pt>
                <c:pt idx="979">
                  <c:v>9.9635433033297624E-3</c:v>
                </c:pt>
                <c:pt idx="980">
                  <c:v>9.9656425319054522E-3</c:v>
                </c:pt>
                <c:pt idx="981">
                  <c:v>9.9675215282248597E-3</c:v>
                </c:pt>
                <c:pt idx="982">
                  <c:v>9.9703348383613829E-3</c:v>
                </c:pt>
                <c:pt idx="983">
                  <c:v>9.9714843111136497E-3</c:v>
                </c:pt>
                <c:pt idx="984">
                  <c:v>9.9735799074700936E-3</c:v>
                </c:pt>
                <c:pt idx="985">
                  <c:v>9.9757524978898362E-3</c:v>
                </c:pt>
                <c:pt idx="986">
                  <c:v>9.9780020825023397E-3</c:v>
                </c:pt>
                <c:pt idx="987">
                  <c:v>9.9803286614405396E-3</c:v>
                </c:pt>
                <c:pt idx="988">
                  <c:v>9.9827322348391145E-3</c:v>
                </c:pt>
                <c:pt idx="989">
                  <c:v>9.9852128028414238E-3</c:v>
                </c:pt>
                <c:pt idx="990">
                  <c:v>9.9877703655934392E-3</c:v>
                </c:pt>
                <c:pt idx="991">
                  <c:v>9.9904049232446088E-3</c:v>
                </c:pt>
                <c:pt idx="992">
                  <c:v>9.993116475951325E-3</c:v>
                </c:pt>
                <c:pt idx="993">
                  <c:v>9.9959050238734633E-3</c:v>
                </c:pt>
                <c:pt idx="994">
                  <c:v>9.9987705671734997E-3</c:v>
                </c:pt>
                <c:pt idx="995">
                  <c:v>1.0001713106021735E-2</c:v>
                </c:pt>
                <c:pt idx="996">
                  <c:v>1.0004732640591074E-2</c:v>
                </c:pt>
                <c:pt idx="997">
                  <c:v>1.0007829171057895E-2</c:v>
                </c:pt>
                <c:pt idx="998">
                  <c:v>1.0010622414392996E-2</c:v>
                </c:pt>
                <c:pt idx="999">
                  <c:v>1.0013867347324583E-2</c:v>
                </c:pt>
                <c:pt idx="1000">
                  <c:v>1.001718927453262E-2</c:v>
                </c:pt>
                <c:pt idx="1001">
                  <c:v>1.0020588196210357E-2</c:v>
                </c:pt>
                <c:pt idx="1002">
                  <c:v>1.0025677982328111E-2</c:v>
                </c:pt>
                <c:pt idx="1003">
                  <c:v>1.0028025278261025E-2</c:v>
                </c:pt>
                <c:pt idx="1004">
                  <c:v>1.0031660785378115E-2</c:v>
                </c:pt>
                <c:pt idx="1005">
                  <c:v>1.0035373289979244E-2</c:v>
                </c:pt>
                <c:pt idx="1006">
                  <c:v>1.003916279228337E-2</c:v>
                </c:pt>
                <c:pt idx="1007">
                  <c:v>1.0043029292512055E-2</c:v>
                </c:pt>
                <c:pt idx="1008">
                  <c:v>1.0046972790895546E-2</c:v>
                </c:pt>
                <c:pt idx="1009">
                  <c:v>1.00509932876641E-2</c:v>
                </c:pt>
                <c:pt idx="1010">
                  <c:v>1.0055090783054912E-2</c:v>
                </c:pt>
                <c:pt idx="1011">
                  <c:v>1.0058359575708664E-2</c:v>
                </c:pt>
                <c:pt idx="1012">
                  <c:v>1.0062599832456165E-2</c:v>
                </c:pt>
                <c:pt idx="1013">
                  <c:v>1.0066917084125215E-2</c:v>
                </c:pt>
                <c:pt idx="1014">
                  <c:v>1.0071311330966282E-2</c:v>
                </c:pt>
                <c:pt idx="1015">
                  <c:v>1.0075782573232495E-2</c:v>
                </c:pt>
                <c:pt idx="1016">
                  <c:v>1.0080330811180538E-2</c:v>
                </c:pt>
                <c:pt idx="1017">
                  <c:v>1.0084956045072424E-2</c:v>
                </c:pt>
                <c:pt idx="1018">
                  <c:v>1.0089658275173718E-2</c:v>
                </c:pt>
                <c:pt idx="1019">
                  <c:v>1.009443750175798E-2</c:v>
                </c:pt>
                <c:pt idx="1020">
                  <c:v>1.0098791049428141E-2</c:v>
                </c:pt>
                <c:pt idx="1021">
                  <c:v>1.0103718631900536E-2</c:v>
                </c:pt>
                <c:pt idx="1022">
                  <c:v>1.0108723204987265E-2</c:v>
                </c:pt>
                <c:pt idx="1023">
                  <c:v>1.0113802500037442E-2</c:v>
                </c:pt>
                <c:pt idx="1024">
                  <c:v>1.0120515565848887E-2</c:v>
                </c:pt>
                <c:pt idx="1025">
                  <c:v>1.0125725838170301E-2</c:v>
                </c:pt>
                <c:pt idx="1026">
                  <c:v>1.0130981415323774E-2</c:v>
                </c:pt>
                <c:pt idx="1027">
                  <c:v>1.0136273422016633E-2</c:v>
                </c:pt>
                <c:pt idx="1028">
                  <c:v>1.0141066520908971E-2</c:v>
                </c:pt>
                <c:pt idx="1029">
                  <c:v>1.0146405640502882E-2</c:v>
                </c:pt>
                <c:pt idx="1030">
                  <c:v>1.0151755106506238E-2</c:v>
                </c:pt>
                <c:pt idx="1031">
                  <c:v>1.015710594615892E-2</c:v>
                </c:pt>
                <c:pt idx="1032">
                  <c:v>1.0162449186652496E-2</c:v>
                </c:pt>
                <c:pt idx="1033">
                  <c:v>1.017008590972244E-2</c:v>
                </c:pt>
                <c:pt idx="1034">
                  <c:v>1.0173591961470073E-2</c:v>
                </c:pt>
                <c:pt idx="1035">
                  <c:v>1.0178856004693999E-2</c:v>
                </c:pt>
                <c:pt idx="1036">
                  <c:v>1.0184080677517074E-2</c:v>
                </c:pt>
                <c:pt idx="1037">
                  <c:v>1.0189265703766298E-2</c:v>
                </c:pt>
                <c:pt idx="1038">
                  <c:v>1.0194411083285275E-2</c:v>
                </c:pt>
                <c:pt idx="1039">
                  <c:v>1.0199516815916741E-2</c:v>
                </c:pt>
                <c:pt idx="1040">
                  <c:v>1.0204582901506904E-2</c:v>
                </c:pt>
                <c:pt idx="1041">
                  <c:v>1.0209609339902845E-2</c:v>
                </c:pt>
                <c:pt idx="1042">
                  <c:v>1.021459613095164E-2</c:v>
                </c:pt>
                <c:pt idx="1043">
                  <c:v>1.0219543274501239E-2</c:v>
                </c:pt>
                <c:pt idx="1044">
                  <c:v>1.0224450770402195E-2</c:v>
                </c:pt>
                <c:pt idx="1045">
                  <c:v>1.0229318618505064E-2</c:v>
                </c:pt>
                <c:pt idx="1046">
                  <c:v>1.0234146818664743E-2</c:v>
                </c:pt>
                <c:pt idx="1047">
                  <c:v>1.0238935370731787E-2</c:v>
                </c:pt>
                <c:pt idx="1048">
                  <c:v>1.0243684274561963E-2</c:v>
                </c:pt>
                <c:pt idx="1049">
                  <c:v>1.0248393530011907E-2</c:v>
                </c:pt>
                <c:pt idx="1050">
                  <c:v>1.0252591209788008E-2</c:v>
                </c:pt>
                <c:pt idx="1051">
                  <c:v>1.0257223868312935E-2</c:v>
                </c:pt>
                <c:pt idx="1052">
                  <c:v>1.0261816879111001E-2</c:v>
                </c:pt>
                <c:pt idx="1053">
                  <c:v>1.0266370242046054E-2</c:v>
                </c:pt>
                <c:pt idx="1054">
                  <c:v>1.0271345076597787E-2</c:v>
                </c:pt>
                <c:pt idx="1055">
                  <c:v>1.027581643880871E-2</c:v>
                </c:pt>
                <c:pt idx="1056">
                  <c:v>1.0280248151663663E-2</c:v>
                </c:pt>
                <c:pt idx="1057">
                  <c:v>1.0284640215029705E-2</c:v>
                </c:pt>
                <c:pt idx="1058">
                  <c:v>1.028899262877303E-2</c:v>
                </c:pt>
                <c:pt idx="1059">
                  <c:v>1.0293305392762443E-2</c:v>
                </c:pt>
                <c:pt idx="1060">
                  <c:v>1.0297578506866741E-2</c:v>
                </c:pt>
                <c:pt idx="1061">
                  <c:v>1.0301811970955593E-2</c:v>
                </c:pt>
                <c:pt idx="1062">
                  <c:v>1.0306005784903016E-2</c:v>
                </c:pt>
                <c:pt idx="1063">
                  <c:v>1.0309723209422941E-2</c:v>
                </c:pt>
                <c:pt idx="1064">
                  <c:v>1.0313840437103488E-2</c:v>
                </c:pt>
                <c:pt idx="1065">
                  <c:v>1.0317918015360071E-2</c:v>
                </c:pt>
                <c:pt idx="1066">
                  <c:v>1.0321955944069712E-2</c:v>
                </c:pt>
                <c:pt idx="1067">
                  <c:v>1.0326522169117018E-2</c:v>
                </c:pt>
                <c:pt idx="1068">
                  <c:v>1.0330475134107083E-2</c:v>
                </c:pt>
                <c:pt idx="1069">
                  <c:v>1.0336067131624617E-2</c:v>
                </c:pt>
                <c:pt idx="1070">
                  <c:v>1.0338262114199031E-2</c:v>
                </c:pt>
                <c:pt idx="1071">
                  <c:v>1.0342096129069013E-2</c:v>
                </c:pt>
                <c:pt idx="1072">
                  <c:v>1.0345478361052152E-2</c:v>
                </c:pt>
                <c:pt idx="1073">
                  <c:v>1.0349235799583134E-2</c:v>
                </c:pt>
                <c:pt idx="1074">
                  <c:v>1.0352953588724567E-2</c:v>
                </c:pt>
                <c:pt idx="1075">
                  <c:v>1.0357035684698526E-2</c:v>
                </c:pt>
                <c:pt idx="1076">
                  <c:v>1.0362273837708994E-2</c:v>
                </c:pt>
                <c:pt idx="1077">
                  <c:v>1.0365461543070741E-2</c:v>
                </c:pt>
                <c:pt idx="1078">
                  <c:v>1.036900981315105E-2</c:v>
                </c:pt>
                <c:pt idx="1079">
                  <c:v>1.0372518428848601E-2</c:v>
                </c:pt>
                <c:pt idx="1080">
                  <c:v>1.0374817987266105E-2</c:v>
                </c:pt>
                <c:pt idx="1081">
                  <c:v>1.0378255494441716E-2</c:v>
                </c:pt>
                <c:pt idx="1082">
                  <c:v>1.0383577179468431E-2</c:v>
                </c:pt>
                <c:pt idx="1083">
                  <c:v>1.038501155462159E-2</c:v>
                </c:pt>
                <c:pt idx="1084">
                  <c:v>1.0389466687811667E-2</c:v>
                </c:pt>
                <c:pt idx="1085">
                  <c:v>1.0392737374964269E-2</c:v>
                </c:pt>
                <c:pt idx="1086">
                  <c:v>1.0395968406999382E-2</c:v>
                </c:pt>
                <c:pt idx="1087">
                  <c:v>1.0399159783814112E-2</c:v>
                </c:pt>
                <c:pt idx="1088">
                  <c:v>1.0402678898081868E-2</c:v>
                </c:pt>
                <c:pt idx="1089">
                  <c:v>1.0405423571392946E-2</c:v>
                </c:pt>
                <c:pt idx="1090">
                  <c:v>1.040849598196231E-2</c:v>
                </c:pt>
                <c:pt idx="1091">
                  <c:v>1.0411528736924365E-2</c:v>
                </c:pt>
                <c:pt idx="1092">
                  <c:v>1.041452183618472E-2</c:v>
                </c:pt>
                <c:pt idx="1093">
                  <c:v>1.0416412746474925E-2</c:v>
                </c:pt>
                <c:pt idx="1094">
                  <c:v>1.0420389067233811E-2</c:v>
                </c:pt>
                <c:pt idx="1095">
                  <c:v>1.0423263198839716E-2</c:v>
                </c:pt>
                <c:pt idx="1096">
                  <c:v>1.0426097674379953E-2</c:v>
                </c:pt>
                <c:pt idx="1097">
                  <c:v>1.0428892493768637E-2</c:v>
                </c:pt>
                <c:pt idx="1098">
                  <c:v>1.0431647656918178E-2</c:v>
                </c:pt>
                <c:pt idx="1099">
                  <c:v>1.0434363163742688E-2</c:v>
                </c:pt>
                <c:pt idx="1100">
                  <c:v>1.0437039014158826E-2</c:v>
                </c:pt>
                <c:pt idx="1101">
                  <c:v>1.0439675208084108E-2</c:v>
                </c:pt>
                <c:pt idx="1102">
                  <c:v>1.0441283533629501E-2</c:v>
                </c:pt>
                <c:pt idx="1103">
                  <c:v>1.0443848689262023E-2</c:v>
                </c:pt>
                <c:pt idx="1104">
                  <c:v>1.0446374191569524E-2</c:v>
                </c:pt>
                <c:pt idx="1105">
                  <c:v>1.0448860040479976E-2</c:v>
                </c:pt>
                <c:pt idx="1106">
                  <c:v>1.0451306235916079E-2</c:v>
                </c:pt>
                <c:pt idx="1107">
                  <c:v>1.0454659580820765E-2</c:v>
                </c:pt>
                <c:pt idx="1108">
                  <c:v>1.0457018177087144E-2</c:v>
                </c:pt>
                <c:pt idx="1109">
                  <c:v>1.0459337116241887E-2</c:v>
                </c:pt>
                <c:pt idx="1110">
                  <c:v>1.0461616398214409E-2</c:v>
                </c:pt>
                <c:pt idx="1111">
                  <c:v>1.0463856022934133E-2</c:v>
                </c:pt>
                <c:pt idx="1112">
                  <c:v>1.0466055990332172E-2</c:v>
                </c:pt>
                <c:pt idx="1113">
                  <c:v>1.04682163003388E-2</c:v>
                </c:pt>
                <c:pt idx="1114">
                  <c:v>1.0470336952888534E-2</c:v>
                </c:pt>
                <c:pt idx="1115">
                  <c:v>1.0471243602592217E-2</c:v>
                </c:pt>
                <c:pt idx="1116">
                  <c:v>1.0473296032270873E-2</c:v>
                </c:pt>
                <c:pt idx="1117">
                  <c:v>1.0475308808879369E-2</c:v>
                </c:pt>
                <c:pt idx="1118">
                  <c:v>1.0477281932357307E-2</c:v>
                </c:pt>
                <c:pt idx="1119">
                  <c:v>1.0479215402646069E-2</c:v>
                </c:pt>
                <c:pt idx="1120">
                  <c:v>1.0481109219689699E-2</c:v>
                </c:pt>
                <c:pt idx="1121">
                  <c:v>1.0482963383431354E-2</c:v>
                </c:pt>
                <c:pt idx="1122">
                  <c:v>1.0484777893815966E-2</c:v>
                </c:pt>
                <c:pt idx="1123">
                  <c:v>1.0486552750790246E-2</c:v>
                </c:pt>
                <c:pt idx="1124">
                  <c:v>1.048801871668449E-2</c:v>
                </c:pt>
                <c:pt idx="1125">
                  <c:v>1.0489717049658967E-2</c:v>
                </c:pt>
                <c:pt idx="1126">
                  <c:v>1.0491375730218163E-2</c:v>
                </c:pt>
                <c:pt idx="1127">
                  <c:v>1.0492994758312673E-2</c:v>
                </c:pt>
                <c:pt idx="1128">
                  <c:v>1.0495862020993651E-2</c:v>
                </c:pt>
                <c:pt idx="1129">
                  <c:v>1.0497387804486393E-2</c:v>
                </c:pt>
                <c:pt idx="1130">
                  <c:v>1.0498873929616584E-2</c:v>
                </c:pt>
                <c:pt idx="1131">
                  <c:v>1.0500320396340003E-2</c:v>
                </c:pt>
                <c:pt idx="1132">
                  <c:v>1.0501779603624735E-2</c:v>
                </c:pt>
                <c:pt idx="1133">
                  <c:v>1.0502364259822476E-2</c:v>
                </c:pt>
                <c:pt idx="1134">
                  <c:v>1.0503700132555348E-2</c:v>
                </c:pt>
                <c:pt idx="1135">
                  <c:v>1.050499635017035E-2</c:v>
                </c:pt>
                <c:pt idx="1136">
                  <c:v>1.0506252912627074E-2</c:v>
                </c:pt>
                <c:pt idx="1137">
                  <c:v>1.0508166367704524E-2</c:v>
                </c:pt>
                <c:pt idx="1138">
                  <c:v>1.0509335224391708E-2</c:v>
                </c:pt>
                <c:pt idx="1139">
                  <c:v>1.0510464422346424E-2</c:v>
                </c:pt>
                <c:pt idx="1140">
                  <c:v>1.0511777219920347E-2</c:v>
                </c:pt>
                <c:pt idx="1141">
                  <c:v>1.051260384192494E-2</c:v>
                </c:pt>
                <c:pt idx="1142">
                  <c:v>1.051361406348071E-2</c:v>
                </c:pt>
                <c:pt idx="1143">
                  <c:v>1.0514584626173053E-2</c:v>
                </c:pt>
                <c:pt idx="1144">
                  <c:v>1.0515515529971355E-2</c:v>
                </c:pt>
                <c:pt idx="1145">
                  <c:v>1.0515777486839477E-2</c:v>
                </c:pt>
                <c:pt idx="1146">
                  <c:v>1.0517258360772733E-2</c:v>
                </c:pt>
                <c:pt idx="1147">
                  <c:v>1.0518070287720536E-2</c:v>
                </c:pt>
                <c:pt idx="1148">
                  <c:v>1.0518842555666298E-2</c:v>
                </c:pt>
                <c:pt idx="1149">
                  <c:v>1.0519575164587061E-2</c:v>
                </c:pt>
                <c:pt idx="1150">
                  <c:v>1.0520268114459011E-2</c:v>
                </c:pt>
                <c:pt idx="1151">
                  <c:v>1.0520921405260893E-2</c:v>
                </c:pt>
                <c:pt idx="1152">
                  <c:v>1.0521535036972294E-2</c:v>
                </c:pt>
                <c:pt idx="1153">
                  <c:v>1.0522109009574506E-2</c:v>
                </c:pt>
                <c:pt idx="1154">
                  <c:v>1.0522089967760752E-2</c:v>
                </c:pt>
                <c:pt idx="1155">
                  <c:v>1.0522593076424931E-2</c:v>
                </c:pt>
                <c:pt idx="1156">
                  <c:v>1.0523056529403782E-2</c:v>
                </c:pt>
                <c:pt idx="1157">
                  <c:v>1.0523480326684128E-2</c:v>
                </c:pt>
                <c:pt idx="1158">
                  <c:v>1.0524383985365236E-2</c:v>
                </c:pt>
                <c:pt idx="1159">
                  <c:v>1.0524720002981521E-2</c:v>
                </c:pt>
                <c:pt idx="1160">
                  <c:v>1.0525016361389122E-2</c:v>
                </c:pt>
                <c:pt idx="1161">
                  <c:v>1.0525273060579536E-2</c:v>
                </c:pt>
                <c:pt idx="1162">
                  <c:v>1.0525490100545111E-2</c:v>
                </c:pt>
                <c:pt idx="1163">
                  <c:v>1.0525667481278192E-2</c:v>
                </c:pt>
                <c:pt idx="1164">
                  <c:v>1.0525805202774526E-2</c:v>
                </c:pt>
                <c:pt idx="1165">
                  <c:v>1.0525903265029012E-2</c:v>
                </c:pt>
                <c:pt idx="1166">
                  <c:v>1.05259616680391E-2</c:v>
                </c:pt>
                <c:pt idx="1167">
                  <c:v>1.0525388973609218E-2</c:v>
                </c:pt>
                <c:pt idx="1168">
                  <c:v>1.0525379390457168E-2</c:v>
                </c:pt>
                <c:pt idx="1169">
                  <c:v>1.0525330152691303E-2</c:v>
                </c:pt>
                <c:pt idx="1170">
                  <c:v>1.0525241260311624E-2</c:v>
                </c:pt>
                <c:pt idx="1171">
                  <c:v>1.052477326713289E-2</c:v>
                </c:pt>
                <c:pt idx="1172">
                  <c:v>1.0524993154220338E-2</c:v>
                </c:pt>
                <c:pt idx="1173">
                  <c:v>1.0524765464073162E-2</c:v>
                </c:pt>
                <c:pt idx="1174">
                  <c:v>1.05246250385128E-2</c:v>
                </c:pt>
                <c:pt idx="1175">
                  <c:v>1.0524191116536599E-2</c:v>
                </c:pt>
                <c:pt idx="1176">
                  <c:v>1.0523965695148546E-2</c:v>
                </c:pt>
                <c:pt idx="1177">
                  <c:v>1.052345814606986E-2</c:v>
                </c:pt>
                <c:pt idx="1178">
                  <c:v>1.0523032412129452E-2</c:v>
                </c:pt>
                <c:pt idx="1179">
                  <c:v>1.0522683336794259E-2</c:v>
                </c:pt>
                <c:pt idx="1180">
                  <c:v>1.052218599444261E-2</c:v>
                </c:pt>
                <c:pt idx="1181">
                  <c:v>1.0521659923586167E-2</c:v>
                </c:pt>
                <c:pt idx="1182">
                  <c:v>1.0521108949150527E-2</c:v>
                </c:pt>
                <c:pt idx="1183">
                  <c:v>1.0520536896056936E-2</c:v>
                </c:pt>
                <c:pt idx="1184">
                  <c:v>1.0519838671081123E-2</c:v>
                </c:pt>
                <c:pt idx="1185">
                  <c:v>1.0519235900170136E-2</c:v>
                </c:pt>
                <c:pt idx="1186">
                  <c:v>1.0518623303475009E-2</c:v>
                </c:pt>
                <c:pt idx="1187">
                  <c:v>1.0517827464275632E-2</c:v>
                </c:pt>
                <c:pt idx="1188">
                  <c:v>1.0517384100066109E-2</c:v>
                </c:pt>
                <c:pt idx="1189">
                  <c:v>1.0516788182334017E-2</c:v>
                </c:pt>
                <c:pt idx="1190">
                  <c:v>1.0516263615096545E-2</c:v>
                </c:pt>
                <c:pt idx="1191">
                  <c:v>1.0515660397395536E-2</c:v>
                </c:pt>
                <c:pt idx="1192">
                  <c:v>1.0514983984834792E-2</c:v>
                </c:pt>
                <c:pt idx="1193">
                  <c:v>1.0514485772672831E-2</c:v>
                </c:pt>
                <c:pt idx="1194">
                  <c:v>1.0513833619463136E-2</c:v>
                </c:pt>
                <c:pt idx="1195">
                  <c:v>1.0513353601807076E-2</c:v>
                </c:pt>
                <c:pt idx="1196">
                  <c:v>1.0512803436558067E-2</c:v>
                </c:pt>
                <c:pt idx="1197">
                  <c:v>1.0512263884760044E-2</c:v>
                </c:pt>
                <c:pt idx="1198">
                  <c:v>1.0511734946407796E-2</c:v>
                </c:pt>
                <c:pt idx="1199">
                  <c:v>1.0511216621497847E-2</c:v>
                </c:pt>
                <c:pt idx="1200">
                  <c:v>1.0510708910024983E-2</c:v>
                </c:pt>
                <c:pt idx="1201">
                  <c:v>1.051021181198486E-2</c:v>
                </c:pt>
                <c:pt idx="1202">
                  <c:v>1.0509725327375742E-2</c:v>
                </c:pt>
                <c:pt idx="1203">
                  <c:v>1.0509249456190676E-2</c:v>
                </c:pt>
                <c:pt idx="1204">
                  <c:v>1.0508784198427925E-2</c:v>
                </c:pt>
                <c:pt idx="1205">
                  <c:v>1.0508265471291028E-2</c:v>
                </c:pt>
                <c:pt idx="1206">
                  <c:v>1.0507762018730452E-2</c:v>
                </c:pt>
                <c:pt idx="1207">
                  <c:v>1.050732785576553E-2</c:v>
                </c:pt>
                <c:pt idx="1208">
                  <c:v>1.0506904305896946E-2</c:v>
                </c:pt>
                <c:pt idx="1209">
                  <c:v>1.050649136912294E-2</c:v>
                </c:pt>
                <c:pt idx="1210">
                  <c:v>1.0506215533496732E-2</c:v>
                </c:pt>
                <c:pt idx="1211">
                  <c:v>1.0505824569585053E-2</c:v>
                </c:pt>
                <c:pt idx="1212">
                  <c:v>1.0505444219065277E-2</c:v>
                </c:pt>
                <c:pt idx="1213">
                  <c:v>1.0505074481937406E-2</c:v>
                </c:pt>
                <c:pt idx="1214">
                  <c:v>1.0504715358197097E-2</c:v>
                </c:pt>
                <c:pt idx="1215">
                  <c:v>1.050436684784087E-2</c:v>
                </c:pt>
                <c:pt idx="1216">
                  <c:v>1.0504028950866991E-2</c:v>
                </c:pt>
                <c:pt idx="1217">
                  <c:v>1.0503701667271983E-2</c:v>
                </c:pt>
                <c:pt idx="1218">
                  <c:v>1.0503384997054109E-2</c:v>
                </c:pt>
                <c:pt idx="1219">
                  <c:v>1.0502945720863549E-2</c:v>
                </c:pt>
                <c:pt idx="1220">
                  <c:v>1.0502649527922606E-2</c:v>
                </c:pt>
                <c:pt idx="1221">
                  <c:v>1.0502363948041984E-2</c:v>
                </c:pt>
                <c:pt idx="1222">
                  <c:v>1.0502088981219047E-2</c:v>
                </c:pt>
                <c:pt idx="1223">
                  <c:v>1.0501651476895191E-2</c:v>
                </c:pt>
                <c:pt idx="1224">
                  <c:v>1.0501398501626014E-2</c:v>
                </c:pt>
                <c:pt idx="1225">
                  <c:v>1.050129389292143E-2</c:v>
                </c:pt>
                <c:pt idx="1226">
                  <c:v>1.0500924389310384E-2</c:v>
                </c:pt>
                <c:pt idx="1227">
                  <c:v>1.0500703252259491E-2</c:v>
                </c:pt>
                <c:pt idx="1228">
                  <c:v>1.0500632736667289E-2</c:v>
                </c:pt>
                <c:pt idx="1229">
                  <c:v>1.0500292816366219E-2</c:v>
                </c:pt>
                <c:pt idx="1230">
                  <c:v>1.0500103517520287E-2</c:v>
                </c:pt>
                <c:pt idx="1231">
                  <c:v>1.0500067097805824E-2</c:v>
                </c:pt>
                <c:pt idx="1232">
                  <c:v>1.0500042871768891E-2</c:v>
                </c:pt>
                <c:pt idx="1233">
                  <c:v>1.049988691813193E-2</c:v>
                </c:pt>
                <c:pt idx="1234">
                  <c:v>1.0499741577839086E-2</c:v>
                </c:pt>
                <c:pt idx="1235">
                  <c:v>1.0499606850892096E-2</c:v>
                </c:pt>
                <c:pt idx="1236">
                  <c:v>1.0499336627136379E-2</c:v>
                </c:pt>
                <c:pt idx="1237">
                  <c:v>1.0499222372107203E-2</c:v>
                </c:pt>
                <c:pt idx="1238">
                  <c:v>1.0499091067442481E-2</c:v>
                </c:pt>
                <c:pt idx="1239">
                  <c:v>1.0499001070770389E-2</c:v>
                </c:pt>
                <c:pt idx="1240">
                  <c:v>1.0499359803014269E-2</c:v>
                </c:pt>
                <c:pt idx="1241">
                  <c:v>1.0499003019658386E-2</c:v>
                </c:pt>
                <c:pt idx="1242">
                  <c:v>1.0498945618478056E-2</c:v>
                </c:pt>
                <c:pt idx="1243">
                  <c:v>1.0499348636818713E-2</c:v>
                </c:pt>
                <c:pt idx="1244">
                  <c:v>1.0498862656131498E-2</c:v>
                </c:pt>
                <c:pt idx="1245">
                  <c:v>1.0498837094964401E-2</c:v>
                </c:pt>
                <c:pt idx="1246">
                  <c:v>1.0498822147133602E-2</c:v>
                </c:pt>
                <c:pt idx="1247">
                  <c:v>1.0498817812640837E-2</c:v>
                </c:pt>
                <c:pt idx="1248">
                  <c:v>1.0498824091484371E-2</c:v>
                </c:pt>
                <c:pt idx="1249">
                  <c:v>1.0498840983665068E-2</c:v>
                </c:pt>
                <c:pt idx="1250">
                  <c:v>1.0498868489182932E-2</c:v>
                </c:pt>
                <c:pt idx="1251">
                  <c:v>1.0498906608037961E-2</c:v>
                </c:pt>
                <c:pt idx="1252">
                  <c:v>1.0498955340231023E-2</c:v>
                </c:pt>
                <c:pt idx="1253">
                  <c:v>1.0499014685762122E-2</c:v>
                </c:pt>
                <c:pt idx="1254">
                  <c:v>1.0499084644631253E-2</c:v>
                </c:pt>
                <c:pt idx="1255">
                  <c:v>1.0499165216839291E-2</c:v>
                </c:pt>
                <c:pt idx="1256">
                  <c:v>1.0499256402387098E-2</c:v>
                </c:pt>
                <c:pt idx="1257">
                  <c:v>1.0499358201276416E-2</c:v>
                </c:pt>
                <c:pt idx="1258">
                  <c:v>1.0499307609498855E-2</c:v>
                </c:pt>
                <c:pt idx="1259">
                  <c:v>1.0499429873413891E-2</c:v>
                </c:pt>
                <c:pt idx="1260">
                  <c:v>1.0499562750362016E-2</c:v>
                </c:pt>
                <c:pt idx="1261">
                  <c:v>1.0500367855341346E-2</c:v>
                </c:pt>
                <c:pt idx="1262">
                  <c:v>1.0500525008967037E-2</c:v>
                </c:pt>
                <c:pt idx="1263">
                  <c:v>1.0500191874810971E-2</c:v>
                </c:pt>
                <c:pt idx="1264">
                  <c:v>1.0500367967109974E-2</c:v>
                </c:pt>
                <c:pt idx="1265">
                  <c:v>1.0500554672760044E-2</c:v>
                </c:pt>
                <c:pt idx="1266">
                  <c:v>1.0500751991760314E-2</c:v>
                </c:pt>
                <c:pt idx="1267">
                  <c:v>1.0500959924114258E-2</c:v>
                </c:pt>
                <c:pt idx="1268">
                  <c:v>1.0501178469821876E-2</c:v>
                </c:pt>
                <c:pt idx="1269">
                  <c:v>1.0501407628884905E-2</c:v>
                </c:pt>
                <c:pt idx="1270">
                  <c:v>1.0501647401305953E-2</c:v>
                </c:pt>
                <c:pt idx="1271">
                  <c:v>1.050172485741014E-2</c:v>
                </c:pt>
                <c:pt idx="1272">
                  <c:v>1.0501985090874808E-2</c:v>
                </c:pt>
                <c:pt idx="1273">
                  <c:v>1.0502255937392768E-2</c:v>
                </c:pt>
                <c:pt idx="1274">
                  <c:v>1.0502878661724791E-2</c:v>
                </c:pt>
                <c:pt idx="1275">
                  <c:v>1.050300113329863E-2</c:v>
                </c:pt>
                <c:pt idx="1276">
                  <c:v>1.0503132155298913E-2</c:v>
                </c:pt>
                <c:pt idx="1277">
                  <c:v>1.0503445454058156E-2</c:v>
                </c:pt>
                <c:pt idx="1278">
                  <c:v>1.050376936588299E-2</c:v>
                </c:pt>
                <c:pt idx="1279">
                  <c:v>1.0504103890777808E-2</c:v>
                </c:pt>
                <c:pt idx="1280">
                  <c:v>1.0504269273535982E-2</c:v>
                </c:pt>
                <c:pt idx="1281">
                  <c:v>1.0504624256154393E-2</c:v>
                </c:pt>
                <c:pt idx="1282">
                  <c:v>1.0504989851540358E-2</c:v>
                </c:pt>
                <c:pt idx="1283">
                  <c:v>1.0505366059695653E-2</c:v>
                </c:pt>
                <c:pt idx="1284">
                  <c:v>1.0506118619036798E-2</c:v>
                </c:pt>
                <c:pt idx="1285">
                  <c:v>1.0506517592109637E-2</c:v>
                </c:pt>
                <c:pt idx="1286">
                  <c:v>1.0506927178581333E-2</c:v>
                </c:pt>
                <c:pt idx="1287">
                  <c:v>1.0507347378456228E-2</c:v>
                </c:pt>
                <c:pt idx="1288">
                  <c:v>1.0507592203394152E-2</c:v>
                </c:pt>
                <c:pt idx="1289">
                  <c:v>1.0508032859138134E-2</c:v>
                </c:pt>
                <c:pt idx="1290">
                  <c:v>1.0508484127984601E-2</c:v>
                </c:pt>
                <c:pt idx="1291">
                  <c:v>1.0508946009937944E-2</c:v>
                </c:pt>
                <c:pt idx="1292">
                  <c:v>1.0509418505002557E-2</c:v>
                </c:pt>
                <c:pt idx="1293">
                  <c:v>1.051054159652156E-2</c:v>
                </c:pt>
                <c:pt idx="1294">
                  <c:v>1.0510585953150735E-2</c:v>
                </c:pt>
                <c:pt idx="1295">
                  <c:v>1.0511091060377216E-2</c:v>
                </c:pt>
                <c:pt idx="1296">
                  <c:v>1.0511606781039911E-2</c:v>
                </c:pt>
                <c:pt idx="1297">
                  <c:v>1.0512133115143169E-2</c:v>
                </c:pt>
                <c:pt idx="1298">
                  <c:v>1.0512670062691333E-2</c:v>
                </c:pt>
                <c:pt idx="1299">
                  <c:v>1.0513217623689616E-2</c:v>
                </c:pt>
                <c:pt idx="1300">
                  <c:v>1.0513775798140623E-2</c:v>
                </c:pt>
                <c:pt idx="1301">
                  <c:v>1.0514344586051307E-2</c:v>
                </c:pt>
                <c:pt idx="1302">
                  <c:v>1.0514923987424273E-2</c:v>
                </c:pt>
                <c:pt idx="1303">
                  <c:v>1.0515514002264737E-2</c:v>
                </c:pt>
                <c:pt idx="1304">
                  <c:v>1.0516114630577909E-2</c:v>
                </c:pt>
                <c:pt idx="1305">
                  <c:v>1.0516725872367266E-2</c:v>
                </c:pt>
                <c:pt idx="1306">
                  <c:v>1.0517347727640628E-2</c:v>
                </c:pt>
                <c:pt idx="1307">
                  <c:v>1.0517980196399733E-2</c:v>
                </c:pt>
                <c:pt idx="1308">
                  <c:v>1.0518623278652399E-2</c:v>
                </c:pt>
                <c:pt idx="1309">
                  <c:v>1.0519276974402103E-2</c:v>
                </c:pt>
                <c:pt idx="1310">
                  <c:v>1.0519738262763858E-2</c:v>
                </c:pt>
                <c:pt idx="1311">
                  <c:v>1.052041240774282E-2</c:v>
                </c:pt>
                <c:pt idx="1312">
                  <c:v>1.0521097165923527E-2</c:v>
                </c:pt>
                <c:pt idx="1313">
                  <c:v>1.0521792537313009E-2</c:v>
                </c:pt>
                <c:pt idx="1314">
                  <c:v>1.0522704655804294E-2</c:v>
                </c:pt>
                <c:pt idx="1315">
                  <c:v>1.0523422032654392E-2</c:v>
                </c:pt>
                <c:pt idx="1316">
                  <c:v>1.0524150023040626E-2</c:v>
                </c:pt>
                <c:pt idx="1317">
                  <c:v>1.0524888626970817E-2</c:v>
                </c:pt>
                <c:pt idx="1318">
                  <c:v>1.0525637844448441E-2</c:v>
                </c:pt>
                <c:pt idx="1319">
                  <c:v>1.0526397675480447E-2</c:v>
                </c:pt>
                <c:pt idx="1320">
                  <c:v>1.0527168120073788E-2</c:v>
                </c:pt>
                <c:pt idx="1321">
                  <c:v>1.0527949178233676E-2</c:v>
                </c:pt>
                <c:pt idx="1322">
                  <c:v>1.0528740849967062E-2</c:v>
                </c:pt>
                <c:pt idx="1323">
                  <c:v>1.052911690119096E-2</c:v>
                </c:pt>
                <c:pt idx="1324">
                  <c:v>1.0529928236461927E-2</c:v>
                </c:pt>
                <c:pt idx="1325">
                  <c:v>1.0530750184702065E-2</c:v>
                </c:pt>
                <c:pt idx="1326">
                  <c:v>1.0531582745916701E-2</c:v>
                </c:pt>
                <c:pt idx="1327">
                  <c:v>1.0532547239934686E-2</c:v>
                </c:pt>
                <c:pt idx="1328">
                  <c:v>1.0533402543260628E-2</c:v>
                </c:pt>
                <c:pt idx="1329">
                  <c:v>1.0534268459581497E-2</c:v>
                </c:pt>
                <c:pt idx="1330">
                  <c:v>1.0535144988905287E-2</c:v>
                </c:pt>
                <c:pt idx="1331">
                  <c:v>1.0536032131239104E-2</c:v>
                </c:pt>
                <c:pt idx="1332">
                  <c:v>1.0536709728500231E-2</c:v>
                </c:pt>
                <c:pt idx="1333">
                  <c:v>1.0537617312269269E-2</c:v>
                </c:pt>
                <c:pt idx="1334">
                  <c:v>1.0538535508757099E-2</c:v>
                </c:pt>
                <c:pt idx="1335">
                  <c:v>1.0539464317969113E-2</c:v>
                </c:pt>
                <c:pt idx="1336">
                  <c:v>1.0541744719081262E-2</c:v>
                </c:pt>
                <c:pt idx="1337">
                  <c:v>1.0542474988815423E-2</c:v>
                </c:pt>
                <c:pt idx="1338">
                  <c:v>1.0543439567556559E-2</c:v>
                </c:pt>
                <c:pt idx="1339">
                  <c:v>1.0544414760619882E-2</c:v>
                </c:pt>
                <c:pt idx="1340">
                  <c:v>1.0544720521986056E-2</c:v>
                </c:pt>
                <c:pt idx="1341">
                  <c:v>1.0545714581972909E-2</c:v>
                </c:pt>
                <c:pt idx="1342">
                  <c:v>1.0547298119653671E-2</c:v>
                </c:pt>
                <c:pt idx="1343">
                  <c:v>1.0547734542172893E-2</c:v>
                </c:pt>
                <c:pt idx="1344">
                  <c:v>1.0548760442400959E-2</c:v>
                </c:pt>
                <c:pt idx="1345">
                  <c:v>1.0550488820234311E-2</c:v>
                </c:pt>
                <c:pt idx="1346">
                  <c:v>1.05515383137885E-2</c:v>
                </c:pt>
                <c:pt idx="1347">
                  <c:v>1.0552598421730355E-2</c:v>
                </c:pt>
                <c:pt idx="1348">
                  <c:v>1.0553902292500831E-2</c:v>
                </c:pt>
                <c:pt idx="1349">
                  <c:v>1.0554750480820437E-2</c:v>
                </c:pt>
                <c:pt idx="1350">
                  <c:v>1.0555842431985671E-2</c:v>
                </c:pt>
                <c:pt idx="1351">
                  <c:v>1.0556944997576838E-2</c:v>
                </c:pt>
                <c:pt idx="1352">
                  <c:v>1.0558058177601592E-2</c:v>
                </c:pt>
                <c:pt idx="1353">
                  <c:v>1.0559181972070139E-2</c:v>
                </c:pt>
                <c:pt idx="1354">
                  <c:v>1.0560316380992682E-2</c:v>
                </c:pt>
                <c:pt idx="1355">
                  <c:v>1.0561461404376025E-2</c:v>
                </c:pt>
                <c:pt idx="1356">
                  <c:v>1.0562617042232924E-2</c:v>
                </c:pt>
                <c:pt idx="1357">
                  <c:v>1.0563783294571031E-2</c:v>
                </c:pt>
                <c:pt idx="1358">
                  <c:v>1.0564960161400551E-2</c:v>
                </c:pt>
                <c:pt idx="1359">
                  <c:v>1.0566147642730839E-2</c:v>
                </c:pt>
                <c:pt idx="1360">
                  <c:v>1.05673457385721E-2</c:v>
                </c:pt>
                <c:pt idx="1361">
                  <c:v>1.0568554448934538E-2</c:v>
                </c:pt>
                <c:pt idx="1362">
                  <c:v>1.0569041551423479E-2</c:v>
                </c:pt>
                <c:pt idx="1363">
                  <c:v>1.0570269108326199E-2</c:v>
                </c:pt>
                <c:pt idx="1364">
                  <c:v>1.0571507278831226E-2</c:v>
                </c:pt>
                <c:pt idx="1365">
                  <c:v>1.0572756062949096E-2</c:v>
                </c:pt>
                <c:pt idx="1366">
                  <c:v>1.0574015460690355E-2</c:v>
                </c:pt>
                <c:pt idx="1367">
                  <c:v>1.0576029616610879E-2</c:v>
                </c:pt>
                <c:pt idx="1368">
                  <c:v>1.0577312628904732E-2</c:v>
                </c:pt>
                <c:pt idx="1369">
                  <c:v>1.05786062558014E-2</c:v>
                </c:pt>
                <c:pt idx="1370">
                  <c:v>1.0579910497311936E-2</c:v>
                </c:pt>
                <c:pt idx="1371">
                  <c:v>1.0581225353447394E-2</c:v>
                </c:pt>
                <c:pt idx="1372">
                  <c:v>1.0582550824219683E-2</c:v>
                </c:pt>
                <c:pt idx="1373">
                  <c:v>1.0583886909638155E-2</c:v>
                </c:pt>
                <c:pt idx="1374">
                  <c:v>1.0585233609714717E-2</c:v>
                </c:pt>
                <c:pt idx="1375">
                  <c:v>1.0585573394037873E-2</c:v>
                </c:pt>
                <c:pt idx="1376">
                  <c:v>1.0586938130370704E-2</c:v>
                </c:pt>
                <c:pt idx="1377">
                  <c:v>1.0588313480123013E-2</c:v>
                </c:pt>
                <c:pt idx="1378">
                  <c:v>1.058969944330812E-2</c:v>
                </c:pt>
                <c:pt idx="1379">
                  <c:v>1.0591353475681535E-2</c:v>
                </c:pt>
                <c:pt idx="1380">
                  <c:v>1.0592503210015813E-2</c:v>
                </c:pt>
                <c:pt idx="1381">
                  <c:v>1.059392101356238E-2</c:v>
                </c:pt>
                <c:pt idx="1382">
                  <c:v>1.0595349430583489E-2</c:v>
                </c:pt>
                <c:pt idx="1383">
                  <c:v>1.0596788461093354E-2</c:v>
                </c:pt>
                <c:pt idx="1384">
                  <c:v>1.0597976730257976E-2</c:v>
                </c:pt>
                <c:pt idx="1385">
                  <c:v>1.0599436186756102E-2</c:v>
                </c:pt>
                <c:pt idx="1386">
                  <c:v>1.0600906256458027E-2</c:v>
                </c:pt>
                <c:pt idx="1387">
                  <c:v>1.0602386939373631E-2</c:v>
                </c:pt>
                <c:pt idx="1388">
                  <c:v>1.0605201956285863E-2</c:v>
                </c:pt>
                <c:pt idx="1389">
                  <c:v>1.060670787762158E-2</c:v>
                </c:pt>
                <c:pt idx="1390">
                  <c:v>1.0608224413803321E-2</c:v>
                </c:pt>
                <c:pt idx="1391">
                  <c:v>1.0609751564845541E-2</c:v>
                </c:pt>
                <c:pt idx="1392">
                  <c:v>1.0610485218316496E-2</c:v>
                </c:pt>
                <c:pt idx="1393">
                  <c:v>1.0612919364634852E-2</c:v>
                </c:pt>
                <c:pt idx="1394">
                  <c:v>1.0613587771553237E-2</c:v>
                </c:pt>
                <c:pt idx="1395">
                  <c:v>1.0615154969091574E-2</c:v>
                </c:pt>
                <c:pt idx="1396">
                  <c:v>1.0617546543400087E-2</c:v>
                </c:pt>
                <c:pt idx="1397">
                  <c:v>1.0619137383869656E-2</c:v>
                </c:pt>
                <c:pt idx="1398">
                  <c:v>1.0620738839288995E-2</c:v>
                </c:pt>
                <c:pt idx="1399">
                  <c:v>1.0622350909672562E-2</c:v>
                </c:pt>
                <c:pt idx="1400">
                  <c:v>1.0624248235691806E-2</c:v>
                </c:pt>
                <c:pt idx="1401">
                  <c:v>1.0625606895383397E-2</c:v>
                </c:pt>
                <c:pt idx="1402">
                  <c:v>1.0627250810737879E-2</c:v>
                </c:pt>
                <c:pt idx="1403">
                  <c:v>1.0628905341110162E-2</c:v>
                </c:pt>
                <c:pt idx="1404">
                  <c:v>1.0630570486513851E-2</c:v>
                </c:pt>
                <c:pt idx="1405">
                  <c:v>1.0631410714546347E-2</c:v>
                </c:pt>
                <c:pt idx="1406">
                  <c:v>1.0633932622469026E-2</c:v>
                </c:pt>
                <c:pt idx="1407">
                  <c:v>1.0635629613050274E-2</c:v>
                </c:pt>
                <c:pt idx="1408">
                  <c:v>1.0637337218716503E-2</c:v>
                </c:pt>
                <c:pt idx="1409">
                  <c:v>1.0639055439485573E-2</c:v>
                </c:pt>
                <c:pt idx="1410">
                  <c:v>1.0640784275369386E-2</c:v>
                </c:pt>
                <c:pt idx="1411">
                  <c:v>1.0642523726382401E-2</c:v>
                </c:pt>
                <c:pt idx="1412">
                  <c:v>1.0644273792540774E-2</c:v>
                </c:pt>
                <c:pt idx="1413">
                  <c:v>1.0646034473856411E-2</c:v>
                </c:pt>
                <c:pt idx="1414">
                  <c:v>1.0646948390111858E-2</c:v>
                </c:pt>
                <c:pt idx="1415">
                  <c:v>1.0648727869410715E-2</c:v>
                </c:pt>
                <c:pt idx="1416">
                  <c:v>1.0650517962942583E-2</c:v>
                </c:pt>
                <c:pt idx="1417">
                  <c:v>1.0652318670720636E-2</c:v>
                </c:pt>
                <c:pt idx="1418">
                  <c:v>1.0654129992760686E-2</c:v>
                </c:pt>
                <c:pt idx="1419">
                  <c:v>1.0656821480910812E-2</c:v>
                </c:pt>
                <c:pt idx="1420">
                  <c:v>1.0658656468751637E-2</c:v>
                </c:pt>
                <c:pt idx="1421">
                  <c:v>1.0660502071869631E-2</c:v>
                </c:pt>
                <c:pt idx="1422">
                  <c:v>1.0662358290281799E-2</c:v>
                </c:pt>
                <c:pt idx="1423">
                  <c:v>1.0664225124002599E-2</c:v>
                </c:pt>
                <c:pt idx="1424">
                  <c:v>1.0666102573047339E-2</c:v>
                </c:pt>
                <c:pt idx="1425">
                  <c:v>1.0667990637431325E-2</c:v>
                </c:pt>
                <c:pt idx="1426">
                  <c:v>1.0669889317170715E-2</c:v>
                </c:pt>
                <c:pt idx="1427">
                  <c:v>1.0670613343329194E-2</c:v>
                </c:pt>
                <c:pt idx="1428">
                  <c:v>1.0672529993880353E-2</c:v>
                </c:pt>
                <c:pt idx="1429">
                  <c:v>1.0674457258532222E-2</c:v>
                </c:pt>
                <c:pt idx="1430">
                  <c:v>1.0676395137299011E-2</c:v>
                </c:pt>
                <c:pt idx="1431">
                  <c:v>1.0678643083777936E-2</c:v>
                </c:pt>
                <c:pt idx="1432">
                  <c:v>1.0680302737241298E-2</c:v>
                </c:pt>
                <c:pt idx="1433">
                  <c:v>1.0682272458446995E-2</c:v>
                </c:pt>
                <c:pt idx="1434">
                  <c:v>1.0684252793830673E-2</c:v>
                </c:pt>
                <c:pt idx="1435">
                  <c:v>1.0686243743407431E-2</c:v>
                </c:pt>
                <c:pt idx="1436">
                  <c:v>1.0687941853193151E-2</c:v>
                </c:pt>
                <c:pt idx="1437">
                  <c:v>1.0689953213402324E-2</c:v>
                </c:pt>
                <c:pt idx="1438">
                  <c:v>1.0691975186052759E-2</c:v>
                </c:pt>
                <c:pt idx="1439">
                  <c:v>1.0694007022353765E-2</c:v>
                </c:pt>
                <c:pt idx="1440">
                  <c:v>1.0697574310073147E-2</c:v>
                </c:pt>
                <c:pt idx="1441">
                  <c:v>1.0699615946568757E-2</c:v>
                </c:pt>
                <c:pt idx="1442">
                  <c:v>1.0701657140287486E-2</c:v>
                </c:pt>
                <c:pt idx="1443">
                  <c:v>1.070425082551652E-2</c:v>
                </c:pt>
                <c:pt idx="1444">
                  <c:v>1.0704818901719244E-2</c:v>
                </c:pt>
                <c:pt idx="1445">
                  <c:v>1.070684561373416E-2</c:v>
                </c:pt>
                <c:pt idx="1446">
                  <c:v>1.070886094255491E-2</c:v>
                </c:pt>
                <c:pt idx="1447">
                  <c:v>1.0710861926917729E-2</c:v>
                </c:pt>
                <c:pt idx="1448">
                  <c:v>1.0712845605552709E-2</c:v>
                </c:pt>
                <c:pt idx="1449">
                  <c:v>1.0715692270690046E-2</c:v>
                </c:pt>
                <c:pt idx="1450">
                  <c:v>1.071762671007319E-2</c:v>
                </c:pt>
                <c:pt idx="1451">
                  <c:v>1.0719534941176535E-2</c:v>
                </c:pt>
                <c:pt idx="1452">
                  <c:v>1.0721703653212998E-2</c:v>
                </c:pt>
                <c:pt idx="1453">
                  <c:v>1.0723267929001775E-2</c:v>
                </c:pt>
                <c:pt idx="1454">
                  <c:v>1.0725092596483564E-2</c:v>
                </c:pt>
                <c:pt idx="1455">
                  <c:v>1.0726889379625411E-2</c:v>
                </c:pt>
                <c:pt idx="1456">
                  <c:v>1.0728658278389046E-2</c:v>
                </c:pt>
                <c:pt idx="1457">
                  <c:v>1.0729562463280244E-2</c:v>
                </c:pt>
                <c:pt idx="1458">
                  <c:v>1.0732112422623515E-2</c:v>
                </c:pt>
                <c:pt idx="1459">
                  <c:v>1.0733797668020363E-2</c:v>
                </c:pt>
                <c:pt idx="1460">
                  <c:v>1.0735455028886783E-2</c:v>
                </c:pt>
                <c:pt idx="1461">
                  <c:v>1.0737084505187906E-2</c:v>
                </c:pt>
                <c:pt idx="1462">
                  <c:v>1.0738686096888021E-2</c:v>
                </c:pt>
                <c:pt idx="1463">
                  <c:v>1.0740259803951406E-2</c:v>
                </c:pt>
                <c:pt idx="1464">
                  <c:v>1.074180562634405E-2</c:v>
                </c:pt>
                <c:pt idx="1465">
                  <c:v>1.0743323564032785E-2</c:v>
                </c:pt>
                <c:pt idx="1466">
                  <c:v>1.0744029272351373E-2</c:v>
                </c:pt>
                <c:pt idx="1467">
                  <c:v>1.0745497284575682E-2</c:v>
                </c:pt>
                <c:pt idx="1468">
                  <c:v>1.0746937414481997E-2</c:v>
                </c:pt>
                <c:pt idx="1469">
                  <c:v>1.0748349662037819E-2</c:v>
                </c:pt>
                <c:pt idx="1470">
                  <c:v>1.0750494980779186E-2</c:v>
                </c:pt>
                <c:pt idx="1471">
                  <c:v>1.0751845609570121E-2</c:v>
                </c:pt>
                <c:pt idx="1472">
                  <c:v>1.0753168353437752E-2</c:v>
                </c:pt>
                <c:pt idx="1473">
                  <c:v>1.0754463212354862E-2</c:v>
                </c:pt>
                <c:pt idx="1474">
                  <c:v>1.075573018629169E-2</c:v>
                </c:pt>
                <c:pt idx="1475">
                  <c:v>1.0756969275221023E-2</c:v>
                </c:pt>
                <c:pt idx="1476">
                  <c:v>1.0758180479114799E-2</c:v>
                </c:pt>
                <c:pt idx="1477">
                  <c:v>1.0759363797949208E-2</c:v>
                </c:pt>
                <c:pt idx="1478">
                  <c:v>1.0760519231696186E-2</c:v>
                </c:pt>
                <c:pt idx="1479">
                  <c:v>1.0760938602127755E-2</c:v>
                </c:pt>
                <c:pt idx="1480">
                  <c:v>1.0762044142006299E-2</c:v>
                </c:pt>
                <c:pt idx="1481">
                  <c:v>1.0763121799215482E-2</c:v>
                </c:pt>
                <c:pt idx="1482">
                  <c:v>1.0764171573735104E-2</c:v>
                </c:pt>
                <c:pt idx="1483">
                  <c:v>1.0765622883642519E-2</c:v>
                </c:pt>
                <c:pt idx="1484">
                  <c:v>1.0766604942965174E-2</c:v>
                </c:pt>
                <c:pt idx="1485">
                  <c:v>1.0767782754926895E-2</c:v>
                </c:pt>
                <c:pt idx="1486">
                  <c:v>1.076848541329847E-2</c:v>
                </c:pt>
                <c:pt idx="1487">
                  <c:v>1.076938382426958E-2</c:v>
                </c:pt>
                <c:pt idx="1488">
                  <c:v>1.0770472093266745E-2</c:v>
                </c:pt>
                <c:pt idx="1489">
                  <c:v>1.0771096997724987E-2</c:v>
                </c:pt>
                <c:pt idx="1490">
                  <c:v>1.0771911760173265E-2</c:v>
                </c:pt>
                <c:pt idx="1491">
                  <c:v>1.0772910478549129E-2</c:v>
                </c:pt>
                <c:pt idx="1492">
                  <c:v>1.0773667506216639E-2</c:v>
                </c:pt>
                <c:pt idx="1493">
                  <c:v>1.0774396650141007E-2</c:v>
                </c:pt>
                <c:pt idx="1494">
                  <c:v>1.0775097910309202E-2</c:v>
                </c:pt>
                <c:pt idx="1495">
                  <c:v>1.0775771286704715E-2</c:v>
                </c:pt>
                <c:pt idx="1496">
                  <c:v>1.077621479390831E-2</c:v>
                </c:pt>
                <c:pt idx="1497">
                  <c:v>1.0776834375896662E-2</c:v>
                </c:pt>
                <c:pt idx="1498">
                  <c:v>1.0777590010400202E-2</c:v>
                </c:pt>
                <c:pt idx="1499">
                  <c:v>1.0777989890922744E-2</c:v>
                </c:pt>
                <c:pt idx="1500">
                  <c:v>1.0778525823934997E-2</c:v>
                </c:pt>
                <c:pt idx="1501">
                  <c:v>1.0779296005087965E-2</c:v>
                </c:pt>
                <c:pt idx="1502">
                  <c:v>1.0779704174733874E-2</c:v>
                </c:pt>
                <c:pt idx="1503">
                  <c:v>1.0780154480487429E-2</c:v>
                </c:pt>
                <c:pt idx="1504">
                  <c:v>1.0780634972108703E-2</c:v>
                </c:pt>
                <c:pt idx="1505">
                  <c:v>1.0781025526680863E-2</c:v>
                </c:pt>
                <c:pt idx="1506">
                  <c:v>1.0781338094436021E-2</c:v>
                </c:pt>
                <c:pt idx="1507">
                  <c:v>1.07816768646201E-2</c:v>
                </c:pt>
                <c:pt idx="1508">
                  <c:v>1.078198775089074E-2</c:v>
                </c:pt>
                <c:pt idx="1509">
                  <c:v>1.0782270753243596E-2</c:v>
                </c:pt>
                <c:pt idx="1510">
                  <c:v>1.0782525871671719E-2</c:v>
                </c:pt>
                <c:pt idx="1511">
                  <c:v>1.0782753106168155E-2</c:v>
                </c:pt>
                <c:pt idx="1512">
                  <c:v>1.0782952456731169E-2</c:v>
                </c:pt>
                <c:pt idx="1513">
                  <c:v>1.0783123923353809E-2</c:v>
                </c:pt>
                <c:pt idx="1514">
                  <c:v>1.0783267506034335E-2</c:v>
                </c:pt>
                <c:pt idx="1515">
                  <c:v>1.0783383204767539E-2</c:v>
                </c:pt>
                <c:pt idx="1516">
                  <c:v>1.0783471019553416E-2</c:v>
                </c:pt>
                <c:pt idx="1517">
                  <c:v>1.0783537235695551E-2</c:v>
                </c:pt>
                <c:pt idx="1518">
                  <c:v>1.0783404614427479E-2</c:v>
                </c:pt>
                <c:pt idx="1519">
                  <c:v>1.0783410768885521E-2</c:v>
                </c:pt>
                <c:pt idx="1520">
                  <c:v>1.0783389040224453E-2</c:v>
                </c:pt>
                <c:pt idx="1521">
                  <c:v>1.0783339428446032E-2</c:v>
                </c:pt>
                <c:pt idx="1522">
                  <c:v>1.0783261933549377E-2</c:v>
                </c:pt>
                <c:pt idx="1523">
                  <c:v>1.0783304972409556E-2</c:v>
                </c:pt>
                <c:pt idx="1524">
                  <c:v>1.078316971558816E-2</c:v>
                </c:pt>
                <c:pt idx="1525">
                  <c:v>1.0783006574824653E-2</c:v>
                </c:pt>
                <c:pt idx="1526">
                  <c:v>1.0782815550119035E-2</c:v>
                </c:pt>
                <c:pt idx="1527">
                  <c:v>1.0782596641478254E-2</c:v>
                </c:pt>
                <c:pt idx="1528">
                  <c:v>1.078234984890492E-2</c:v>
                </c:pt>
                <c:pt idx="1529">
                  <c:v>1.0782075172405115E-2</c:v>
                </c:pt>
                <c:pt idx="1530">
                  <c:v>1.078177261198492E-2</c:v>
                </c:pt>
                <c:pt idx="1531">
                  <c:v>1.078130973969138E-2</c:v>
                </c:pt>
                <c:pt idx="1532">
                  <c:v>1.0780953413813566E-2</c:v>
                </c:pt>
                <c:pt idx="1533">
                  <c:v>1.0780569204868468E-2</c:v>
                </c:pt>
                <c:pt idx="1534">
                  <c:v>1.0780157112865748E-2</c:v>
                </c:pt>
                <c:pt idx="1535">
                  <c:v>1.0779462280047447E-2</c:v>
                </c:pt>
                <c:pt idx="1536">
                  <c:v>1.0778988461185968E-2</c:v>
                </c:pt>
                <c:pt idx="1537">
                  <c:v>1.0778486760128381E-2</c:v>
                </c:pt>
                <c:pt idx="1538">
                  <c:v>1.0777957176887121E-2</c:v>
                </c:pt>
                <c:pt idx="1539">
                  <c:v>1.077739971147107E-2</c:v>
                </c:pt>
                <c:pt idx="1540">
                  <c:v>1.0776814363891773E-2</c:v>
                </c:pt>
                <c:pt idx="1541">
                  <c:v>1.0776088962895334E-2</c:v>
                </c:pt>
                <c:pt idx="1542">
                  <c:v>1.0775449861714368E-2</c:v>
                </c:pt>
                <c:pt idx="1543">
                  <c:v>1.0774891028308531E-2</c:v>
                </c:pt>
                <c:pt idx="1544">
                  <c:v>1.0774405856371568E-2</c:v>
                </c:pt>
                <c:pt idx="1545">
                  <c:v>1.0773677071461756E-2</c:v>
                </c:pt>
                <c:pt idx="1546">
                  <c:v>1.0772920402811411E-2</c:v>
                </c:pt>
                <c:pt idx="1547">
                  <c:v>1.0772135850434433E-2</c:v>
                </c:pt>
                <c:pt idx="1548">
                  <c:v>1.0771225715804697E-2</c:v>
                </c:pt>
                <c:pt idx="1549">
                  <c:v>1.0770265379038106E-2</c:v>
                </c:pt>
                <c:pt idx="1550">
                  <c:v>1.0769395209893453E-2</c:v>
                </c:pt>
                <c:pt idx="1551">
                  <c:v>1.0768497157926596E-2</c:v>
                </c:pt>
                <c:pt idx="1552">
                  <c:v>1.0767660561241291E-2</c:v>
                </c:pt>
                <c:pt idx="1553">
                  <c:v>1.0766704723511456E-2</c:v>
                </c:pt>
                <c:pt idx="1554">
                  <c:v>1.0765747637551681E-2</c:v>
                </c:pt>
                <c:pt idx="1555">
                  <c:v>1.0764709397295029E-2</c:v>
                </c:pt>
                <c:pt idx="1556">
                  <c:v>1.0763669908850143E-2</c:v>
                </c:pt>
                <c:pt idx="1557">
                  <c:v>1.0762602536876728E-2</c:v>
                </c:pt>
                <c:pt idx="1558">
                  <c:v>1.0761507281398242E-2</c:v>
                </c:pt>
                <c:pt idx="1559">
                  <c:v>1.0760384142436408E-2</c:v>
                </c:pt>
                <c:pt idx="1560">
                  <c:v>1.0759233120018162E-2</c:v>
                </c:pt>
                <c:pt idx="1561">
                  <c:v>1.0758054214165223E-2</c:v>
                </c:pt>
                <c:pt idx="1562">
                  <c:v>1.0756847424903659E-2</c:v>
                </c:pt>
                <c:pt idx="1563">
                  <c:v>1.0755612752259535E-2</c:v>
                </c:pt>
                <c:pt idx="1564">
                  <c:v>1.0754350196258918E-2</c:v>
                </c:pt>
                <c:pt idx="1565">
                  <c:v>1.0753059756928742E-2</c:v>
                </c:pt>
                <c:pt idx="1566">
                  <c:v>1.0751741434295943E-2</c:v>
                </c:pt>
                <c:pt idx="1567">
                  <c:v>1.0750395228390063E-2</c:v>
                </c:pt>
                <c:pt idx="1568">
                  <c:v>1.0749021139238035E-2</c:v>
                </c:pt>
                <c:pt idx="1569">
                  <c:v>1.0747619166871142E-2</c:v>
                </c:pt>
                <c:pt idx="1570">
                  <c:v>1.0746136462909679E-2</c:v>
                </c:pt>
                <c:pt idx="1571">
                  <c:v>1.0744680759243059E-2</c:v>
                </c:pt>
                <c:pt idx="1572">
                  <c:v>1.0743197173275137E-2</c:v>
                </c:pt>
                <c:pt idx="1573">
                  <c:v>1.0741685705037534E-2</c:v>
                </c:pt>
                <c:pt idx="1574">
                  <c:v>1.0740324007402061E-2</c:v>
                </c:pt>
                <c:pt idx="1575">
                  <c:v>1.0738621786844904E-2</c:v>
                </c:pt>
                <c:pt idx="1576">
                  <c:v>1.0737024632835856E-2</c:v>
                </c:pt>
                <c:pt idx="1577">
                  <c:v>1.073539959586565E-2</c:v>
                </c:pt>
                <c:pt idx="1578">
                  <c:v>1.073374667597078E-2</c:v>
                </c:pt>
                <c:pt idx="1579">
                  <c:v>1.0732065873185133E-2</c:v>
                </c:pt>
                <c:pt idx="1580">
                  <c:v>1.0730357187545198E-2</c:v>
                </c:pt>
                <c:pt idx="1581">
                  <c:v>1.0728620619086599E-2</c:v>
                </c:pt>
                <c:pt idx="1582">
                  <c:v>1.0726856167848438E-2</c:v>
                </c:pt>
                <c:pt idx="1583">
                  <c:v>1.0725010981874838E-2</c:v>
                </c:pt>
                <c:pt idx="1584">
                  <c:v>1.0723194856484319E-2</c:v>
                </c:pt>
                <c:pt idx="1585">
                  <c:v>1.0721350850062095E-2</c:v>
                </c:pt>
                <c:pt idx="1586">
                  <c:v>1.0719478962646356E-2</c:v>
                </c:pt>
                <c:pt idx="1587">
                  <c:v>1.0717579194277072E-2</c:v>
                </c:pt>
                <c:pt idx="1588">
                  <c:v>1.0715651544991545E-2</c:v>
                </c:pt>
                <c:pt idx="1589">
                  <c:v>1.0713696014832408E-2</c:v>
                </c:pt>
                <c:pt idx="1590">
                  <c:v>1.0711712603839629E-2</c:v>
                </c:pt>
                <c:pt idx="1591">
                  <c:v>1.0709701312054065E-2</c:v>
                </c:pt>
                <c:pt idx="1592">
                  <c:v>1.0707653860514857E-2</c:v>
                </c:pt>
                <c:pt idx="1593">
                  <c:v>1.0705588860080838E-2</c:v>
                </c:pt>
                <c:pt idx="1594">
                  <c:v>1.0703495979794685E-2</c:v>
                </c:pt>
                <c:pt idx="1595">
                  <c:v>1.0701375219700405E-2</c:v>
                </c:pt>
                <c:pt idx="1596">
                  <c:v>1.0699226180634614E-2</c:v>
                </c:pt>
                <c:pt idx="1597">
                  <c:v>1.0697043492526098E-2</c:v>
                </c:pt>
                <c:pt idx="1598">
                  <c:v>1.0694832922310526E-2</c:v>
                </c:pt>
                <c:pt idx="1599">
                  <c:v>1.0692594470033076E-2</c:v>
                </c:pt>
                <c:pt idx="1600">
                  <c:v>1.0690336694813899E-2</c:v>
                </c:pt>
                <c:pt idx="1601">
                  <c:v>1.0688044538091888E-2</c:v>
                </c:pt>
                <c:pt idx="1602">
                  <c:v>1.0685724500262344E-2</c:v>
                </c:pt>
                <c:pt idx="1603">
                  <c:v>1.068337658137534E-2</c:v>
                </c:pt>
                <c:pt idx="1604">
                  <c:v>1.0681000781478305E-2</c:v>
                </c:pt>
                <c:pt idx="1605">
                  <c:v>1.0678578235809384E-2</c:v>
                </c:pt>
                <c:pt idx="1606">
                  <c:v>1.0676144610476826E-2</c:v>
                </c:pt>
                <c:pt idx="1607">
                  <c:v>1.0673683103481203E-2</c:v>
                </c:pt>
                <c:pt idx="1608">
                  <c:v>1.0671193714876383E-2</c:v>
                </c:pt>
                <c:pt idx="1609">
                  <c:v>1.0668259127782128E-2</c:v>
                </c:pt>
                <c:pt idx="1610">
                  <c:v>1.0666131293049426E-2</c:v>
                </c:pt>
                <c:pt idx="1611">
                  <c:v>1.0663558259935896E-2</c:v>
                </c:pt>
                <c:pt idx="1612">
                  <c:v>1.0660957345427781E-2</c:v>
                </c:pt>
                <c:pt idx="1613">
                  <c:v>1.065832854958069E-2</c:v>
                </c:pt>
                <c:pt idx="1614">
                  <c:v>1.0655671872451969E-2</c:v>
                </c:pt>
                <c:pt idx="1615">
                  <c:v>1.0652987314097223E-2</c:v>
                </c:pt>
                <c:pt idx="1616">
                  <c:v>1.0650274874573798E-2</c:v>
                </c:pt>
                <c:pt idx="1617">
                  <c:v>1.0647534553939042E-2</c:v>
                </c:pt>
                <c:pt idx="1618">
                  <c:v>1.0644766352252037E-2</c:v>
                </c:pt>
                <c:pt idx="1619">
                  <c:v>1.0641970269571864E-2</c:v>
                </c:pt>
                <c:pt idx="1620">
                  <c:v>1.0639146305957609E-2</c:v>
                </c:pt>
                <c:pt idx="1621">
                  <c:v>1.0636294461470091E-2</c:v>
                </c:pt>
                <c:pt idx="1622">
                  <c:v>1.0633468790762171E-2</c:v>
                </c:pt>
                <c:pt idx="1623">
                  <c:v>1.0630563261883578E-2</c:v>
                </c:pt>
                <c:pt idx="1624">
                  <c:v>1.0627629853109669E-2</c:v>
                </c:pt>
                <c:pt idx="1625">
                  <c:v>1.0624668564501935E-2</c:v>
                </c:pt>
                <c:pt idx="1626">
                  <c:v>1.0621617028076201E-2</c:v>
                </c:pt>
                <c:pt idx="1627">
                  <c:v>1.0618597899644594E-2</c:v>
                </c:pt>
                <c:pt idx="1628">
                  <c:v>1.0615550890776768E-2</c:v>
                </c:pt>
                <c:pt idx="1629">
                  <c:v>1.0612476001539623E-2</c:v>
                </c:pt>
                <c:pt idx="1630">
                  <c:v>1.0609373231996589E-2</c:v>
                </c:pt>
                <c:pt idx="1631">
                  <c:v>1.0606242582214567E-2</c:v>
                </c:pt>
                <c:pt idx="1632">
                  <c:v>1.0603084052261331E-2</c:v>
                </c:pt>
                <c:pt idx="1633">
                  <c:v>1.0599897642202044E-2</c:v>
                </c:pt>
                <c:pt idx="1634">
                  <c:v>1.0596683352106218E-2</c:v>
                </c:pt>
                <c:pt idx="1635">
                  <c:v>1.0593603220664605E-2</c:v>
                </c:pt>
                <c:pt idx="1636">
                  <c:v>1.0590337345462331E-2</c:v>
                </c:pt>
                <c:pt idx="1637">
                  <c:v>1.0587043591999468E-2</c:v>
                </c:pt>
                <c:pt idx="1638">
                  <c:v>1.0583721960343517E-2</c:v>
                </c:pt>
                <c:pt idx="1639">
                  <c:v>1.0579891673407005E-2</c:v>
                </c:pt>
                <c:pt idx="1640">
                  <c:v>1.0576510303001108E-2</c:v>
                </c:pt>
                <c:pt idx="1641">
                  <c:v>1.057310105462328E-2</c:v>
                </c:pt>
                <c:pt idx="1642">
                  <c:v>1.0569663928342798E-2</c:v>
                </c:pt>
                <c:pt idx="1643">
                  <c:v>1.0566198924233383E-2</c:v>
                </c:pt>
                <c:pt idx="1644">
                  <c:v>1.056280587308033E-2</c:v>
                </c:pt>
                <c:pt idx="1645">
                  <c:v>1.055928720787663E-2</c:v>
                </c:pt>
                <c:pt idx="1646">
                  <c:v>1.0555740665838606E-2</c:v>
                </c:pt>
                <c:pt idx="1647">
                  <c:v>1.055216624703811E-2</c:v>
                </c:pt>
                <c:pt idx="1648">
                  <c:v>1.0548020867457701E-2</c:v>
                </c:pt>
                <c:pt idx="1649">
                  <c:v>1.0544380206967177E-2</c:v>
                </c:pt>
                <c:pt idx="1650">
                  <c:v>1.0540711666071434E-2</c:v>
                </c:pt>
                <c:pt idx="1651">
                  <c:v>1.0537015244852958E-2</c:v>
                </c:pt>
                <c:pt idx="1652">
                  <c:v>1.0533642587345233E-2</c:v>
                </c:pt>
                <c:pt idx="1653">
                  <c:v>1.0527743689519642E-2</c:v>
                </c:pt>
                <c:pt idx="1654">
                  <c:v>1.0526122951593357E-2</c:v>
                </c:pt>
                <c:pt idx="1655">
                  <c:v>1.0522321317136452E-2</c:v>
                </c:pt>
                <c:pt idx="1656">
                  <c:v>1.0518491805068119E-2</c:v>
                </c:pt>
                <c:pt idx="1657">
                  <c:v>1.0514251235287091E-2</c:v>
                </c:pt>
                <c:pt idx="1658">
                  <c:v>1.0510359654089375E-2</c:v>
                </c:pt>
                <c:pt idx="1659">
                  <c:v>1.0506440193228826E-2</c:v>
                </c:pt>
                <c:pt idx="1660">
                  <c:v>1.0502358402774335E-2</c:v>
                </c:pt>
                <c:pt idx="1661">
                  <c:v>1.049851763285938E-2</c:v>
                </c:pt>
                <c:pt idx="1662">
                  <c:v>1.0494514533524811E-2</c:v>
                </c:pt>
                <c:pt idx="1663">
                  <c:v>1.0490483554872665E-2</c:v>
                </c:pt>
                <c:pt idx="1664">
                  <c:v>1.0486424696990529E-2</c:v>
                </c:pt>
                <c:pt idx="1665">
                  <c:v>1.0482337959965997E-2</c:v>
                </c:pt>
                <c:pt idx="1666">
                  <c:v>1.0478223343889204E-2</c:v>
                </c:pt>
                <c:pt idx="1667">
                  <c:v>1.0474080848850294E-2</c:v>
                </c:pt>
                <c:pt idx="1668">
                  <c:v>1.0469910474938558E-2</c:v>
                </c:pt>
                <c:pt idx="1669">
                  <c:v>1.0465712222244985E-2</c:v>
                </c:pt>
                <c:pt idx="1670">
                  <c:v>1.0461486090860566E-2</c:v>
                </c:pt>
                <c:pt idx="1671">
                  <c:v>1.0457232080877994E-2</c:v>
                </c:pt>
                <c:pt idx="1672">
                  <c:v>1.0452950192389961E-2</c:v>
                </c:pt>
                <c:pt idx="1673">
                  <c:v>1.0448640425490008E-2</c:v>
                </c:pt>
                <c:pt idx="1674">
                  <c:v>1.0444793610927332E-2</c:v>
                </c:pt>
                <c:pt idx="1675">
                  <c:v>1.0440434440226441E-2</c:v>
                </c:pt>
                <c:pt idx="1676">
                  <c:v>1.0436047393638457E-2</c:v>
                </c:pt>
                <c:pt idx="1677">
                  <c:v>1.0431632471258249E-2</c:v>
                </c:pt>
                <c:pt idx="1678">
                  <c:v>1.0427189673176294E-2</c:v>
                </c:pt>
                <c:pt idx="1679">
                  <c:v>1.0422196382726819E-2</c:v>
                </c:pt>
                <c:pt idx="1680">
                  <c:v>1.0417691469601731E-2</c:v>
                </c:pt>
                <c:pt idx="1681">
                  <c:v>1.0413158678833467E-2</c:v>
                </c:pt>
                <c:pt idx="1682">
                  <c:v>1.0408598010518976E-2</c:v>
                </c:pt>
                <c:pt idx="1683">
                  <c:v>1.0404009464756902E-2</c:v>
                </c:pt>
                <c:pt idx="1684">
                  <c:v>1.0399393041650138E-2</c:v>
                </c:pt>
                <c:pt idx="1685">
                  <c:v>1.0394748741296481E-2</c:v>
                </c:pt>
                <c:pt idx="1686">
                  <c:v>1.0390076563798825E-2</c:v>
                </c:pt>
                <c:pt idx="1687">
                  <c:v>1.0385950099563574E-2</c:v>
                </c:pt>
                <c:pt idx="1688">
                  <c:v>1.0381228549724997E-2</c:v>
                </c:pt>
                <c:pt idx="1689">
                  <c:v>1.0376479125248438E-2</c:v>
                </c:pt>
                <c:pt idx="1690">
                  <c:v>1.0371701826234914E-2</c:v>
                </c:pt>
                <c:pt idx="1691">
                  <c:v>1.0367095949147753E-2</c:v>
                </c:pt>
                <c:pt idx="1692">
                  <c:v>1.0362063604997532E-2</c:v>
                </c:pt>
                <c:pt idx="1693">
                  <c:v>1.0357202682977467E-2</c:v>
                </c:pt>
                <c:pt idx="1694">
                  <c:v>1.0352313886826267E-2</c:v>
                </c:pt>
                <c:pt idx="1695">
                  <c:v>1.0347397216646707E-2</c:v>
                </c:pt>
                <c:pt idx="1696">
                  <c:v>1.0342662625800081E-2</c:v>
                </c:pt>
                <c:pt idx="1697">
                  <c:v>1.0337480254617998E-2</c:v>
                </c:pt>
                <c:pt idx="1698">
                  <c:v>1.0332694198509351E-2</c:v>
                </c:pt>
                <c:pt idx="1699">
                  <c:v>1.032766946937258E-2</c:v>
                </c:pt>
                <c:pt idx="1700">
                  <c:v>1.0321752860708754E-2</c:v>
                </c:pt>
                <c:pt idx="1701">
                  <c:v>1.0316682726744171E-2</c:v>
                </c:pt>
                <c:pt idx="1702">
                  <c:v>1.0311598434090897E-2</c:v>
                </c:pt>
                <c:pt idx="1703">
                  <c:v>1.0306503539012303E-2</c:v>
                </c:pt>
                <c:pt idx="1704">
                  <c:v>1.0299137461498997E-2</c:v>
                </c:pt>
                <c:pt idx="1705">
                  <c:v>1.0296948423604749E-2</c:v>
                </c:pt>
                <c:pt idx="1706">
                  <c:v>1.0291840748911004E-2</c:v>
                </c:pt>
                <c:pt idx="1707">
                  <c:v>1.0286736160235736E-2</c:v>
                </c:pt>
                <c:pt idx="1708">
                  <c:v>1.0281638330669782E-2</c:v>
                </c:pt>
                <c:pt idx="1709">
                  <c:v>1.027591066584223E-2</c:v>
                </c:pt>
                <c:pt idx="1710">
                  <c:v>1.0270841127512677E-2</c:v>
                </c:pt>
                <c:pt idx="1711">
                  <c:v>1.0265789389515396E-2</c:v>
                </c:pt>
                <c:pt idx="1712">
                  <c:v>1.026054803542452E-2</c:v>
                </c:pt>
                <c:pt idx="1713">
                  <c:v>1.0255745329287609E-2</c:v>
                </c:pt>
                <c:pt idx="1714">
                  <c:v>1.0250753117493018E-2</c:v>
                </c:pt>
                <c:pt idx="1715">
                  <c:v>1.02457807844745E-2</c:v>
                </c:pt>
                <c:pt idx="1716">
                  <c:v>1.0240828330153818E-2</c:v>
                </c:pt>
                <c:pt idx="1717">
                  <c:v>1.0236505438221386E-2</c:v>
                </c:pt>
                <c:pt idx="1718">
                  <c:v>1.0230983057302379E-2</c:v>
                </c:pt>
                <c:pt idx="1719">
                  <c:v>1.02260902386177E-2</c:v>
                </c:pt>
                <c:pt idx="1720">
                  <c:v>1.0221217298326422E-2</c:v>
                </c:pt>
                <c:pt idx="1721">
                  <c:v>1.0216364236352008E-2</c:v>
                </c:pt>
                <c:pt idx="1722">
                  <c:v>1.0211531052619627E-2</c:v>
                </c:pt>
                <c:pt idx="1723">
                  <c:v>1.0206717747054441E-2</c:v>
                </c:pt>
                <c:pt idx="1724">
                  <c:v>1.0201924319580769E-2</c:v>
                </c:pt>
                <c:pt idx="1725">
                  <c:v>1.0197150770125478E-2</c:v>
                </c:pt>
                <c:pt idx="1726">
                  <c:v>1.0192972146988432E-2</c:v>
                </c:pt>
                <c:pt idx="1727">
                  <c:v>1.0188234495649063E-2</c:v>
                </c:pt>
                <c:pt idx="1728">
                  <c:v>1.0183516720251466E-2</c:v>
                </c:pt>
                <c:pt idx="1729">
                  <c:v>1.017881882072273E-2</c:v>
                </c:pt>
                <c:pt idx="1730">
                  <c:v>1.0173581190528504E-2</c:v>
                </c:pt>
                <c:pt idx="1731">
                  <c:v>1.0168926907633245E-2</c:v>
                </c:pt>
                <c:pt idx="1732">
                  <c:v>1.0164292502242734E-2</c:v>
                </c:pt>
                <c:pt idx="1733">
                  <c:v>1.015967797428639E-2</c:v>
                </c:pt>
                <c:pt idx="1734">
                  <c:v>1.015508332369193E-2</c:v>
                </c:pt>
                <c:pt idx="1735">
                  <c:v>1.0150508550387072E-2</c:v>
                </c:pt>
                <c:pt idx="1736">
                  <c:v>1.0145953654302084E-2</c:v>
                </c:pt>
                <c:pt idx="1737">
                  <c:v>1.0141418635365534E-2</c:v>
                </c:pt>
                <c:pt idx="1738">
                  <c:v>1.0136903493507691E-2</c:v>
                </c:pt>
                <c:pt idx="1739">
                  <c:v>1.0133108141006097E-2</c:v>
                </c:pt>
                <c:pt idx="1740">
                  <c:v>1.012862757773636E-2</c:v>
                </c:pt>
                <c:pt idx="1741">
                  <c:v>1.0124166888901165E-2</c:v>
                </c:pt>
                <c:pt idx="1742">
                  <c:v>1.0119726074431235E-2</c:v>
                </c:pt>
                <c:pt idx="1743">
                  <c:v>1.0113755739055858E-2</c:v>
                </c:pt>
                <c:pt idx="1744">
                  <c:v>1.0108855853362127E-2</c:v>
                </c:pt>
                <c:pt idx="1745">
                  <c:v>1.0104484476091417E-2</c:v>
                </c:pt>
                <c:pt idx="1746">
                  <c:v>1.0099967560975623E-2</c:v>
                </c:pt>
                <c:pt idx="1747">
                  <c:v>1.0095801345529593E-2</c:v>
                </c:pt>
                <c:pt idx="1748">
                  <c:v>1.0091326776793542E-2</c:v>
                </c:pt>
                <c:pt idx="1749">
                  <c:v>1.008719771317359E-2</c:v>
                </c:pt>
                <c:pt idx="1750">
                  <c:v>1.0082925708660814E-2</c:v>
                </c:pt>
                <c:pt idx="1751">
                  <c:v>1.0078514663531921E-2</c:v>
                </c:pt>
                <c:pt idx="1752">
                  <c:v>1.0074283708986945E-2</c:v>
                </c:pt>
                <c:pt idx="1753">
                  <c:v>1.0070072629273315E-2</c:v>
                </c:pt>
                <c:pt idx="1754">
                  <c:v>1.0065881424325867E-2</c:v>
                </c:pt>
                <c:pt idx="1755">
                  <c:v>1.0061710094082039E-2</c:v>
                </c:pt>
                <c:pt idx="1756">
                  <c:v>1.0057711040874136E-2</c:v>
                </c:pt>
                <c:pt idx="1757">
                  <c:v>1.0053578155535561E-2</c:v>
                </c:pt>
                <c:pt idx="1758">
                  <c:v>1.0049465144112247E-2</c:v>
                </c:pt>
                <c:pt idx="1759">
                  <c:v>1.0044206188959575E-2</c:v>
                </c:pt>
                <c:pt idx="1760">
                  <c:v>1.0041298742770715E-2</c:v>
                </c:pt>
                <c:pt idx="1761">
                  <c:v>1.0036522231189242E-2</c:v>
                </c:pt>
                <c:pt idx="1762">
                  <c:v>1.0033067268767E-2</c:v>
                </c:pt>
                <c:pt idx="1763">
                  <c:v>1.0029054933889611E-2</c:v>
                </c:pt>
                <c:pt idx="1764">
                  <c:v>1.0024493743996872E-2</c:v>
                </c:pt>
                <c:pt idx="1765">
                  <c:v>1.0021089886502743E-2</c:v>
                </c:pt>
                <c:pt idx="1766">
                  <c:v>1.0016574123007431E-2</c:v>
                </c:pt>
                <c:pt idx="1767">
                  <c:v>1.0013204335207327E-2</c:v>
                </c:pt>
                <c:pt idx="1768">
                  <c:v>1.0009291370442945E-2</c:v>
                </c:pt>
                <c:pt idx="1769">
                  <c:v>1.0005398279522003E-2</c:v>
                </c:pt>
                <c:pt idx="1770">
                  <c:v>1.0001525062383682E-2</c:v>
                </c:pt>
                <c:pt idx="1771">
                  <c:v>9.9976717189715035E-3</c:v>
                </c:pt>
                <c:pt idx="1772">
                  <c:v>9.9938382492255166E-3</c:v>
                </c:pt>
                <c:pt idx="1773">
                  <c:v>9.9900246530875061E-3</c:v>
                </c:pt>
                <c:pt idx="1774">
                  <c:v>9.986230930499258E-3</c:v>
                </c:pt>
                <c:pt idx="1775">
                  <c:v>9.9824570814042949E-3</c:v>
                </c:pt>
                <c:pt idx="1776">
                  <c:v>9.978703105744403E-3</c:v>
                </c:pt>
                <c:pt idx="1777">
                  <c:v>9.9744371825922877E-3</c:v>
                </c:pt>
                <c:pt idx="1778">
                  <c:v>9.9713783451538859E-3</c:v>
                </c:pt>
                <c:pt idx="1779">
                  <c:v>9.9676826721625169E-3</c:v>
                </c:pt>
                <c:pt idx="1780">
                  <c:v>9.9640068717960131E-3</c:v>
                </c:pt>
                <c:pt idx="1781">
                  <c:v>9.9603509440007888E-3</c:v>
                </c:pt>
                <c:pt idx="1782">
                  <c:v>9.9565965907510521E-3</c:v>
                </c:pt>
                <c:pt idx="1783">
                  <c:v>9.9529817275579233E-3</c:v>
                </c:pt>
                <c:pt idx="1784">
                  <c:v>9.9493867373523989E-3</c:v>
                </c:pt>
                <c:pt idx="1785">
                  <c:v>9.9458116200788708E-3</c:v>
                </c:pt>
                <c:pt idx="1786">
                  <c:v>9.942256375683467E-3</c:v>
                </c:pt>
                <c:pt idx="1787">
                  <c:v>9.9387210041123209E-3</c:v>
                </c:pt>
                <c:pt idx="1788">
                  <c:v>9.9352055053124281E-3</c:v>
                </c:pt>
                <c:pt idx="1789">
                  <c:v>9.9317098792299201E-3</c:v>
                </c:pt>
                <c:pt idx="1790">
                  <c:v>9.9282341258100579E-3</c:v>
                </c:pt>
                <c:pt idx="1791">
                  <c:v>9.9248846454741968E-3</c:v>
                </c:pt>
                <c:pt idx="1792">
                  <c:v>9.921447312391413E-3</c:v>
                </c:pt>
                <c:pt idx="1793">
                  <c:v>9.9180298512395442E-3</c:v>
                </c:pt>
                <c:pt idx="1794">
                  <c:v>9.9146322619676416E-3</c:v>
                </c:pt>
                <c:pt idx="1795">
                  <c:v>9.9108746684040128E-3</c:v>
                </c:pt>
                <c:pt idx="1796">
                  <c:v>9.9074186288034306E-3</c:v>
                </c:pt>
                <c:pt idx="1797">
                  <c:v>9.9041818715877028E-3</c:v>
                </c:pt>
                <c:pt idx="1798">
                  <c:v>9.9008652798495689E-3</c:v>
                </c:pt>
                <c:pt idx="1799">
                  <c:v>9.897568559158465E-3</c:v>
                </c:pt>
                <c:pt idx="1800">
                  <c:v>9.8941973181215608E-3</c:v>
                </c:pt>
                <c:pt idx="1801">
                  <c:v>9.8910347307228363E-3</c:v>
                </c:pt>
                <c:pt idx="1802">
                  <c:v>9.8877976228815001E-3</c:v>
                </c:pt>
                <c:pt idx="1803">
                  <c:v>9.884489986257506E-3</c:v>
                </c:pt>
                <c:pt idx="1804">
                  <c:v>9.8812050092020685E-3</c:v>
                </c:pt>
                <c:pt idx="1805">
                  <c:v>9.8780301784159742E-3</c:v>
                </c:pt>
                <c:pt idx="1806">
                  <c:v>9.8748752194775264E-3</c:v>
                </c:pt>
                <c:pt idx="1807">
                  <c:v>9.8717401323398044E-3</c:v>
                </c:pt>
                <c:pt idx="1808">
                  <c:v>9.8687085266889029E-3</c:v>
                </c:pt>
                <c:pt idx="1809">
                  <c:v>9.8647307329408872E-3</c:v>
                </c:pt>
                <c:pt idx="1810">
                  <c:v>9.8616596031675385E-3</c:v>
                </c:pt>
                <c:pt idx="1811">
                  <c:v>9.858608344425604E-3</c:v>
                </c:pt>
                <c:pt idx="1812">
                  <c:v>9.854912816699311E-3</c:v>
                </c:pt>
                <c:pt idx="1813">
                  <c:v>9.8524888910204705E-3</c:v>
                </c:pt>
                <c:pt idx="1814">
                  <c:v>9.848923356363953E-3</c:v>
                </c:pt>
                <c:pt idx="1815">
                  <c:v>9.8465281458430236E-3</c:v>
                </c:pt>
                <c:pt idx="1816">
                  <c:v>9.8435775803319761E-3</c:v>
                </c:pt>
                <c:pt idx="1817">
                  <c:v>9.8406468861455144E-3</c:v>
                </c:pt>
                <c:pt idx="1818">
                  <c:v>9.8377360632393249E-3</c:v>
                </c:pt>
                <c:pt idx="1819">
                  <c:v>9.8348451115699669E-3</c:v>
                </c:pt>
                <c:pt idx="1820">
                  <c:v>9.8319740310922575E-3</c:v>
                </c:pt>
                <c:pt idx="1821">
                  <c:v>9.8291228217636216E-3</c:v>
                </c:pt>
                <c:pt idx="1822">
                  <c:v>9.8262914835388782E-3</c:v>
                </c:pt>
                <c:pt idx="1823">
                  <c:v>9.8234800163780594E-3</c:v>
                </c:pt>
                <c:pt idx="1824">
                  <c:v>9.8206884202351151E-3</c:v>
                </c:pt>
                <c:pt idx="1825">
                  <c:v>9.8179166950700791E-3</c:v>
                </c:pt>
                <c:pt idx="1826">
                  <c:v>9.8151648408395051E-3</c:v>
                </c:pt>
                <c:pt idx="1827">
                  <c:v>9.8124328575034253E-3</c:v>
                </c:pt>
                <c:pt idx="1828">
                  <c:v>9.8097207450175295E-3</c:v>
                </c:pt>
                <c:pt idx="1829">
                  <c:v>9.8070285033435844E-3</c:v>
                </c:pt>
                <c:pt idx="1830">
                  <c:v>9.8044098652326182E-3</c:v>
                </c:pt>
                <c:pt idx="1831">
                  <c:v>9.8017560178999593E-3</c:v>
                </c:pt>
                <c:pt idx="1832">
                  <c:v>9.799122040698334E-3</c:v>
                </c:pt>
                <c:pt idx="1833">
                  <c:v>9.7963099408998663E-3</c:v>
                </c:pt>
                <c:pt idx="1834">
                  <c:v>9.7937210996119975E-3</c:v>
                </c:pt>
                <c:pt idx="1835">
                  <c:v>9.7912923380432029E-3</c:v>
                </c:pt>
                <c:pt idx="1836">
                  <c:v>9.7887391909129672E-3</c:v>
                </c:pt>
                <c:pt idx="1837">
                  <c:v>9.7862059142749414E-3</c:v>
                </c:pt>
                <c:pt idx="1838">
                  <c:v>9.7836925080882851E-3</c:v>
                </c:pt>
                <c:pt idx="1839">
                  <c:v>9.7811989723182464E-3</c:v>
                </c:pt>
                <c:pt idx="1840">
                  <c:v>9.7787253069248556E-3</c:v>
                </c:pt>
                <c:pt idx="1841">
                  <c:v>9.776271511870752E-3</c:v>
                </c:pt>
                <c:pt idx="1842">
                  <c:v>9.7738375871185747E-3</c:v>
                </c:pt>
                <c:pt idx="1843">
                  <c:v>9.7714960139274609E-3</c:v>
                </c:pt>
                <c:pt idx="1844">
                  <c:v>9.7690991210175326E-3</c:v>
                </c:pt>
                <c:pt idx="1845">
                  <c:v>9.7667220971970892E-3</c:v>
                </c:pt>
                <c:pt idx="1846">
                  <c:v>9.7629641151574884E-3</c:v>
                </c:pt>
                <c:pt idx="1847">
                  <c:v>9.7606708762674101E-3</c:v>
                </c:pt>
                <c:pt idx="1848">
                  <c:v>9.7597102399138436E-3</c:v>
                </c:pt>
                <c:pt idx="1849">
                  <c:v>9.7574126920969562E-3</c:v>
                </c:pt>
                <c:pt idx="1850">
                  <c:v>9.7551350131954706E-3</c:v>
                </c:pt>
                <c:pt idx="1851">
                  <c:v>9.7528772031738598E-3</c:v>
                </c:pt>
                <c:pt idx="1852">
                  <c:v>9.7506634875322105E-3</c:v>
                </c:pt>
                <c:pt idx="1853">
                  <c:v>9.7484440560100492E-3</c:v>
                </c:pt>
                <c:pt idx="1854">
                  <c:v>9.7462444927207906E-3</c:v>
                </c:pt>
                <c:pt idx="1855">
                  <c:v>9.7440647976320977E-3</c:v>
                </c:pt>
                <c:pt idx="1856">
                  <c:v>9.7418490021550716E-3</c:v>
                </c:pt>
                <c:pt idx="1857">
                  <c:v>9.7397131276673633E-3</c:v>
                </c:pt>
                <c:pt idx="1858">
                  <c:v>9.737597122925502E-3</c:v>
                </c:pt>
                <c:pt idx="1859">
                  <c:v>9.7355009878973432E-3</c:v>
                </c:pt>
                <c:pt idx="1860">
                  <c:v>9.7334378000135547E-3</c:v>
                </c:pt>
                <c:pt idx="1861">
                  <c:v>9.7313800406247358E-3</c:v>
                </c:pt>
                <c:pt idx="1862">
                  <c:v>9.7293421503093364E-3</c:v>
                </c:pt>
                <c:pt idx="1863">
                  <c:v>9.7273241290383693E-3</c:v>
                </c:pt>
                <c:pt idx="1864">
                  <c:v>9.7253183573742241E-3</c:v>
                </c:pt>
                <c:pt idx="1865">
                  <c:v>9.7230489188668921E-3</c:v>
                </c:pt>
                <c:pt idx="1866">
                  <c:v>9.7213843920746189E-3</c:v>
                </c:pt>
                <c:pt idx="1867">
                  <c:v>9.7194472136421725E-3</c:v>
                </c:pt>
                <c:pt idx="1868">
                  <c:v>9.7175299046479927E-3</c:v>
                </c:pt>
                <c:pt idx="1869">
                  <c:v>9.7156324650642788E-3</c:v>
                </c:pt>
                <c:pt idx="1870">
                  <c:v>9.7137548948606177E-3</c:v>
                </c:pt>
                <c:pt idx="1871">
                  <c:v>9.7118971940092086E-3</c:v>
                </c:pt>
                <c:pt idx="1872">
                  <c:v>9.7100593624813766E-3</c:v>
                </c:pt>
                <c:pt idx="1873">
                  <c:v>9.7082414002501883E-3</c:v>
                </c:pt>
                <c:pt idx="1874">
                  <c:v>9.7064433072878379E-3</c:v>
                </c:pt>
                <c:pt idx="1875">
                  <c:v>9.7046650835656539E-3</c:v>
                </c:pt>
                <c:pt idx="1876">
                  <c:v>9.7029067290584393E-3</c:v>
                </c:pt>
                <c:pt idx="1877">
                  <c:v>9.7011682437383884E-3</c:v>
                </c:pt>
                <c:pt idx="1878">
                  <c:v>9.6994496275785696E-3</c:v>
                </c:pt>
                <c:pt idx="1879">
                  <c:v>9.6977508805537824E-3</c:v>
                </c:pt>
                <c:pt idx="1880">
                  <c:v>9.6960720026388319E-3</c:v>
                </c:pt>
                <c:pt idx="1881">
                  <c:v>9.6944129938067811E-3</c:v>
                </c:pt>
                <c:pt idx="1882">
                  <c:v>9.692756804567413E-3</c:v>
                </c:pt>
                <c:pt idx="1883">
                  <c:v>9.6911361581907534E-3</c:v>
                </c:pt>
                <c:pt idx="1884">
                  <c:v>9.6895353802840395E-3</c:v>
                </c:pt>
                <c:pt idx="1885">
                  <c:v>9.6879544708217986E-3</c:v>
                </c:pt>
                <c:pt idx="1886">
                  <c:v>9.6864844410879704E-3</c:v>
                </c:pt>
                <c:pt idx="1887">
                  <c:v>9.6848761901791036E-3</c:v>
                </c:pt>
                <c:pt idx="1888">
                  <c:v>9.6833562642426891E-3</c:v>
                </c:pt>
                <c:pt idx="1889">
                  <c:v>9.6818562071971544E-3</c:v>
                </c:pt>
                <c:pt idx="1890">
                  <c:v>9.6803760190181717E-3</c:v>
                </c:pt>
                <c:pt idx="1891">
                  <c:v>9.678915699685757E-3</c:v>
                </c:pt>
                <c:pt idx="1892">
                  <c:v>9.6774752491747135E-3</c:v>
                </c:pt>
                <c:pt idx="1893">
                  <c:v>9.6760546674659262E-3</c:v>
                </c:pt>
                <c:pt idx="1894">
                  <c:v>9.6746539545350639E-3</c:v>
                </c:pt>
                <c:pt idx="1895">
                  <c:v>9.6732381356014769E-3</c:v>
                </c:pt>
                <c:pt idx="1896">
                  <c:v>9.6718757775324828E-3</c:v>
                </c:pt>
                <c:pt idx="1897">
                  <c:v>9.6705332876426773E-3</c:v>
                </c:pt>
                <c:pt idx="1898">
                  <c:v>9.6692106659136152E-3</c:v>
                </c:pt>
                <c:pt idx="1899">
                  <c:v>9.6679079123233366E-3</c:v>
                </c:pt>
                <c:pt idx="1900">
                  <c:v>9.6666250268542721E-3</c:v>
                </c:pt>
                <c:pt idx="1901">
                  <c:v>9.6653620094844604E-3</c:v>
                </c:pt>
                <c:pt idx="1902">
                  <c:v>9.6641188601972131E-3</c:v>
                </c:pt>
                <c:pt idx="1903">
                  <c:v>9.6628955789732039E-3</c:v>
                </c:pt>
                <c:pt idx="1904">
                  <c:v>9.661644861085783E-3</c:v>
                </c:pt>
                <c:pt idx="1905">
                  <c:v>9.6604599285505799E-3</c:v>
                </c:pt>
                <c:pt idx="1906">
                  <c:v>9.659294863489265E-3</c:v>
                </c:pt>
                <c:pt idx="1907">
                  <c:v>9.658149665884963E-3</c:v>
                </c:pt>
                <c:pt idx="1908">
                  <c:v>9.657130183977819E-3</c:v>
                </c:pt>
                <c:pt idx="1909">
                  <c:v>9.6560275003534091E-3</c:v>
                </c:pt>
                <c:pt idx="1910">
                  <c:v>9.6549446852045584E-3</c:v>
                </c:pt>
                <c:pt idx="1911">
                  <c:v>9.6538817385130246E-3</c:v>
                </c:pt>
                <c:pt idx="1912">
                  <c:v>9.6527801078575247E-3</c:v>
                </c:pt>
                <c:pt idx="1913">
                  <c:v>9.6517555063022776E-3</c:v>
                </c:pt>
                <c:pt idx="1914">
                  <c:v>9.6507507726231647E-3</c:v>
                </c:pt>
                <c:pt idx="1915">
                  <c:v>9.6497659068078903E-3</c:v>
                </c:pt>
                <c:pt idx="1916">
                  <c:v>9.6488009088388851E-3</c:v>
                </c:pt>
                <c:pt idx="1917">
                  <c:v>9.6479212951150473E-3</c:v>
                </c:pt>
                <c:pt idx="1918">
                  <c:v>9.6469974271998337E-3</c:v>
                </c:pt>
                <c:pt idx="1919">
                  <c:v>9.6460934276211621E-3</c:v>
                </c:pt>
                <c:pt idx="1920">
                  <c:v>9.6452951214630305E-3</c:v>
                </c:pt>
                <c:pt idx="1921">
                  <c:v>9.644345033423915E-3</c:v>
                </c:pt>
                <c:pt idx="1922">
                  <c:v>9.6435006387775371E-3</c:v>
                </c:pt>
                <c:pt idx="1923">
                  <c:v>9.6426761124155675E-3</c:v>
                </c:pt>
                <c:pt idx="1924">
                  <c:v>9.6418714543275805E-3</c:v>
                </c:pt>
                <c:pt idx="1925">
                  <c:v>9.6410866644979377E-3</c:v>
                </c:pt>
                <c:pt idx="1926">
                  <c:v>9.6403217429170789E-3</c:v>
                </c:pt>
                <c:pt idx="1927">
                  <c:v>9.639576689573711E-3</c:v>
                </c:pt>
                <c:pt idx="1928">
                  <c:v>9.6388515044539304E-3</c:v>
                </c:pt>
                <c:pt idx="1929">
                  <c:v>9.6381461875481803E-3</c:v>
                </c:pt>
                <c:pt idx="1930">
                  <c:v>9.6374607388460352E-3</c:v>
                </c:pt>
                <c:pt idx="1931">
                  <c:v>9.6367951583370658E-3</c:v>
                </c:pt>
                <c:pt idx="1932">
                  <c:v>9.6361494460108499E-3</c:v>
                </c:pt>
                <c:pt idx="1933">
                  <c:v>9.6355236018578257E-3</c:v>
                </c:pt>
                <c:pt idx="1934">
                  <c:v>9.6348283322126149E-3</c:v>
                </c:pt>
                <c:pt idx="1935">
                  <c:v>9.6342408209290353E-3</c:v>
                </c:pt>
                <c:pt idx="1936">
                  <c:v>9.633673177258946E-3</c:v>
                </c:pt>
                <c:pt idx="1937">
                  <c:v>9.6331254011944381E-3</c:v>
                </c:pt>
                <c:pt idx="1938">
                  <c:v>9.6325974927267289E-3</c:v>
                </c:pt>
                <c:pt idx="1939">
                  <c:v>9.6321857680597752E-3</c:v>
                </c:pt>
                <c:pt idx="1940">
                  <c:v>9.6316990008680024E-3</c:v>
                </c:pt>
                <c:pt idx="1941">
                  <c:v>9.6312321017816525E-3</c:v>
                </c:pt>
                <c:pt idx="1942">
                  <c:v>9.6307850707946438E-3</c:v>
                </c:pt>
                <c:pt idx="1943">
                  <c:v>9.6303579078974143E-3</c:v>
                </c:pt>
                <c:pt idx="1944">
                  <c:v>9.6299506130873621E-3</c:v>
                </c:pt>
                <c:pt idx="1945">
                  <c:v>9.6295631863540596E-3</c:v>
                </c:pt>
                <c:pt idx="1946">
                  <c:v>9.6291956276948979E-3</c:v>
                </c:pt>
                <c:pt idx="1947">
                  <c:v>9.6286329135857329E-3</c:v>
                </c:pt>
                <c:pt idx="1948">
                  <c:v>9.6283022704275467E-3</c:v>
                </c:pt>
                <c:pt idx="1949">
                  <c:v>9.6279914942645206E-3</c:v>
                </c:pt>
                <c:pt idx="1950">
                  <c:v>9.6277005850939901E-3</c:v>
                </c:pt>
                <c:pt idx="1951">
                  <c:v>9.6275057340206339E-3</c:v>
                </c:pt>
                <c:pt idx="1952">
                  <c:v>9.6271441073296771E-3</c:v>
                </c:pt>
                <c:pt idx="1953">
                  <c:v>9.6269156372477127E-3</c:v>
                </c:pt>
                <c:pt idx="1954">
                  <c:v>9.626707034138704E-3</c:v>
                </c:pt>
                <c:pt idx="1955">
                  <c:v>9.6265182980026509E-3</c:v>
                </c:pt>
                <c:pt idx="1956">
                  <c:v>9.6262292085255996E-3</c:v>
                </c:pt>
                <c:pt idx="1957">
                  <c:v>9.6260787912739124E-3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632384"/>
        <c:axId val="437634560"/>
      </c:lineChart>
      <c:scatterChart>
        <c:scatterStyle val="lineMarker"/>
        <c:varyColors val="0"/>
        <c:ser>
          <c:idx val="2"/>
          <c:order val="1"/>
          <c:tx>
            <c:v>IMM Futures</c:v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33CC"/>
              </a:solidFill>
              <a:ln>
                <a:solidFill>
                  <a:srgbClr val="FF33CC"/>
                </a:solidFill>
                <a:prstDash val="solid"/>
              </a:ln>
            </c:spPr>
          </c:marker>
          <c:xVal>
            <c:numRef>
              <c:f>[0]!IMMFutDates</c:f>
              <c:numCache>
                <c:formatCode>ddd\,\ dd\-mmm\-yyyy</c:formatCode>
                <c:ptCount val="34"/>
                <c:pt idx="0">
                  <c:v>42172</c:v>
                </c:pt>
                <c:pt idx="1">
                  <c:v>42263</c:v>
                </c:pt>
                <c:pt idx="2">
                  <c:v>42354</c:v>
                </c:pt>
                <c:pt idx="3">
                  <c:v>42445</c:v>
                </c:pt>
                <c:pt idx="4">
                  <c:v>42536</c:v>
                </c:pt>
                <c:pt idx="5">
                  <c:v>42634</c:v>
                </c:pt>
                <c:pt idx="6">
                  <c:v>42725</c:v>
                </c:pt>
                <c:pt idx="7">
                  <c:v>42809</c:v>
                </c:pt>
                <c:pt idx="8">
                  <c:v>42907</c:v>
                </c:pt>
                <c:pt idx="9">
                  <c:v>42998</c:v>
                </c:pt>
                <c:pt idx="10">
                  <c:v>43089</c:v>
                </c:pt>
                <c:pt idx="11">
                  <c:v>43180</c:v>
                </c:pt>
                <c:pt idx="12">
                  <c:v>43271</c:v>
                </c:pt>
                <c:pt idx="13">
                  <c:v>43362</c:v>
                </c:pt>
                <c:pt idx="14">
                  <c:v>43453</c:v>
                </c:pt>
                <c:pt idx="15">
                  <c:v>43544</c:v>
                </c:pt>
                <c:pt idx="16">
                  <c:v>43635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34"/>
                <c:pt idx="0">
                  <c:v>-8.1499999999998796E-3</c:v>
                </c:pt>
                <c:pt idx="1">
                  <c:v>-8.4500000000000686E-3</c:v>
                </c:pt>
                <c:pt idx="2">
                  <c:v>-8.1499999999998796E-3</c:v>
                </c:pt>
                <c:pt idx="3">
                  <c:v>-7.6499999999999346E-3</c:v>
                </c:pt>
                <c:pt idx="4">
                  <c:v>-7.0000000000001172E-3</c:v>
                </c:pt>
                <c:pt idx="5">
                  <c:v>-6.3499999999998558E-3</c:v>
                </c:pt>
                <c:pt idx="6">
                  <c:v>-5.7000000000000384E-3</c:v>
                </c:pt>
                <c:pt idx="7">
                  <c:v>-4.9999999999998934E-3</c:v>
                </c:pt>
                <c:pt idx="8">
                  <c:v>-4.249999999999865E-3</c:v>
                </c:pt>
                <c:pt idx="9">
                  <c:v>-3.4999999999998366E-3</c:v>
                </c:pt>
                <c:pt idx="10">
                  <c:v>-2.6500000000000412E-3</c:v>
                </c:pt>
                <c:pt idx="11">
                  <c:v>-1.8000000000000238E-3</c:v>
                </c:pt>
                <c:pt idx="12">
                  <c:v>-3.9999999999995595E-4</c:v>
                </c:pt>
                <c:pt idx="13">
                  <c:v>-4.9999999999994493E-4</c:v>
                </c:pt>
                <c:pt idx="14">
                  <c:v>-9.0000000000012292E-4</c:v>
                </c:pt>
                <c:pt idx="15">
                  <c:v>-1.2999999999998568E-3</c:v>
                </c:pt>
                <c:pt idx="16">
                  <c:v>-1.7000000000000348E-3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yVal>
          <c:smooth val="0"/>
        </c:ser>
        <c:ser>
          <c:idx val="1"/>
          <c:order val="2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6"/>
                <c:pt idx="0">
                  <c:v>42170</c:v>
                </c:pt>
                <c:pt idx="1">
                  <c:v>42200</c:v>
                </c:pt>
                <c:pt idx="2">
                  <c:v>42233</c:v>
                </c:pt>
                <c:pt idx="3">
                  <c:v>42324</c:v>
                </c:pt>
                <c:pt idx="4">
                  <c:v>42415</c:v>
                </c:pt>
                <c:pt idx="5">
                  <c:v>0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6"/>
                <c:pt idx="0">
                  <c:v>-8.1000000000000013E-3</c:v>
                </c:pt>
                <c:pt idx="1">
                  <c:v>-8.2500000000000004E-3</c:v>
                </c:pt>
                <c:pt idx="2">
                  <c:v>-8.3499999999999998E-3</c:v>
                </c:pt>
                <c:pt idx="3">
                  <c:v>-8.2500000000000004E-3</c:v>
                </c:pt>
                <c:pt idx="4">
                  <c:v>-7.8000000000000005E-3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7632384"/>
        <c:axId val="437634560"/>
      </c:scatterChart>
      <c:dateAx>
        <c:axId val="437632384"/>
        <c:scaling>
          <c:orientation val="minMax"/>
          <c:max val="42505"/>
          <c:min val="42124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 vert="horz"/>
          <a:lstStyle/>
          <a:p>
            <a:pPr>
              <a:defRPr/>
            </a:pPr>
            <a:endParaRPr lang="en-US"/>
          </a:p>
        </c:txPr>
        <c:crossAx val="437634560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437634560"/>
        <c:scaling>
          <c:orientation val="minMax"/>
          <c:max val="-6.0000000000000001E-3"/>
          <c:min val="-8.6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37632384"/>
        <c:crosses val="autoZero"/>
        <c:crossBetween val="between"/>
        <c:majorUnit val="5.0000000000000001E-4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Monitor!$Z$19:$Z$3552</c:f>
              <c:numCache>
                <c:formatCode>ddd\,\ dd\-mmm\-yyyy</c:formatCode>
                <c:ptCount val="3534"/>
                <c:pt idx="0">
                  <c:v>42139</c:v>
                </c:pt>
                <c:pt idx="1">
                  <c:v>42142</c:v>
                </c:pt>
                <c:pt idx="2">
                  <c:v>42143</c:v>
                </c:pt>
                <c:pt idx="3">
                  <c:v>42144</c:v>
                </c:pt>
                <c:pt idx="4">
                  <c:v>42145</c:v>
                </c:pt>
                <c:pt idx="5">
                  <c:v>42146</c:v>
                </c:pt>
                <c:pt idx="6">
                  <c:v>42150</c:v>
                </c:pt>
                <c:pt idx="7">
                  <c:v>42151</c:v>
                </c:pt>
                <c:pt idx="8">
                  <c:v>42152</c:v>
                </c:pt>
                <c:pt idx="9">
                  <c:v>42153</c:v>
                </c:pt>
                <c:pt idx="10">
                  <c:v>42156</c:v>
                </c:pt>
                <c:pt idx="11">
                  <c:v>42157</c:v>
                </c:pt>
                <c:pt idx="12">
                  <c:v>42158</c:v>
                </c:pt>
                <c:pt idx="13">
                  <c:v>42159</c:v>
                </c:pt>
                <c:pt idx="14">
                  <c:v>42160</c:v>
                </c:pt>
                <c:pt idx="15">
                  <c:v>42163</c:v>
                </c:pt>
                <c:pt idx="16">
                  <c:v>42164</c:v>
                </c:pt>
                <c:pt idx="17">
                  <c:v>42165</c:v>
                </c:pt>
                <c:pt idx="18">
                  <c:v>42166</c:v>
                </c:pt>
                <c:pt idx="19">
                  <c:v>42167</c:v>
                </c:pt>
                <c:pt idx="20">
                  <c:v>42170</c:v>
                </c:pt>
                <c:pt idx="21">
                  <c:v>42171</c:v>
                </c:pt>
                <c:pt idx="22">
                  <c:v>42172</c:v>
                </c:pt>
                <c:pt idx="23">
                  <c:v>42173</c:v>
                </c:pt>
                <c:pt idx="24">
                  <c:v>42174</c:v>
                </c:pt>
                <c:pt idx="25">
                  <c:v>42177</c:v>
                </c:pt>
                <c:pt idx="26">
                  <c:v>42178</c:v>
                </c:pt>
                <c:pt idx="27">
                  <c:v>42179</c:v>
                </c:pt>
                <c:pt idx="28">
                  <c:v>42180</c:v>
                </c:pt>
                <c:pt idx="29">
                  <c:v>42181</c:v>
                </c:pt>
                <c:pt idx="30">
                  <c:v>42184</c:v>
                </c:pt>
                <c:pt idx="31">
                  <c:v>42185</c:v>
                </c:pt>
                <c:pt idx="32">
                  <c:v>42186</c:v>
                </c:pt>
                <c:pt idx="33">
                  <c:v>42187</c:v>
                </c:pt>
                <c:pt idx="34">
                  <c:v>42188</c:v>
                </c:pt>
                <c:pt idx="35">
                  <c:v>42191</c:v>
                </c:pt>
                <c:pt idx="36">
                  <c:v>42192</c:v>
                </c:pt>
                <c:pt idx="37">
                  <c:v>42193</c:v>
                </c:pt>
                <c:pt idx="38">
                  <c:v>42194</c:v>
                </c:pt>
                <c:pt idx="39">
                  <c:v>42195</c:v>
                </c:pt>
                <c:pt idx="40">
                  <c:v>42198</c:v>
                </c:pt>
                <c:pt idx="41">
                  <c:v>42199</c:v>
                </c:pt>
                <c:pt idx="42">
                  <c:v>42200</c:v>
                </c:pt>
                <c:pt idx="43">
                  <c:v>42201</c:v>
                </c:pt>
                <c:pt idx="44">
                  <c:v>42202</c:v>
                </c:pt>
                <c:pt idx="45">
                  <c:v>42205</c:v>
                </c:pt>
                <c:pt idx="46">
                  <c:v>42206</c:v>
                </c:pt>
                <c:pt idx="47">
                  <c:v>42207</c:v>
                </c:pt>
                <c:pt idx="48">
                  <c:v>42208</c:v>
                </c:pt>
                <c:pt idx="49">
                  <c:v>42209</c:v>
                </c:pt>
                <c:pt idx="50">
                  <c:v>42212</c:v>
                </c:pt>
                <c:pt idx="51">
                  <c:v>42213</c:v>
                </c:pt>
                <c:pt idx="52">
                  <c:v>42214</c:v>
                </c:pt>
                <c:pt idx="53">
                  <c:v>42215</c:v>
                </c:pt>
                <c:pt idx="54">
                  <c:v>42216</c:v>
                </c:pt>
                <c:pt idx="55">
                  <c:v>42219</c:v>
                </c:pt>
                <c:pt idx="56">
                  <c:v>42220</c:v>
                </c:pt>
                <c:pt idx="57">
                  <c:v>42221</c:v>
                </c:pt>
                <c:pt idx="58">
                  <c:v>42222</c:v>
                </c:pt>
                <c:pt idx="59">
                  <c:v>42223</c:v>
                </c:pt>
                <c:pt idx="60">
                  <c:v>42226</c:v>
                </c:pt>
                <c:pt idx="61">
                  <c:v>42227</c:v>
                </c:pt>
                <c:pt idx="62">
                  <c:v>42228</c:v>
                </c:pt>
                <c:pt idx="63">
                  <c:v>42229</c:v>
                </c:pt>
                <c:pt idx="64">
                  <c:v>42230</c:v>
                </c:pt>
                <c:pt idx="65">
                  <c:v>42233</c:v>
                </c:pt>
                <c:pt idx="66">
                  <c:v>42234</c:v>
                </c:pt>
                <c:pt idx="67">
                  <c:v>42235</c:v>
                </c:pt>
                <c:pt idx="68">
                  <c:v>42236</c:v>
                </c:pt>
                <c:pt idx="69">
                  <c:v>42237</c:v>
                </c:pt>
                <c:pt idx="70">
                  <c:v>42240</c:v>
                </c:pt>
                <c:pt idx="71">
                  <c:v>42241</c:v>
                </c:pt>
                <c:pt idx="72">
                  <c:v>42242</c:v>
                </c:pt>
                <c:pt idx="73">
                  <c:v>42243</c:v>
                </c:pt>
                <c:pt idx="74">
                  <c:v>42244</c:v>
                </c:pt>
                <c:pt idx="75">
                  <c:v>42248</c:v>
                </c:pt>
                <c:pt idx="76">
                  <c:v>42249</c:v>
                </c:pt>
                <c:pt idx="77">
                  <c:v>42250</c:v>
                </c:pt>
                <c:pt idx="78">
                  <c:v>42251</c:v>
                </c:pt>
                <c:pt idx="79">
                  <c:v>42254</c:v>
                </c:pt>
                <c:pt idx="80">
                  <c:v>42255</c:v>
                </c:pt>
                <c:pt idx="81">
                  <c:v>42256</c:v>
                </c:pt>
                <c:pt idx="82">
                  <c:v>42257</c:v>
                </c:pt>
                <c:pt idx="83">
                  <c:v>42258</c:v>
                </c:pt>
                <c:pt idx="84">
                  <c:v>42261</c:v>
                </c:pt>
                <c:pt idx="85">
                  <c:v>42262</c:v>
                </c:pt>
                <c:pt idx="86">
                  <c:v>42263</c:v>
                </c:pt>
                <c:pt idx="87">
                  <c:v>42264</c:v>
                </c:pt>
                <c:pt idx="88">
                  <c:v>42265</c:v>
                </c:pt>
                <c:pt idx="89">
                  <c:v>42268</c:v>
                </c:pt>
                <c:pt idx="90">
                  <c:v>42269</c:v>
                </c:pt>
                <c:pt idx="91">
                  <c:v>42270</c:v>
                </c:pt>
                <c:pt idx="92">
                  <c:v>42271</c:v>
                </c:pt>
                <c:pt idx="93">
                  <c:v>42272</c:v>
                </c:pt>
                <c:pt idx="94">
                  <c:v>42275</c:v>
                </c:pt>
                <c:pt idx="95">
                  <c:v>42276</c:v>
                </c:pt>
                <c:pt idx="96">
                  <c:v>42277</c:v>
                </c:pt>
                <c:pt idx="97">
                  <c:v>42278</c:v>
                </c:pt>
                <c:pt idx="98">
                  <c:v>42279</c:v>
                </c:pt>
                <c:pt idx="99">
                  <c:v>42282</c:v>
                </c:pt>
                <c:pt idx="100">
                  <c:v>42283</c:v>
                </c:pt>
                <c:pt idx="101">
                  <c:v>42284</c:v>
                </c:pt>
                <c:pt idx="102">
                  <c:v>42285</c:v>
                </c:pt>
                <c:pt idx="103">
                  <c:v>42286</c:v>
                </c:pt>
                <c:pt idx="104">
                  <c:v>42289</c:v>
                </c:pt>
                <c:pt idx="105">
                  <c:v>42290</c:v>
                </c:pt>
                <c:pt idx="106">
                  <c:v>42291</c:v>
                </c:pt>
                <c:pt idx="107">
                  <c:v>42292</c:v>
                </c:pt>
                <c:pt idx="108">
                  <c:v>42293</c:v>
                </c:pt>
                <c:pt idx="109">
                  <c:v>42296</c:v>
                </c:pt>
                <c:pt idx="110">
                  <c:v>42297</c:v>
                </c:pt>
                <c:pt idx="111">
                  <c:v>42298</c:v>
                </c:pt>
                <c:pt idx="112">
                  <c:v>42299</c:v>
                </c:pt>
                <c:pt idx="113">
                  <c:v>42300</c:v>
                </c:pt>
                <c:pt idx="114">
                  <c:v>42303</c:v>
                </c:pt>
                <c:pt idx="115">
                  <c:v>42304</c:v>
                </c:pt>
                <c:pt idx="116">
                  <c:v>42305</c:v>
                </c:pt>
                <c:pt idx="117">
                  <c:v>42306</c:v>
                </c:pt>
                <c:pt idx="118">
                  <c:v>42307</c:v>
                </c:pt>
                <c:pt idx="119">
                  <c:v>42310</c:v>
                </c:pt>
                <c:pt idx="120">
                  <c:v>42311</c:v>
                </c:pt>
                <c:pt idx="121">
                  <c:v>42312</c:v>
                </c:pt>
                <c:pt idx="122">
                  <c:v>42313</c:v>
                </c:pt>
                <c:pt idx="123">
                  <c:v>42314</c:v>
                </c:pt>
                <c:pt idx="124">
                  <c:v>42317</c:v>
                </c:pt>
                <c:pt idx="125">
                  <c:v>42318</c:v>
                </c:pt>
                <c:pt idx="126">
                  <c:v>42319</c:v>
                </c:pt>
                <c:pt idx="127">
                  <c:v>42320</c:v>
                </c:pt>
                <c:pt idx="128">
                  <c:v>42321</c:v>
                </c:pt>
                <c:pt idx="129">
                  <c:v>42324</c:v>
                </c:pt>
                <c:pt idx="130">
                  <c:v>42325</c:v>
                </c:pt>
                <c:pt idx="131">
                  <c:v>42326</c:v>
                </c:pt>
                <c:pt idx="132">
                  <c:v>42327</c:v>
                </c:pt>
                <c:pt idx="133">
                  <c:v>42328</c:v>
                </c:pt>
                <c:pt idx="134">
                  <c:v>42331</c:v>
                </c:pt>
                <c:pt idx="135">
                  <c:v>42332</c:v>
                </c:pt>
                <c:pt idx="136">
                  <c:v>42333</c:v>
                </c:pt>
                <c:pt idx="137">
                  <c:v>42334</c:v>
                </c:pt>
                <c:pt idx="138">
                  <c:v>42335</c:v>
                </c:pt>
                <c:pt idx="139">
                  <c:v>42338</c:v>
                </c:pt>
                <c:pt idx="140">
                  <c:v>42339</c:v>
                </c:pt>
                <c:pt idx="141">
                  <c:v>42340</c:v>
                </c:pt>
                <c:pt idx="142">
                  <c:v>42341</c:v>
                </c:pt>
                <c:pt idx="143">
                  <c:v>42342</c:v>
                </c:pt>
                <c:pt idx="144">
                  <c:v>42345</c:v>
                </c:pt>
                <c:pt idx="145">
                  <c:v>42346</c:v>
                </c:pt>
                <c:pt idx="146">
                  <c:v>42347</c:v>
                </c:pt>
                <c:pt idx="147">
                  <c:v>42348</c:v>
                </c:pt>
                <c:pt idx="148">
                  <c:v>42349</c:v>
                </c:pt>
                <c:pt idx="149">
                  <c:v>42352</c:v>
                </c:pt>
                <c:pt idx="150">
                  <c:v>42353</c:v>
                </c:pt>
                <c:pt idx="151">
                  <c:v>42354</c:v>
                </c:pt>
                <c:pt idx="152">
                  <c:v>42355</c:v>
                </c:pt>
                <c:pt idx="153">
                  <c:v>42356</c:v>
                </c:pt>
                <c:pt idx="154">
                  <c:v>42359</c:v>
                </c:pt>
                <c:pt idx="155">
                  <c:v>42360</c:v>
                </c:pt>
                <c:pt idx="156">
                  <c:v>42361</c:v>
                </c:pt>
                <c:pt idx="157">
                  <c:v>42362</c:v>
                </c:pt>
                <c:pt idx="158">
                  <c:v>42367</c:v>
                </c:pt>
                <c:pt idx="159">
                  <c:v>42368</c:v>
                </c:pt>
                <c:pt idx="160">
                  <c:v>42369</c:v>
                </c:pt>
                <c:pt idx="161">
                  <c:v>42373</c:v>
                </c:pt>
                <c:pt idx="162">
                  <c:v>42374</c:v>
                </c:pt>
                <c:pt idx="163">
                  <c:v>42375</c:v>
                </c:pt>
                <c:pt idx="164">
                  <c:v>42376</c:v>
                </c:pt>
                <c:pt idx="165">
                  <c:v>42377</c:v>
                </c:pt>
                <c:pt idx="166">
                  <c:v>42380</c:v>
                </c:pt>
                <c:pt idx="167">
                  <c:v>42381</c:v>
                </c:pt>
                <c:pt idx="168">
                  <c:v>42382</c:v>
                </c:pt>
                <c:pt idx="169">
                  <c:v>42383</c:v>
                </c:pt>
                <c:pt idx="170">
                  <c:v>42384</c:v>
                </c:pt>
                <c:pt idx="171">
                  <c:v>42387</c:v>
                </c:pt>
                <c:pt idx="172">
                  <c:v>42388</c:v>
                </c:pt>
                <c:pt idx="173">
                  <c:v>42389</c:v>
                </c:pt>
                <c:pt idx="174">
                  <c:v>42390</c:v>
                </c:pt>
                <c:pt idx="175">
                  <c:v>42391</c:v>
                </c:pt>
                <c:pt idx="176">
                  <c:v>42394</c:v>
                </c:pt>
                <c:pt idx="177">
                  <c:v>42395</c:v>
                </c:pt>
                <c:pt idx="178">
                  <c:v>42396</c:v>
                </c:pt>
                <c:pt idx="179">
                  <c:v>42397</c:v>
                </c:pt>
                <c:pt idx="180">
                  <c:v>42398</c:v>
                </c:pt>
                <c:pt idx="181">
                  <c:v>42401</c:v>
                </c:pt>
                <c:pt idx="182">
                  <c:v>42402</c:v>
                </c:pt>
                <c:pt idx="183">
                  <c:v>42403</c:v>
                </c:pt>
                <c:pt idx="184">
                  <c:v>42404</c:v>
                </c:pt>
                <c:pt idx="185">
                  <c:v>42405</c:v>
                </c:pt>
                <c:pt idx="186">
                  <c:v>42408</c:v>
                </c:pt>
                <c:pt idx="187">
                  <c:v>42409</c:v>
                </c:pt>
                <c:pt idx="188">
                  <c:v>42410</c:v>
                </c:pt>
                <c:pt idx="189">
                  <c:v>42411</c:v>
                </c:pt>
                <c:pt idx="190">
                  <c:v>42412</c:v>
                </c:pt>
                <c:pt idx="191">
                  <c:v>42415</c:v>
                </c:pt>
                <c:pt idx="192">
                  <c:v>42416</c:v>
                </c:pt>
                <c:pt idx="193">
                  <c:v>42417</c:v>
                </c:pt>
                <c:pt idx="194">
                  <c:v>42418</c:v>
                </c:pt>
                <c:pt idx="195">
                  <c:v>42419</c:v>
                </c:pt>
                <c:pt idx="196">
                  <c:v>42422</c:v>
                </c:pt>
                <c:pt idx="197">
                  <c:v>42423</c:v>
                </c:pt>
                <c:pt idx="198">
                  <c:v>42424</c:v>
                </c:pt>
                <c:pt idx="199">
                  <c:v>42425</c:v>
                </c:pt>
                <c:pt idx="200">
                  <c:v>42426</c:v>
                </c:pt>
                <c:pt idx="201">
                  <c:v>42429</c:v>
                </c:pt>
                <c:pt idx="202">
                  <c:v>42430</c:v>
                </c:pt>
                <c:pt idx="203">
                  <c:v>42431</c:v>
                </c:pt>
                <c:pt idx="204">
                  <c:v>42432</c:v>
                </c:pt>
                <c:pt idx="205">
                  <c:v>42433</c:v>
                </c:pt>
                <c:pt idx="206">
                  <c:v>42436</c:v>
                </c:pt>
                <c:pt idx="207">
                  <c:v>42437</c:v>
                </c:pt>
                <c:pt idx="208">
                  <c:v>42438</c:v>
                </c:pt>
                <c:pt idx="209">
                  <c:v>42439</c:v>
                </c:pt>
                <c:pt idx="210">
                  <c:v>42440</c:v>
                </c:pt>
                <c:pt idx="211">
                  <c:v>42443</c:v>
                </c:pt>
                <c:pt idx="212">
                  <c:v>42444</c:v>
                </c:pt>
                <c:pt idx="213">
                  <c:v>42445</c:v>
                </c:pt>
                <c:pt idx="214">
                  <c:v>42446</c:v>
                </c:pt>
                <c:pt idx="215">
                  <c:v>42447</c:v>
                </c:pt>
                <c:pt idx="216">
                  <c:v>42450</c:v>
                </c:pt>
                <c:pt idx="217">
                  <c:v>42451</c:v>
                </c:pt>
                <c:pt idx="218">
                  <c:v>42452</c:v>
                </c:pt>
                <c:pt idx="219">
                  <c:v>42453</c:v>
                </c:pt>
                <c:pt idx="220">
                  <c:v>42458</c:v>
                </c:pt>
                <c:pt idx="221">
                  <c:v>42459</c:v>
                </c:pt>
                <c:pt idx="222">
                  <c:v>42460</c:v>
                </c:pt>
                <c:pt idx="223">
                  <c:v>42461</c:v>
                </c:pt>
                <c:pt idx="224">
                  <c:v>42464</c:v>
                </c:pt>
                <c:pt idx="225">
                  <c:v>42465</c:v>
                </c:pt>
                <c:pt idx="226">
                  <c:v>42466</c:v>
                </c:pt>
                <c:pt idx="227">
                  <c:v>42467</c:v>
                </c:pt>
                <c:pt idx="228">
                  <c:v>42468</c:v>
                </c:pt>
                <c:pt idx="229">
                  <c:v>42471</c:v>
                </c:pt>
                <c:pt idx="230">
                  <c:v>42472</c:v>
                </c:pt>
                <c:pt idx="231">
                  <c:v>42473</c:v>
                </c:pt>
                <c:pt idx="232">
                  <c:v>42474</c:v>
                </c:pt>
                <c:pt idx="233">
                  <c:v>42475</c:v>
                </c:pt>
                <c:pt idx="234">
                  <c:v>42478</c:v>
                </c:pt>
                <c:pt idx="235">
                  <c:v>42479</c:v>
                </c:pt>
                <c:pt idx="236">
                  <c:v>42480</c:v>
                </c:pt>
                <c:pt idx="237">
                  <c:v>42481</c:v>
                </c:pt>
                <c:pt idx="238">
                  <c:v>42482</c:v>
                </c:pt>
                <c:pt idx="239">
                  <c:v>42485</c:v>
                </c:pt>
                <c:pt idx="240">
                  <c:v>42486</c:v>
                </c:pt>
                <c:pt idx="241">
                  <c:v>42487</c:v>
                </c:pt>
                <c:pt idx="242">
                  <c:v>42488</c:v>
                </c:pt>
                <c:pt idx="243">
                  <c:v>42489</c:v>
                </c:pt>
                <c:pt idx="244">
                  <c:v>42493</c:v>
                </c:pt>
                <c:pt idx="245">
                  <c:v>42494</c:v>
                </c:pt>
                <c:pt idx="246">
                  <c:v>42496</c:v>
                </c:pt>
                <c:pt idx="247">
                  <c:v>42496</c:v>
                </c:pt>
                <c:pt idx="248">
                  <c:v>42499</c:v>
                </c:pt>
                <c:pt idx="249">
                  <c:v>42500</c:v>
                </c:pt>
                <c:pt idx="250">
                  <c:v>42501</c:v>
                </c:pt>
                <c:pt idx="251">
                  <c:v>42502</c:v>
                </c:pt>
                <c:pt idx="252">
                  <c:v>42503</c:v>
                </c:pt>
                <c:pt idx="253">
                  <c:v>42507</c:v>
                </c:pt>
                <c:pt idx="254">
                  <c:v>42507</c:v>
                </c:pt>
                <c:pt idx="255">
                  <c:v>42508</c:v>
                </c:pt>
                <c:pt idx="256">
                  <c:v>42509</c:v>
                </c:pt>
                <c:pt idx="257">
                  <c:v>42510</c:v>
                </c:pt>
                <c:pt idx="258">
                  <c:v>42513</c:v>
                </c:pt>
                <c:pt idx="259">
                  <c:v>42514</c:v>
                </c:pt>
                <c:pt idx="260">
                  <c:v>42515</c:v>
                </c:pt>
                <c:pt idx="261">
                  <c:v>42516</c:v>
                </c:pt>
                <c:pt idx="262">
                  <c:v>42517</c:v>
                </c:pt>
                <c:pt idx="263">
                  <c:v>42521</c:v>
                </c:pt>
                <c:pt idx="264">
                  <c:v>42522</c:v>
                </c:pt>
                <c:pt idx="265">
                  <c:v>42523</c:v>
                </c:pt>
                <c:pt idx="266">
                  <c:v>42524</c:v>
                </c:pt>
                <c:pt idx="267">
                  <c:v>42527</c:v>
                </c:pt>
                <c:pt idx="268">
                  <c:v>42528</c:v>
                </c:pt>
                <c:pt idx="269">
                  <c:v>42529</c:v>
                </c:pt>
                <c:pt idx="270">
                  <c:v>42530</c:v>
                </c:pt>
                <c:pt idx="271">
                  <c:v>42531</c:v>
                </c:pt>
                <c:pt idx="272">
                  <c:v>42534</c:v>
                </c:pt>
                <c:pt idx="273">
                  <c:v>42535</c:v>
                </c:pt>
                <c:pt idx="274">
                  <c:v>42536</c:v>
                </c:pt>
                <c:pt idx="275">
                  <c:v>42537</c:v>
                </c:pt>
                <c:pt idx="276">
                  <c:v>42538</c:v>
                </c:pt>
                <c:pt idx="277">
                  <c:v>42541</c:v>
                </c:pt>
                <c:pt idx="278">
                  <c:v>42542</c:v>
                </c:pt>
                <c:pt idx="279">
                  <c:v>42543</c:v>
                </c:pt>
                <c:pt idx="280">
                  <c:v>42544</c:v>
                </c:pt>
                <c:pt idx="281">
                  <c:v>42545</c:v>
                </c:pt>
                <c:pt idx="282">
                  <c:v>42548</c:v>
                </c:pt>
                <c:pt idx="283">
                  <c:v>42549</c:v>
                </c:pt>
                <c:pt idx="284">
                  <c:v>42550</c:v>
                </c:pt>
                <c:pt idx="285">
                  <c:v>42551</c:v>
                </c:pt>
                <c:pt idx="286">
                  <c:v>42552</c:v>
                </c:pt>
                <c:pt idx="287">
                  <c:v>42555</c:v>
                </c:pt>
                <c:pt idx="288">
                  <c:v>42556</c:v>
                </c:pt>
                <c:pt idx="289">
                  <c:v>42557</c:v>
                </c:pt>
                <c:pt idx="290">
                  <c:v>42558</c:v>
                </c:pt>
                <c:pt idx="291">
                  <c:v>42559</c:v>
                </c:pt>
                <c:pt idx="292">
                  <c:v>42562</c:v>
                </c:pt>
                <c:pt idx="293">
                  <c:v>42563</c:v>
                </c:pt>
                <c:pt idx="294">
                  <c:v>42564</c:v>
                </c:pt>
                <c:pt idx="295">
                  <c:v>42565</c:v>
                </c:pt>
                <c:pt idx="296">
                  <c:v>42566</c:v>
                </c:pt>
                <c:pt idx="297">
                  <c:v>42569</c:v>
                </c:pt>
                <c:pt idx="298">
                  <c:v>42570</c:v>
                </c:pt>
                <c:pt idx="299">
                  <c:v>42571</c:v>
                </c:pt>
                <c:pt idx="300">
                  <c:v>42572</c:v>
                </c:pt>
                <c:pt idx="301">
                  <c:v>42573</c:v>
                </c:pt>
                <c:pt idx="302">
                  <c:v>42576</c:v>
                </c:pt>
                <c:pt idx="303">
                  <c:v>42577</c:v>
                </c:pt>
                <c:pt idx="304">
                  <c:v>42578</c:v>
                </c:pt>
                <c:pt idx="305">
                  <c:v>42579</c:v>
                </c:pt>
                <c:pt idx="306">
                  <c:v>42580</c:v>
                </c:pt>
                <c:pt idx="307">
                  <c:v>42584</c:v>
                </c:pt>
                <c:pt idx="308">
                  <c:v>42584</c:v>
                </c:pt>
                <c:pt idx="309">
                  <c:v>42585</c:v>
                </c:pt>
                <c:pt idx="310">
                  <c:v>42586</c:v>
                </c:pt>
                <c:pt idx="311">
                  <c:v>42587</c:v>
                </c:pt>
                <c:pt idx="312">
                  <c:v>42590</c:v>
                </c:pt>
                <c:pt idx="313">
                  <c:v>42591</c:v>
                </c:pt>
                <c:pt idx="314">
                  <c:v>42592</c:v>
                </c:pt>
                <c:pt idx="315">
                  <c:v>42593</c:v>
                </c:pt>
                <c:pt idx="316">
                  <c:v>42594</c:v>
                </c:pt>
                <c:pt idx="317">
                  <c:v>42597</c:v>
                </c:pt>
                <c:pt idx="318">
                  <c:v>42598</c:v>
                </c:pt>
                <c:pt idx="319">
                  <c:v>42599</c:v>
                </c:pt>
                <c:pt idx="320">
                  <c:v>42600</c:v>
                </c:pt>
                <c:pt idx="321">
                  <c:v>42601</c:v>
                </c:pt>
                <c:pt idx="322">
                  <c:v>42604</c:v>
                </c:pt>
                <c:pt idx="323">
                  <c:v>42605</c:v>
                </c:pt>
                <c:pt idx="324">
                  <c:v>42606</c:v>
                </c:pt>
                <c:pt idx="325">
                  <c:v>42607</c:v>
                </c:pt>
                <c:pt idx="326">
                  <c:v>42608</c:v>
                </c:pt>
                <c:pt idx="327">
                  <c:v>42612</c:v>
                </c:pt>
                <c:pt idx="328">
                  <c:v>42613</c:v>
                </c:pt>
                <c:pt idx="329">
                  <c:v>42614</c:v>
                </c:pt>
                <c:pt idx="330">
                  <c:v>42615</c:v>
                </c:pt>
                <c:pt idx="331">
                  <c:v>42618</c:v>
                </c:pt>
                <c:pt idx="332">
                  <c:v>42619</c:v>
                </c:pt>
                <c:pt idx="333">
                  <c:v>42620</c:v>
                </c:pt>
                <c:pt idx="334">
                  <c:v>42621</c:v>
                </c:pt>
                <c:pt idx="335">
                  <c:v>42622</c:v>
                </c:pt>
                <c:pt idx="336">
                  <c:v>42625</c:v>
                </c:pt>
                <c:pt idx="337">
                  <c:v>42626</c:v>
                </c:pt>
                <c:pt idx="338">
                  <c:v>42627</c:v>
                </c:pt>
                <c:pt idx="339">
                  <c:v>42628</c:v>
                </c:pt>
                <c:pt idx="340">
                  <c:v>42629</c:v>
                </c:pt>
                <c:pt idx="341">
                  <c:v>42632</c:v>
                </c:pt>
                <c:pt idx="342">
                  <c:v>42633</c:v>
                </c:pt>
                <c:pt idx="343">
                  <c:v>42634</c:v>
                </c:pt>
                <c:pt idx="344">
                  <c:v>42635</c:v>
                </c:pt>
                <c:pt idx="345">
                  <c:v>42636</c:v>
                </c:pt>
                <c:pt idx="346">
                  <c:v>42639</c:v>
                </c:pt>
                <c:pt idx="347">
                  <c:v>42640</c:v>
                </c:pt>
                <c:pt idx="348">
                  <c:v>42641</c:v>
                </c:pt>
                <c:pt idx="349">
                  <c:v>42642</c:v>
                </c:pt>
                <c:pt idx="350">
                  <c:v>42643</c:v>
                </c:pt>
                <c:pt idx="351">
                  <c:v>42646</c:v>
                </c:pt>
                <c:pt idx="352">
                  <c:v>42647</c:v>
                </c:pt>
                <c:pt idx="353">
                  <c:v>42648</c:v>
                </c:pt>
                <c:pt idx="354">
                  <c:v>42649</c:v>
                </c:pt>
                <c:pt idx="355">
                  <c:v>42650</c:v>
                </c:pt>
                <c:pt idx="356">
                  <c:v>42653</c:v>
                </c:pt>
                <c:pt idx="357">
                  <c:v>42654</c:v>
                </c:pt>
                <c:pt idx="358">
                  <c:v>42655</c:v>
                </c:pt>
                <c:pt idx="359">
                  <c:v>42656</c:v>
                </c:pt>
                <c:pt idx="360">
                  <c:v>42657</c:v>
                </c:pt>
                <c:pt idx="361">
                  <c:v>42660</c:v>
                </c:pt>
                <c:pt idx="362">
                  <c:v>42661</c:v>
                </c:pt>
                <c:pt idx="363">
                  <c:v>42662</c:v>
                </c:pt>
                <c:pt idx="364">
                  <c:v>42663</c:v>
                </c:pt>
                <c:pt idx="365">
                  <c:v>42664</c:v>
                </c:pt>
                <c:pt idx="366">
                  <c:v>42667</c:v>
                </c:pt>
                <c:pt idx="367">
                  <c:v>42668</c:v>
                </c:pt>
                <c:pt idx="368">
                  <c:v>42669</c:v>
                </c:pt>
                <c:pt idx="369">
                  <c:v>42670</c:v>
                </c:pt>
                <c:pt idx="370">
                  <c:v>42671</c:v>
                </c:pt>
                <c:pt idx="371">
                  <c:v>42674</c:v>
                </c:pt>
                <c:pt idx="372">
                  <c:v>42675</c:v>
                </c:pt>
                <c:pt idx="373">
                  <c:v>42676</c:v>
                </c:pt>
                <c:pt idx="374">
                  <c:v>42677</c:v>
                </c:pt>
                <c:pt idx="375">
                  <c:v>42678</c:v>
                </c:pt>
                <c:pt idx="376">
                  <c:v>42681</c:v>
                </c:pt>
                <c:pt idx="377">
                  <c:v>42682</c:v>
                </c:pt>
                <c:pt idx="378">
                  <c:v>42683</c:v>
                </c:pt>
                <c:pt idx="379">
                  <c:v>42684</c:v>
                </c:pt>
                <c:pt idx="380">
                  <c:v>42685</c:v>
                </c:pt>
                <c:pt idx="381">
                  <c:v>42688</c:v>
                </c:pt>
                <c:pt idx="382">
                  <c:v>42689</c:v>
                </c:pt>
                <c:pt idx="383">
                  <c:v>42690</c:v>
                </c:pt>
                <c:pt idx="384">
                  <c:v>42691</c:v>
                </c:pt>
                <c:pt idx="385">
                  <c:v>42692</c:v>
                </c:pt>
                <c:pt idx="386">
                  <c:v>42695</c:v>
                </c:pt>
                <c:pt idx="387">
                  <c:v>42696</c:v>
                </c:pt>
                <c:pt idx="388">
                  <c:v>42697</c:v>
                </c:pt>
                <c:pt idx="389">
                  <c:v>42698</c:v>
                </c:pt>
                <c:pt idx="390">
                  <c:v>42699</c:v>
                </c:pt>
                <c:pt idx="391">
                  <c:v>42702</c:v>
                </c:pt>
                <c:pt idx="392">
                  <c:v>42703</c:v>
                </c:pt>
                <c:pt idx="393">
                  <c:v>42704</c:v>
                </c:pt>
                <c:pt idx="394">
                  <c:v>42705</c:v>
                </c:pt>
                <c:pt idx="395">
                  <c:v>42706</c:v>
                </c:pt>
                <c:pt idx="396">
                  <c:v>42709</c:v>
                </c:pt>
                <c:pt idx="397">
                  <c:v>42710</c:v>
                </c:pt>
                <c:pt idx="398">
                  <c:v>42711</c:v>
                </c:pt>
                <c:pt idx="399">
                  <c:v>42712</c:v>
                </c:pt>
                <c:pt idx="400">
                  <c:v>42713</c:v>
                </c:pt>
                <c:pt idx="401">
                  <c:v>42716</c:v>
                </c:pt>
                <c:pt idx="402">
                  <c:v>42717</c:v>
                </c:pt>
                <c:pt idx="403">
                  <c:v>42718</c:v>
                </c:pt>
                <c:pt idx="404">
                  <c:v>42719</c:v>
                </c:pt>
                <c:pt idx="405">
                  <c:v>42720</c:v>
                </c:pt>
                <c:pt idx="406">
                  <c:v>42723</c:v>
                </c:pt>
                <c:pt idx="407">
                  <c:v>42724</c:v>
                </c:pt>
                <c:pt idx="408">
                  <c:v>42725</c:v>
                </c:pt>
                <c:pt idx="409">
                  <c:v>42726</c:v>
                </c:pt>
                <c:pt idx="410">
                  <c:v>42727</c:v>
                </c:pt>
                <c:pt idx="411">
                  <c:v>42732</c:v>
                </c:pt>
                <c:pt idx="412">
                  <c:v>42733</c:v>
                </c:pt>
                <c:pt idx="413">
                  <c:v>42734</c:v>
                </c:pt>
                <c:pt idx="414">
                  <c:v>42738</c:v>
                </c:pt>
                <c:pt idx="415">
                  <c:v>42739</c:v>
                </c:pt>
                <c:pt idx="416">
                  <c:v>42740</c:v>
                </c:pt>
                <c:pt idx="417">
                  <c:v>42741</c:v>
                </c:pt>
                <c:pt idx="418">
                  <c:v>42744</c:v>
                </c:pt>
                <c:pt idx="419">
                  <c:v>42745</c:v>
                </c:pt>
                <c:pt idx="420">
                  <c:v>42746</c:v>
                </c:pt>
                <c:pt idx="421">
                  <c:v>42747</c:v>
                </c:pt>
                <c:pt idx="422">
                  <c:v>42748</c:v>
                </c:pt>
                <c:pt idx="423">
                  <c:v>42751</c:v>
                </c:pt>
                <c:pt idx="424">
                  <c:v>42752</c:v>
                </c:pt>
                <c:pt idx="425">
                  <c:v>42753</c:v>
                </c:pt>
                <c:pt idx="426">
                  <c:v>42754</c:v>
                </c:pt>
                <c:pt idx="427">
                  <c:v>42755</c:v>
                </c:pt>
                <c:pt idx="428">
                  <c:v>42758</c:v>
                </c:pt>
                <c:pt idx="429">
                  <c:v>42759</c:v>
                </c:pt>
                <c:pt idx="430">
                  <c:v>42760</c:v>
                </c:pt>
                <c:pt idx="431">
                  <c:v>42761</c:v>
                </c:pt>
                <c:pt idx="432">
                  <c:v>42762</c:v>
                </c:pt>
                <c:pt idx="433">
                  <c:v>42765</c:v>
                </c:pt>
                <c:pt idx="434">
                  <c:v>42766</c:v>
                </c:pt>
                <c:pt idx="435">
                  <c:v>42767</c:v>
                </c:pt>
                <c:pt idx="436">
                  <c:v>42768</c:v>
                </c:pt>
                <c:pt idx="437">
                  <c:v>42769</c:v>
                </c:pt>
                <c:pt idx="438">
                  <c:v>42772</c:v>
                </c:pt>
                <c:pt idx="439">
                  <c:v>42773</c:v>
                </c:pt>
                <c:pt idx="440">
                  <c:v>42774</c:v>
                </c:pt>
                <c:pt idx="441">
                  <c:v>42775</c:v>
                </c:pt>
                <c:pt idx="442">
                  <c:v>42776</c:v>
                </c:pt>
                <c:pt idx="443">
                  <c:v>42779</c:v>
                </c:pt>
                <c:pt idx="444">
                  <c:v>42780</c:v>
                </c:pt>
                <c:pt idx="445">
                  <c:v>42781</c:v>
                </c:pt>
                <c:pt idx="446">
                  <c:v>42782</c:v>
                </c:pt>
                <c:pt idx="447">
                  <c:v>42783</c:v>
                </c:pt>
                <c:pt idx="448">
                  <c:v>42786</c:v>
                </c:pt>
                <c:pt idx="449">
                  <c:v>42787</c:v>
                </c:pt>
                <c:pt idx="450">
                  <c:v>42788</c:v>
                </c:pt>
                <c:pt idx="451">
                  <c:v>42789</c:v>
                </c:pt>
                <c:pt idx="452">
                  <c:v>42790</c:v>
                </c:pt>
                <c:pt idx="453">
                  <c:v>42793</c:v>
                </c:pt>
                <c:pt idx="454">
                  <c:v>42794</c:v>
                </c:pt>
                <c:pt idx="455">
                  <c:v>42795</c:v>
                </c:pt>
                <c:pt idx="456">
                  <c:v>42796</c:v>
                </c:pt>
                <c:pt idx="457">
                  <c:v>42797</c:v>
                </c:pt>
                <c:pt idx="458">
                  <c:v>42800</c:v>
                </c:pt>
                <c:pt idx="459">
                  <c:v>42801</c:v>
                </c:pt>
                <c:pt idx="460">
                  <c:v>42802</c:v>
                </c:pt>
                <c:pt idx="461">
                  <c:v>42803</c:v>
                </c:pt>
                <c:pt idx="462">
                  <c:v>42804</c:v>
                </c:pt>
                <c:pt idx="463">
                  <c:v>42807</c:v>
                </c:pt>
                <c:pt idx="464">
                  <c:v>42808</c:v>
                </c:pt>
                <c:pt idx="465">
                  <c:v>42809</c:v>
                </c:pt>
                <c:pt idx="466">
                  <c:v>42810</c:v>
                </c:pt>
                <c:pt idx="467">
                  <c:v>42811</c:v>
                </c:pt>
                <c:pt idx="468">
                  <c:v>42814</c:v>
                </c:pt>
                <c:pt idx="469">
                  <c:v>42815</c:v>
                </c:pt>
                <c:pt idx="470">
                  <c:v>42816</c:v>
                </c:pt>
                <c:pt idx="471">
                  <c:v>42817</c:v>
                </c:pt>
                <c:pt idx="472">
                  <c:v>42818</c:v>
                </c:pt>
                <c:pt idx="473">
                  <c:v>42821</c:v>
                </c:pt>
                <c:pt idx="474">
                  <c:v>42822</c:v>
                </c:pt>
                <c:pt idx="475">
                  <c:v>42823</c:v>
                </c:pt>
                <c:pt idx="476">
                  <c:v>42824</c:v>
                </c:pt>
                <c:pt idx="477">
                  <c:v>42825</c:v>
                </c:pt>
                <c:pt idx="478">
                  <c:v>42828</c:v>
                </c:pt>
                <c:pt idx="479">
                  <c:v>42829</c:v>
                </c:pt>
                <c:pt idx="480">
                  <c:v>42830</c:v>
                </c:pt>
                <c:pt idx="481">
                  <c:v>42831</c:v>
                </c:pt>
                <c:pt idx="482">
                  <c:v>42832</c:v>
                </c:pt>
                <c:pt idx="483">
                  <c:v>42835</c:v>
                </c:pt>
                <c:pt idx="484">
                  <c:v>42836</c:v>
                </c:pt>
                <c:pt idx="485">
                  <c:v>42837</c:v>
                </c:pt>
                <c:pt idx="486">
                  <c:v>42838</c:v>
                </c:pt>
                <c:pt idx="487">
                  <c:v>42843</c:v>
                </c:pt>
                <c:pt idx="488">
                  <c:v>42844</c:v>
                </c:pt>
                <c:pt idx="489">
                  <c:v>42845</c:v>
                </c:pt>
                <c:pt idx="490">
                  <c:v>42846</c:v>
                </c:pt>
                <c:pt idx="491">
                  <c:v>42849</c:v>
                </c:pt>
                <c:pt idx="492">
                  <c:v>42850</c:v>
                </c:pt>
                <c:pt idx="493">
                  <c:v>42851</c:v>
                </c:pt>
                <c:pt idx="494">
                  <c:v>42852</c:v>
                </c:pt>
                <c:pt idx="495">
                  <c:v>42853</c:v>
                </c:pt>
                <c:pt idx="496">
                  <c:v>42857</c:v>
                </c:pt>
                <c:pt idx="497">
                  <c:v>42858</c:v>
                </c:pt>
                <c:pt idx="498">
                  <c:v>42859</c:v>
                </c:pt>
                <c:pt idx="499">
                  <c:v>42860</c:v>
                </c:pt>
                <c:pt idx="500">
                  <c:v>42863</c:v>
                </c:pt>
                <c:pt idx="501">
                  <c:v>42864</c:v>
                </c:pt>
                <c:pt idx="502">
                  <c:v>42865</c:v>
                </c:pt>
                <c:pt idx="503">
                  <c:v>42866</c:v>
                </c:pt>
                <c:pt idx="504">
                  <c:v>42867</c:v>
                </c:pt>
                <c:pt idx="505">
                  <c:v>42870</c:v>
                </c:pt>
                <c:pt idx="506">
                  <c:v>42871</c:v>
                </c:pt>
                <c:pt idx="507">
                  <c:v>42872</c:v>
                </c:pt>
                <c:pt idx="508">
                  <c:v>42873</c:v>
                </c:pt>
                <c:pt idx="509">
                  <c:v>42874</c:v>
                </c:pt>
                <c:pt idx="510">
                  <c:v>42877</c:v>
                </c:pt>
                <c:pt idx="511">
                  <c:v>42878</c:v>
                </c:pt>
                <c:pt idx="512">
                  <c:v>42879</c:v>
                </c:pt>
                <c:pt idx="513">
                  <c:v>42881</c:v>
                </c:pt>
                <c:pt idx="514">
                  <c:v>42881</c:v>
                </c:pt>
                <c:pt idx="515">
                  <c:v>42885</c:v>
                </c:pt>
                <c:pt idx="516">
                  <c:v>42886</c:v>
                </c:pt>
                <c:pt idx="517">
                  <c:v>42887</c:v>
                </c:pt>
                <c:pt idx="518">
                  <c:v>42894</c:v>
                </c:pt>
                <c:pt idx="519">
                  <c:v>42901</c:v>
                </c:pt>
                <c:pt idx="520">
                  <c:v>42908</c:v>
                </c:pt>
                <c:pt idx="521">
                  <c:v>42915</c:v>
                </c:pt>
                <c:pt idx="522">
                  <c:v>42922</c:v>
                </c:pt>
                <c:pt idx="523">
                  <c:v>42929</c:v>
                </c:pt>
                <c:pt idx="524">
                  <c:v>42936</c:v>
                </c:pt>
                <c:pt idx="525">
                  <c:v>42943</c:v>
                </c:pt>
                <c:pt idx="526">
                  <c:v>42950</c:v>
                </c:pt>
                <c:pt idx="527">
                  <c:v>42957</c:v>
                </c:pt>
                <c:pt idx="528">
                  <c:v>42964</c:v>
                </c:pt>
                <c:pt idx="529">
                  <c:v>42971</c:v>
                </c:pt>
                <c:pt idx="530">
                  <c:v>42978</c:v>
                </c:pt>
                <c:pt idx="531">
                  <c:v>42985</c:v>
                </c:pt>
                <c:pt idx="532">
                  <c:v>42992</c:v>
                </c:pt>
                <c:pt idx="533">
                  <c:v>42999</c:v>
                </c:pt>
                <c:pt idx="534">
                  <c:v>43006</c:v>
                </c:pt>
                <c:pt idx="535">
                  <c:v>43013</c:v>
                </c:pt>
                <c:pt idx="536">
                  <c:v>43020</c:v>
                </c:pt>
                <c:pt idx="537">
                  <c:v>43027</c:v>
                </c:pt>
                <c:pt idx="538">
                  <c:v>43034</c:v>
                </c:pt>
                <c:pt idx="539">
                  <c:v>43041</c:v>
                </c:pt>
                <c:pt idx="540">
                  <c:v>43048</c:v>
                </c:pt>
                <c:pt idx="541">
                  <c:v>43055</c:v>
                </c:pt>
                <c:pt idx="542">
                  <c:v>43062</c:v>
                </c:pt>
                <c:pt idx="543">
                  <c:v>43069</c:v>
                </c:pt>
                <c:pt idx="544">
                  <c:v>43076</c:v>
                </c:pt>
                <c:pt idx="545">
                  <c:v>43083</c:v>
                </c:pt>
                <c:pt idx="546">
                  <c:v>43090</c:v>
                </c:pt>
                <c:pt idx="547">
                  <c:v>43098</c:v>
                </c:pt>
                <c:pt idx="548">
                  <c:v>43105</c:v>
                </c:pt>
                <c:pt idx="549">
                  <c:v>43112</c:v>
                </c:pt>
                <c:pt idx="550">
                  <c:v>43119</c:v>
                </c:pt>
                <c:pt idx="551">
                  <c:v>43126</c:v>
                </c:pt>
                <c:pt idx="552">
                  <c:v>43133</c:v>
                </c:pt>
                <c:pt idx="553">
                  <c:v>43140</c:v>
                </c:pt>
                <c:pt idx="554">
                  <c:v>43147</c:v>
                </c:pt>
                <c:pt idx="555">
                  <c:v>43154</c:v>
                </c:pt>
                <c:pt idx="556">
                  <c:v>43161</c:v>
                </c:pt>
                <c:pt idx="557">
                  <c:v>43168</c:v>
                </c:pt>
                <c:pt idx="558">
                  <c:v>43175</c:v>
                </c:pt>
                <c:pt idx="559">
                  <c:v>43182</c:v>
                </c:pt>
                <c:pt idx="560">
                  <c:v>43193</c:v>
                </c:pt>
                <c:pt idx="561">
                  <c:v>43196</c:v>
                </c:pt>
                <c:pt idx="562">
                  <c:v>43203</c:v>
                </c:pt>
                <c:pt idx="563">
                  <c:v>43210</c:v>
                </c:pt>
                <c:pt idx="564">
                  <c:v>43217</c:v>
                </c:pt>
                <c:pt idx="565">
                  <c:v>43224</c:v>
                </c:pt>
                <c:pt idx="566">
                  <c:v>43231</c:v>
                </c:pt>
                <c:pt idx="567">
                  <c:v>43238</c:v>
                </c:pt>
                <c:pt idx="568">
                  <c:v>43245</c:v>
                </c:pt>
                <c:pt idx="569">
                  <c:v>43252</c:v>
                </c:pt>
                <c:pt idx="570">
                  <c:v>43259</c:v>
                </c:pt>
                <c:pt idx="571">
                  <c:v>43266</c:v>
                </c:pt>
                <c:pt idx="572">
                  <c:v>43273</c:v>
                </c:pt>
                <c:pt idx="573">
                  <c:v>43280</c:v>
                </c:pt>
                <c:pt idx="574">
                  <c:v>43287</c:v>
                </c:pt>
                <c:pt idx="575">
                  <c:v>43294</c:v>
                </c:pt>
                <c:pt idx="576">
                  <c:v>43301</c:v>
                </c:pt>
                <c:pt idx="577">
                  <c:v>43308</c:v>
                </c:pt>
                <c:pt idx="578">
                  <c:v>43315</c:v>
                </c:pt>
                <c:pt idx="579">
                  <c:v>43322</c:v>
                </c:pt>
                <c:pt idx="580">
                  <c:v>43329</c:v>
                </c:pt>
                <c:pt idx="581">
                  <c:v>43336</c:v>
                </c:pt>
                <c:pt idx="582">
                  <c:v>43343</c:v>
                </c:pt>
                <c:pt idx="583">
                  <c:v>43350</c:v>
                </c:pt>
                <c:pt idx="584">
                  <c:v>43357</c:v>
                </c:pt>
                <c:pt idx="585">
                  <c:v>43364</c:v>
                </c:pt>
                <c:pt idx="586">
                  <c:v>43371</c:v>
                </c:pt>
                <c:pt idx="587">
                  <c:v>43378</c:v>
                </c:pt>
                <c:pt idx="588">
                  <c:v>43385</c:v>
                </c:pt>
                <c:pt idx="589">
                  <c:v>43392</c:v>
                </c:pt>
                <c:pt idx="590">
                  <c:v>43399</c:v>
                </c:pt>
                <c:pt idx="591">
                  <c:v>43406</c:v>
                </c:pt>
                <c:pt idx="592">
                  <c:v>43413</c:v>
                </c:pt>
                <c:pt idx="593">
                  <c:v>43420</c:v>
                </c:pt>
                <c:pt idx="594">
                  <c:v>43427</c:v>
                </c:pt>
                <c:pt idx="595">
                  <c:v>43434</c:v>
                </c:pt>
                <c:pt idx="596">
                  <c:v>43441</c:v>
                </c:pt>
                <c:pt idx="597">
                  <c:v>43448</c:v>
                </c:pt>
                <c:pt idx="598">
                  <c:v>43455</c:v>
                </c:pt>
                <c:pt idx="599">
                  <c:v>43465</c:v>
                </c:pt>
                <c:pt idx="600">
                  <c:v>43472</c:v>
                </c:pt>
                <c:pt idx="601">
                  <c:v>43479</c:v>
                </c:pt>
                <c:pt idx="602">
                  <c:v>43486</c:v>
                </c:pt>
                <c:pt idx="603">
                  <c:v>43493</c:v>
                </c:pt>
                <c:pt idx="604">
                  <c:v>43500</c:v>
                </c:pt>
                <c:pt idx="605">
                  <c:v>43507</c:v>
                </c:pt>
                <c:pt idx="606">
                  <c:v>43514</c:v>
                </c:pt>
                <c:pt idx="607">
                  <c:v>43521</c:v>
                </c:pt>
                <c:pt idx="608">
                  <c:v>43528</c:v>
                </c:pt>
                <c:pt idx="609">
                  <c:v>43535</c:v>
                </c:pt>
                <c:pt idx="610">
                  <c:v>43542</c:v>
                </c:pt>
                <c:pt idx="611">
                  <c:v>43549</c:v>
                </c:pt>
                <c:pt idx="612">
                  <c:v>43556</c:v>
                </c:pt>
                <c:pt idx="613">
                  <c:v>43563</c:v>
                </c:pt>
                <c:pt idx="614">
                  <c:v>43570</c:v>
                </c:pt>
                <c:pt idx="615">
                  <c:v>43579</c:v>
                </c:pt>
                <c:pt idx="616">
                  <c:v>43584</c:v>
                </c:pt>
                <c:pt idx="617">
                  <c:v>43592</c:v>
                </c:pt>
                <c:pt idx="618">
                  <c:v>43598</c:v>
                </c:pt>
                <c:pt idx="619">
                  <c:v>43605</c:v>
                </c:pt>
                <c:pt idx="620">
                  <c:v>43613</c:v>
                </c:pt>
                <c:pt idx="621">
                  <c:v>43619</c:v>
                </c:pt>
                <c:pt idx="622">
                  <c:v>43627</c:v>
                </c:pt>
                <c:pt idx="623">
                  <c:v>43633</c:v>
                </c:pt>
                <c:pt idx="624">
                  <c:v>43640</c:v>
                </c:pt>
                <c:pt idx="625">
                  <c:v>43647</c:v>
                </c:pt>
                <c:pt idx="626">
                  <c:v>43654</c:v>
                </c:pt>
                <c:pt idx="627">
                  <c:v>43661</c:v>
                </c:pt>
                <c:pt idx="628">
                  <c:v>43668</c:v>
                </c:pt>
                <c:pt idx="629">
                  <c:v>43675</c:v>
                </c:pt>
                <c:pt idx="630">
                  <c:v>43682</c:v>
                </c:pt>
                <c:pt idx="631">
                  <c:v>43689</c:v>
                </c:pt>
                <c:pt idx="632">
                  <c:v>43696</c:v>
                </c:pt>
                <c:pt idx="633">
                  <c:v>43704</c:v>
                </c:pt>
                <c:pt idx="634">
                  <c:v>43710</c:v>
                </c:pt>
                <c:pt idx="635">
                  <c:v>43717</c:v>
                </c:pt>
                <c:pt idx="636">
                  <c:v>43724</c:v>
                </c:pt>
                <c:pt idx="637">
                  <c:v>43731</c:v>
                </c:pt>
                <c:pt idx="638">
                  <c:v>43738</c:v>
                </c:pt>
                <c:pt idx="639">
                  <c:v>43745</c:v>
                </c:pt>
                <c:pt idx="640">
                  <c:v>43752</c:v>
                </c:pt>
                <c:pt idx="641">
                  <c:v>43759</c:v>
                </c:pt>
                <c:pt idx="642">
                  <c:v>43766</c:v>
                </c:pt>
                <c:pt idx="643">
                  <c:v>43773</c:v>
                </c:pt>
                <c:pt idx="644">
                  <c:v>43780</c:v>
                </c:pt>
                <c:pt idx="645">
                  <c:v>43787</c:v>
                </c:pt>
                <c:pt idx="646">
                  <c:v>43794</c:v>
                </c:pt>
                <c:pt idx="647">
                  <c:v>43801</c:v>
                </c:pt>
                <c:pt idx="648">
                  <c:v>43808</c:v>
                </c:pt>
                <c:pt idx="649">
                  <c:v>43815</c:v>
                </c:pt>
                <c:pt idx="650">
                  <c:v>43822</c:v>
                </c:pt>
                <c:pt idx="651">
                  <c:v>43830</c:v>
                </c:pt>
                <c:pt idx="652">
                  <c:v>43837</c:v>
                </c:pt>
                <c:pt idx="653">
                  <c:v>43844</c:v>
                </c:pt>
                <c:pt idx="654">
                  <c:v>43851</c:v>
                </c:pt>
                <c:pt idx="655">
                  <c:v>43858</c:v>
                </c:pt>
                <c:pt idx="656">
                  <c:v>43865</c:v>
                </c:pt>
                <c:pt idx="657">
                  <c:v>43872</c:v>
                </c:pt>
                <c:pt idx="658">
                  <c:v>43879</c:v>
                </c:pt>
                <c:pt idx="659">
                  <c:v>43886</c:v>
                </c:pt>
                <c:pt idx="660">
                  <c:v>43893</c:v>
                </c:pt>
                <c:pt idx="661">
                  <c:v>43900</c:v>
                </c:pt>
                <c:pt idx="662">
                  <c:v>43907</c:v>
                </c:pt>
                <c:pt idx="663">
                  <c:v>43914</c:v>
                </c:pt>
                <c:pt idx="664">
                  <c:v>43921</c:v>
                </c:pt>
                <c:pt idx="665">
                  <c:v>43928</c:v>
                </c:pt>
                <c:pt idx="666">
                  <c:v>43937</c:v>
                </c:pt>
                <c:pt idx="667">
                  <c:v>43944</c:v>
                </c:pt>
                <c:pt idx="668">
                  <c:v>43951</c:v>
                </c:pt>
                <c:pt idx="669">
                  <c:v>43958</c:v>
                </c:pt>
                <c:pt idx="670">
                  <c:v>43965</c:v>
                </c:pt>
                <c:pt idx="671">
                  <c:v>43973</c:v>
                </c:pt>
                <c:pt idx="672">
                  <c:v>43979</c:v>
                </c:pt>
                <c:pt idx="673">
                  <c:v>43986</c:v>
                </c:pt>
                <c:pt idx="674">
                  <c:v>43993</c:v>
                </c:pt>
                <c:pt idx="675">
                  <c:v>44000</c:v>
                </c:pt>
                <c:pt idx="676">
                  <c:v>44007</c:v>
                </c:pt>
                <c:pt idx="677">
                  <c:v>44014</c:v>
                </c:pt>
                <c:pt idx="678">
                  <c:v>44021</c:v>
                </c:pt>
                <c:pt idx="679">
                  <c:v>44028</c:v>
                </c:pt>
                <c:pt idx="680">
                  <c:v>44035</c:v>
                </c:pt>
                <c:pt idx="681">
                  <c:v>44042</c:v>
                </c:pt>
                <c:pt idx="682">
                  <c:v>44049</c:v>
                </c:pt>
                <c:pt idx="683">
                  <c:v>44056</c:v>
                </c:pt>
                <c:pt idx="684">
                  <c:v>44063</c:v>
                </c:pt>
                <c:pt idx="685">
                  <c:v>44070</c:v>
                </c:pt>
                <c:pt idx="686">
                  <c:v>44077</c:v>
                </c:pt>
                <c:pt idx="687">
                  <c:v>44084</c:v>
                </c:pt>
                <c:pt idx="688">
                  <c:v>44091</c:v>
                </c:pt>
                <c:pt idx="689">
                  <c:v>44098</c:v>
                </c:pt>
                <c:pt idx="690">
                  <c:v>44105</c:v>
                </c:pt>
                <c:pt idx="691">
                  <c:v>44112</c:v>
                </c:pt>
                <c:pt idx="692">
                  <c:v>44119</c:v>
                </c:pt>
                <c:pt idx="693">
                  <c:v>44126</c:v>
                </c:pt>
                <c:pt idx="694">
                  <c:v>44133</c:v>
                </c:pt>
                <c:pt idx="695">
                  <c:v>44140</c:v>
                </c:pt>
                <c:pt idx="696">
                  <c:v>44147</c:v>
                </c:pt>
                <c:pt idx="697">
                  <c:v>44154</c:v>
                </c:pt>
                <c:pt idx="698">
                  <c:v>44161</c:v>
                </c:pt>
                <c:pt idx="699">
                  <c:v>44168</c:v>
                </c:pt>
                <c:pt idx="700">
                  <c:v>44175</c:v>
                </c:pt>
                <c:pt idx="701">
                  <c:v>44182</c:v>
                </c:pt>
                <c:pt idx="702">
                  <c:v>44189</c:v>
                </c:pt>
                <c:pt idx="703">
                  <c:v>44196</c:v>
                </c:pt>
                <c:pt idx="704">
                  <c:v>44203</c:v>
                </c:pt>
                <c:pt idx="705">
                  <c:v>44210</c:v>
                </c:pt>
                <c:pt idx="706">
                  <c:v>44217</c:v>
                </c:pt>
                <c:pt idx="707">
                  <c:v>44224</c:v>
                </c:pt>
                <c:pt idx="708">
                  <c:v>44231</c:v>
                </c:pt>
                <c:pt idx="709">
                  <c:v>44238</c:v>
                </c:pt>
                <c:pt idx="710">
                  <c:v>44245</c:v>
                </c:pt>
                <c:pt idx="711">
                  <c:v>44252</c:v>
                </c:pt>
                <c:pt idx="712">
                  <c:v>44259</c:v>
                </c:pt>
                <c:pt idx="713">
                  <c:v>44266</c:v>
                </c:pt>
                <c:pt idx="714">
                  <c:v>44273</c:v>
                </c:pt>
                <c:pt idx="715">
                  <c:v>44280</c:v>
                </c:pt>
                <c:pt idx="716">
                  <c:v>44287</c:v>
                </c:pt>
                <c:pt idx="717">
                  <c:v>44294</c:v>
                </c:pt>
                <c:pt idx="718">
                  <c:v>44301</c:v>
                </c:pt>
                <c:pt idx="719">
                  <c:v>44308</c:v>
                </c:pt>
                <c:pt idx="720">
                  <c:v>44315</c:v>
                </c:pt>
                <c:pt idx="721">
                  <c:v>44322</c:v>
                </c:pt>
                <c:pt idx="722">
                  <c:v>44330</c:v>
                </c:pt>
                <c:pt idx="723">
                  <c:v>44336</c:v>
                </c:pt>
                <c:pt idx="724">
                  <c:v>44343</c:v>
                </c:pt>
                <c:pt idx="725">
                  <c:v>44350</c:v>
                </c:pt>
                <c:pt idx="726">
                  <c:v>44357</c:v>
                </c:pt>
                <c:pt idx="727">
                  <c:v>44364</c:v>
                </c:pt>
                <c:pt idx="728">
                  <c:v>44371</c:v>
                </c:pt>
                <c:pt idx="729">
                  <c:v>44378</c:v>
                </c:pt>
                <c:pt idx="730">
                  <c:v>44385</c:v>
                </c:pt>
                <c:pt idx="731">
                  <c:v>44392</c:v>
                </c:pt>
                <c:pt idx="732">
                  <c:v>44399</c:v>
                </c:pt>
                <c:pt idx="733">
                  <c:v>44406</c:v>
                </c:pt>
                <c:pt idx="734">
                  <c:v>44413</c:v>
                </c:pt>
                <c:pt idx="735">
                  <c:v>44420</c:v>
                </c:pt>
                <c:pt idx="736">
                  <c:v>44427</c:v>
                </c:pt>
                <c:pt idx="737">
                  <c:v>44434</c:v>
                </c:pt>
                <c:pt idx="738">
                  <c:v>44441</c:v>
                </c:pt>
                <c:pt idx="739">
                  <c:v>44448</c:v>
                </c:pt>
                <c:pt idx="740">
                  <c:v>44455</c:v>
                </c:pt>
                <c:pt idx="741">
                  <c:v>44462</c:v>
                </c:pt>
                <c:pt idx="742">
                  <c:v>44469</c:v>
                </c:pt>
                <c:pt idx="743">
                  <c:v>44476</c:v>
                </c:pt>
                <c:pt idx="744">
                  <c:v>44483</c:v>
                </c:pt>
                <c:pt idx="745">
                  <c:v>44490</c:v>
                </c:pt>
                <c:pt idx="746">
                  <c:v>44497</c:v>
                </c:pt>
                <c:pt idx="747">
                  <c:v>44504</c:v>
                </c:pt>
                <c:pt idx="748">
                  <c:v>44511</c:v>
                </c:pt>
                <c:pt idx="749">
                  <c:v>44518</c:v>
                </c:pt>
                <c:pt idx="750">
                  <c:v>44525</c:v>
                </c:pt>
                <c:pt idx="751">
                  <c:v>44532</c:v>
                </c:pt>
                <c:pt idx="752">
                  <c:v>44539</c:v>
                </c:pt>
                <c:pt idx="753">
                  <c:v>44546</c:v>
                </c:pt>
                <c:pt idx="754">
                  <c:v>44553</c:v>
                </c:pt>
                <c:pt idx="755">
                  <c:v>44561</c:v>
                </c:pt>
                <c:pt idx="756">
                  <c:v>44568</c:v>
                </c:pt>
                <c:pt idx="757">
                  <c:v>44575</c:v>
                </c:pt>
                <c:pt idx="758">
                  <c:v>44582</c:v>
                </c:pt>
                <c:pt idx="759">
                  <c:v>44589</c:v>
                </c:pt>
                <c:pt idx="760">
                  <c:v>44596</c:v>
                </c:pt>
                <c:pt idx="761">
                  <c:v>44603</c:v>
                </c:pt>
                <c:pt idx="762">
                  <c:v>44610</c:v>
                </c:pt>
                <c:pt idx="763">
                  <c:v>44617</c:v>
                </c:pt>
                <c:pt idx="764">
                  <c:v>44624</c:v>
                </c:pt>
                <c:pt idx="765">
                  <c:v>44631</c:v>
                </c:pt>
                <c:pt idx="766">
                  <c:v>44638</c:v>
                </c:pt>
                <c:pt idx="767">
                  <c:v>44645</c:v>
                </c:pt>
                <c:pt idx="768">
                  <c:v>44652</c:v>
                </c:pt>
                <c:pt idx="769">
                  <c:v>44659</c:v>
                </c:pt>
                <c:pt idx="770">
                  <c:v>44670</c:v>
                </c:pt>
                <c:pt idx="771">
                  <c:v>44673</c:v>
                </c:pt>
                <c:pt idx="772">
                  <c:v>44680</c:v>
                </c:pt>
                <c:pt idx="773">
                  <c:v>44687</c:v>
                </c:pt>
                <c:pt idx="774">
                  <c:v>44694</c:v>
                </c:pt>
                <c:pt idx="775">
                  <c:v>44701</c:v>
                </c:pt>
                <c:pt idx="776">
                  <c:v>44708</c:v>
                </c:pt>
                <c:pt idx="777">
                  <c:v>44715</c:v>
                </c:pt>
                <c:pt idx="778">
                  <c:v>44722</c:v>
                </c:pt>
                <c:pt idx="779">
                  <c:v>44729</c:v>
                </c:pt>
                <c:pt idx="780">
                  <c:v>44736</c:v>
                </c:pt>
                <c:pt idx="781">
                  <c:v>44743</c:v>
                </c:pt>
                <c:pt idx="782">
                  <c:v>44750</c:v>
                </c:pt>
                <c:pt idx="783">
                  <c:v>44757</c:v>
                </c:pt>
                <c:pt idx="784">
                  <c:v>44764</c:v>
                </c:pt>
                <c:pt idx="785">
                  <c:v>44771</c:v>
                </c:pt>
                <c:pt idx="786">
                  <c:v>44778</c:v>
                </c:pt>
                <c:pt idx="787">
                  <c:v>44785</c:v>
                </c:pt>
                <c:pt idx="788">
                  <c:v>44792</c:v>
                </c:pt>
                <c:pt idx="789">
                  <c:v>44799</c:v>
                </c:pt>
                <c:pt idx="790">
                  <c:v>44806</c:v>
                </c:pt>
                <c:pt idx="791">
                  <c:v>44813</c:v>
                </c:pt>
                <c:pt idx="792">
                  <c:v>44820</c:v>
                </c:pt>
                <c:pt idx="793">
                  <c:v>44827</c:v>
                </c:pt>
                <c:pt idx="794">
                  <c:v>44834</c:v>
                </c:pt>
                <c:pt idx="795">
                  <c:v>44841</c:v>
                </c:pt>
                <c:pt idx="796">
                  <c:v>44848</c:v>
                </c:pt>
                <c:pt idx="797">
                  <c:v>44855</c:v>
                </c:pt>
                <c:pt idx="798">
                  <c:v>44862</c:v>
                </c:pt>
                <c:pt idx="799">
                  <c:v>44869</c:v>
                </c:pt>
                <c:pt idx="800">
                  <c:v>44876</c:v>
                </c:pt>
                <c:pt idx="801">
                  <c:v>44883</c:v>
                </c:pt>
                <c:pt idx="802">
                  <c:v>44890</c:v>
                </c:pt>
                <c:pt idx="803">
                  <c:v>44897</c:v>
                </c:pt>
                <c:pt idx="804">
                  <c:v>44904</c:v>
                </c:pt>
                <c:pt idx="805">
                  <c:v>44911</c:v>
                </c:pt>
                <c:pt idx="806">
                  <c:v>44918</c:v>
                </c:pt>
                <c:pt idx="807">
                  <c:v>44925</c:v>
                </c:pt>
                <c:pt idx="808">
                  <c:v>44932</c:v>
                </c:pt>
                <c:pt idx="809">
                  <c:v>44939</c:v>
                </c:pt>
                <c:pt idx="810">
                  <c:v>44946</c:v>
                </c:pt>
                <c:pt idx="811">
                  <c:v>44953</c:v>
                </c:pt>
                <c:pt idx="812">
                  <c:v>44960</c:v>
                </c:pt>
                <c:pt idx="813">
                  <c:v>44967</c:v>
                </c:pt>
                <c:pt idx="814">
                  <c:v>44974</c:v>
                </c:pt>
                <c:pt idx="815">
                  <c:v>44981</c:v>
                </c:pt>
                <c:pt idx="816">
                  <c:v>44988</c:v>
                </c:pt>
                <c:pt idx="817">
                  <c:v>44995</c:v>
                </c:pt>
                <c:pt idx="818">
                  <c:v>45002</c:v>
                </c:pt>
                <c:pt idx="819">
                  <c:v>45009</c:v>
                </c:pt>
                <c:pt idx="820">
                  <c:v>45016</c:v>
                </c:pt>
                <c:pt idx="821">
                  <c:v>45027</c:v>
                </c:pt>
                <c:pt idx="822">
                  <c:v>45030</c:v>
                </c:pt>
                <c:pt idx="823">
                  <c:v>45037</c:v>
                </c:pt>
                <c:pt idx="824">
                  <c:v>45044</c:v>
                </c:pt>
                <c:pt idx="825">
                  <c:v>45051</c:v>
                </c:pt>
                <c:pt idx="826">
                  <c:v>45058</c:v>
                </c:pt>
                <c:pt idx="827">
                  <c:v>45065</c:v>
                </c:pt>
                <c:pt idx="828">
                  <c:v>45072</c:v>
                </c:pt>
                <c:pt idx="829">
                  <c:v>45079</c:v>
                </c:pt>
                <c:pt idx="830">
                  <c:v>45086</c:v>
                </c:pt>
                <c:pt idx="831">
                  <c:v>45093</c:v>
                </c:pt>
                <c:pt idx="832">
                  <c:v>45100</c:v>
                </c:pt>
                <c:pt idx="833">
                  <c:v>45107</c:v>
                </c:pt>
                <c:pt idx="834">
                  <c:v>45114</c:v>
                </c:pt>
                <c:pt idx="835">
                  <c:v>45121</c:v>
                </c:pt>
                <c:pt idx="836">
                  <c:v>45128</c:v>
                </c:pt>
                <c:pt idx="837">
                  <c:v>45135</c:v>
                </c:pt>
                <c:pt idx="838">
                  <c:v>45142</c:v>
                </c:pt>
                <c:pt idx="839">
                  <c:v>45149</c:v>
                </c:pt>
                <c:pt idx="840">
                  <c:v>45156</c:v>
                </c:pt>
                <c:pt idx="841">
                  <c:v>45163</c:v>
                </c:pt>
                <c:pt idx="842">
                  <c:v>45170</c:v>
                </c:pt>
                <c:pt idx="843">
                  <c:v>45177</c:v>
                </c:pt>
                <c:pt idx="844">
                  <c:v>45184</c:v>
                </c:pt>
                <c:pt idx="845">
                  <c:v>45191</c:v>
                </c:pt>
                <c:pt idx="846">
                  <c:v>45198</c:v>
                </c:pt>
                <c:pt idx="847">
                  <c:v>45205</c:v>
                </c:pt>
                <c:pt idx="848">
                  <c:v>45212</c:v>
                </c:pt>
                <c:pt idx="849">
                  <c:v>45219</c:v>
                </c:pt>
                <c:pt idx="850">
                  <c:v>45226</c:v>
                </c:pt>
                <c:pt idx="851">
                  <c:v>45233</c:v>
                </c:pt>
                <c:pt idx="852">
                  <c:v>45240</c:v>
                </c:pt>
                <c:pt idx="853">
                  <c:v>45247</c:v>
                </c:pt>
                <c:pt idx="854">
                  <c:v>45254</c:v>
                </c:pt>
                <c:pt idx="855">
                  <c:v>45261</c:v>
                </c:pt>
                <c:pt idx="856">
                  <c:v>45268</c:v>
                </c:pt>
                <c:pt idx="857">
                  <c:v>45275</c:v>
                </c:pt>
                <c:pt idx="858">
                  <c:v>45282</c:v>
                </c:pt>
                <c:pt idx="859">
                  <c:v>45289</c:v>
                </c:pt>
                <c:pt idx="860">
                  <c:v>45296</c:v>
                </c:pt>
                <c:pt idx="861">
                  <c:v>45303</c:v>
                </c:pt>
                <c:pt idx="862">
                  <c:v>45310</c:v>
                </c:pt>
                <c:pt idx="863">
                  <c:v>45317</c:v>
                </c:pt>
                <c:pt idx="864">
                  <c:v>45324</c:v>
                </c:pt>
                <c:pt idx="865">
                  <c:v>45331</c:v>
                </c:pt>
                <c:pt idx="866">
                  <c:v>45338</c:v>
                </c:pt>
                <c:pt idx="867">
                  <c:v>45345</c:v>
                </c:pt>
                <c:pt idx="868">
                  <c:v>45352</c:v>
                </c:pt>
                <c:pt idx="869">
                  <c:v>45359</c:v>
                </c:pt>
                <c:pt idx="870">
                  <c:v>45366</c:v>
                </c:pt>
                <c:pt idx="871">
                  <c:v>45373</c:v>
                </c:pt>
                <c:pt idx="872">
                  <c:v>45384</c:v>
                </c:pt>
                <c:pt idx="873">
                  <c:v>45387</c:v>
                </c:pt>
                <c:pt idx="874">
                  <c:v>45394</c:v>
                </c:pt>
                <c:pt idx="875">
                  <c:v>45401</c:v>
                </c:pt>
                <c:pt idx="876">
                  <c:v>45408</c:v>
                </c:pt>
                <c:pt idx="877">
                  <c:v>45415</c:v>
                </c:pt>
                <c:pt idx="878">
                  <c:v>45422</c:v>
                </c:pt>
                <c:pt idx="879">
                  <c:v>45429</c:v>
                </c:pt>
                <c:pt idx="880">
                  <c:v>45436</c:v>
                </c:pt>
                <c:pt idx="881">
                  <c:v>45443</c:v>
                </c:pt>
                <c:pt idx="882">
                  <c:v>45450</c:v>
                </c:pt>
                <c:pt idx="883">
                  <c:v>45457</c:v>
                </c:pt>
                <c:pt idx="884">
                  <c:v>45464</c:v>
                </c:pt>
                <c:pt idx="885">
                  <c:v>45471</c:v>
                </c:pt>
                <c:pt idx="886">
                  <c:v>45478</c:v>
                </c:pt>
                <c:pt idx="887">
                  <c:v>45485</c:v>
                </c:pt>
                <c:pt idx="888">
                  <c:v>45492</c:v>
                </c:pt>
                <c:pt idx="889">
                  <c:v>45499</c:v>
                </c:pt>
                <c:pt idx="890">
                  <c:v>45506</c:v>
                </c:pt>
                <c:pt idx="891">
                  <c:v>45513</c:v>
                </c:pt>
                <c:pt idx="892">
                  <c:v>45520</c:v>
                </c:pt>
                <c:pt idx="893">
                  <c:v>45527</c:v>
                </c:pt>
                <c:pt idx="894">
                  <c:v>45534</c:v>
                </c:pt>
                <c:pt idx="895">
                  <c:v>45541</c:v>
                </c:pt>
                <c:pt idx="896">
                  <c:v>45548</c:v>
                </c:pt>
                <c:pt idx="897">
                  <c:v>45555</c:v>
                </c:pt>
                <c:pt idx="898">
                  <c:v>45562</c:v>
                </c:pt>
                <c:pt idx="899">
                  <c:v>45569</c:v>
                </c:pt>
                <c:pt idx="900">
                  <c:v>45576</c:v>
                </c:pt>
                <c:pt idx="901">
                  <c:v>45583</c:v>
                </c:pt>
                <c:pt idx="902">
                  <c:v>45590</c:v>
                </c:pt>
                <c:pt idx="903">
                  <c:v>45597</c:v>
                </c:pt>
                <c:pt idx="904">
                  <c:v>45604</c:v>
                </c:pt>
                <c:pt idx="905">
                  <c:v>45611</c:v>
                </c:pt>
                <c:pt idx="906">
                  <c:v>45618</c:v>
                </c:pt>
                <c:pt idx="907">
                  <c:v>45625</c:v>
                </c:pt>
                <c:pt idx="908">
                  <c:v>45632</c:v>
                </c:pt>
                <c:pt idx="909">
                  <c:v>45639</c:v>
                </c:pt>
                <c:pt idx="910">
                  <c:v>45646</c:v>
                </c:pt>
                <c:pt idx="911">
                  <c:v>45657</c:v>
                </c:pt>
                <c:pt idx="912">
                  <c:v>45664</c:v>
                </c:pt>
                <c:pt idx="913">
                  <c:v>45671</c:v>
                </c:pt>
                <c:pt idx="914">
                  <c:v>45678</c:v>
                </c:pt>
                <c:pt idx="915">
                  <c:v>45685</c:v>
                </c:pt>
                <c:pt idx="916">
                  <c:v>45692</c:v>
                </c:pt>
                <c:pt idx="917">
                  <c:v>45699</c:v>
                </c:pt>
                <c:pt idx="918">
                  <c:v>45706</c:v>
                </c:pt>
                <c:pt idx="919">
                  <c:v>45713</c:v>
                </c:pt>
                <c:pt idx="920">
                  <c:v>45720</c:v>
                </c:pt>
                <c:pt idx="921">
                  <c:v>45727</c:v>
                </c:pt>
                <c:pt idx="922">
                  <c:v>45734</c:v>
                </c:pt>
                <c:pt idx="923">
                  <c:v>45741</c:v>
                </c:pt>
                <c:pt idx="924">
                  <c:v>45748</c:v>
                </c:pt>
                <c:pt idx="925">
                  <c:v>45755</c:v>
                </c:pt>
                <c:pt idx="926">
                  <c:v>45762</c:v>
                </c:pt>
                <c:pt idx="927">
                  <c:v>45771</c:v>
                </c:pt>
                <c:pt idx="928">
                  <c:v>45779</c:v>
                </c:pt>
                <c:pt idx="929">
                  <c:v>45785</c:v>
                </c:pt>
                <c:pt idx="930">
                  <c:v>45792</c:v>
                </c:pt>
                <c:pt idx="931">
                  <c:v>45799</c:v>
                </c:pt>
                <c:pt idx="932">
                  <c:v>45807</c:v>
                </c:pt>
                <c:pt idx="933">
                  <c:v>45813</c:v>
                </c:pt>
                <c:pt idx="934">
                  <c:v>45820</c:v>
                </c:pt>
                <c:pt idx="935">
                  <c:v>45827</c:v>
                </c:pt>
                <c:pt idx="936">
                  <c:v>45834</c:v>
                </c:pt>
                <c:pt idx="937">
                  <c:v>45841</c:v>
                </c:pt>
                <c:pt idx="938">
                  <c:v>45848</c:v>
                </c:pt>
                <c:pt idx="939">
                  <c:v>45855</c:v>
                </c:pt>
                <c:pt idx="940">
                  <c:v>45862</c:v>
                </c:pt>
                <c:pt idx="941">
                  <c:v>45869</c:v>
                </c:pt>
                <c:pt idx="942">
                  <c:v>45876</c:v>
                </c:pt>
                <c:pt idx="943">
                  <c:v>45883</c:v>
                </c:pt>
                <c:pt idx="944">
                  <c:v>45890</c:v>
                </c:pt>
                <c:pt idx="945">
                  <c:v>45897</c:v>
                </c:pt>
                <c:pt idx="946">
                  <c:v>45904</c:v>
                </c:pt>
                <c:pt idx="947">
                  <c:v>45911</c:v>
                </c:pt>
                <c:pt idx="948">
                  <c:v>45918</c:v>
                </c:pt>
                <c:pt idx="949">
                  <c:v>45925</c:v>
                </c:pt>
                <c:pt idx="950">
                  <c:v>45932</c:v>
                </c:pt>
                <c:pt idx="951">
                  <c:v>45939</c:v>
                </c:pt>
                <c:pt idx="952">
                  <c:v>45946</c:v>
                </c:pt>
                <c:pt idx="953">
                  <c:v>45953</c:v>
                </c:pt>
                <c:pt idx="954">
                  <c:v>45960</c:v>
                </c:pt>
                <c:pt idx="955">
                  <c:v>45967</c:v>
                </c:pt>
                <c:pt idx="956">
                  <c:v>45974</c:v>
                </c:pt>
                <c:pt idx="957">
                  <c:v>45981</c:v>
                </c:pt>
                <c:pt idx="958">
                  <c:v>45988</c:v>
                </c:pt>
                <c:pt idx="959">
                  <c:v>45995</c:v>
                </c:pt>
                <c:pt idx="960">
                  <c:v>46002</c:v>
                </c:pt>
                <c:pt idx="961">
                  <c:v>46009</c:v>
                </c:pt>
                <c:pt idx="962">
                  <c:v>46020</c:v>
                </c:pt>
                <c:pt idx="963">
                  <c:v>46027</c:v>
                </c:pt>
                <c:pt idx="964">
                  <c:v>46030</c:v>
                </c:pt>
                <c:pt idx="965">
                  <c:v>46037</c:v>
                </c:pt>
                <c:pt idx="966">
                  <c:v>46044</c:v>
                </c:pt>
                <c:pt idx="967">
                  <c:v>46051</c:v>
                </c:pt>
                <c:pt idx="968">
                  <c:v>46058</c:v>
                </c:pt>
                <c:pt idx="969">
                  <c:v>46065</c:v>
                </c:pt>
                <c:pt idx="970">
                  <c:v>46072</c:v>
                </c:pt>
                <c:pt idx="971">
                  <c:v>46079</c:v>
                </c:pt>
                <c:pt idx="972">
                  <c:v>46086</c:v>
                </c:pt>
                <c:pt idx="973">
                  <c:v>46093</c:v>
                </c:pt>
                <c:pt idx="974">
                  <c:v>46100</c:v>
                </c:pt>
                <c:pt idx="975">
                  <c:v>46107</c:v>
                </c:pt>
                <c:pt idx="976">
                  <c:v>46114</c:v>
                </c:pt>
                <c:pt idx="977">
                  <c:v>46121</c:v>
                </c:pt>
                <c:pt idx="978">
                  <c:v>46128</c:v>
                </c:pt>
                <c:pt idx="979">
                  <c:v>46135</c:v>
                </c:pt>
                <c:pt idx="980">
                  <c:v>46142</c:v>
                </c:pt>
                <c:pt idx="981">
                  <c:v>46149</c:v>
                </c:pt>
                <c:pt idx="982">
                  <c:v>46157</c:v>
                </c:pt>
                <c:pt idx="983">
                  <c:v>46163</c:v>
                </c:pt>
                <c:pt idx="984">
                  <c:v>46170</c:v>
                </c:pt>
                <c:pt idx="985">
                  <c:v>46177</c:v>
                </c:pt>
                <c:pt idx="986">
                  <c:v>46184</c:v>
                </c:pt>
                <c:pt idx="987">
                  <c:v>46191</c:v>
                </c:pt>
                <c:pt idx="988">
                  <c:v>46198</c:v>
                </c:pt>
                <c:pt idx="989">
                  <c:v>46205</c:v>
                </c:pt>
                <c:pt idx="990">
                  <c:v>46212</c:v>
                </c:pt>
                <c:pt idx="991">
                  <c:v>46219</c:v>
                </c:pt>
                <c:pt idx="992">
                  <c:v>46226</c:v>
                </c:pt>
                <c:pt idx="993">
                  <c:v>46233</c:v>
                </c:pt>
                <c:pt idx="994">
                  <c:v>46240</c:v>
                </c:pt>
                <c:pt idx="995">
                  <c:v>46247</c:v>
                </c:pt>
                <c:pt idx="996">
                  <c:v>46254</c:v>
                </c:pt>
                <c:pt idx="997">
                  <c:v>46261</c:v>
                </c:pt>
                <c:pt idx="998">
                  <c:v>46268</c:v>
                </c:pt>
                <c:pt idx="999">
                  <c:v>46275</c:v>
                </c:pt>
                <c:pt idx="1000">
                  <c:v>46282</c:v>
                </c:pt>
                <c:pt idx="1001">
                  <c:v>46289</c:v>
                </c:pt>
                <c:pt idx="1002">
                  <c:v>46296</c:v>
                </c:pt>
                <c:pt idx="1003">
                  <c:v>46303</c:v>
                </c:pt>
                <c:pt idx="1004">
                  <c:v>46310</c:v>
                </c:pt>
                <c:pt idx="1005">
                  <c:v>46317</c:v>
                </c:pt>
                <c:pt idx="1006">
                  <c:v>46324</c:v>
                </c:pt>
                <c:pt idx="1007">
                  <c:v>46331</c:v>
                </c:pt>
                <c:pt idx="1008">
                  <c:v>46338</c:v>
                </c:pt>
                <c:pt idx="1009">
                  <c:v>46345</c:v>
                </c:pt>
                <c:pt idx="1010">
                  <c:v>46352</c:v>
                </c:pt>
                <c:pt idx="1011">
                  <c:v>46359</c:v>
                </c:pt>
                <c:pt idx="1012">
                  <c:v>46366</c:v>
                </c:pt>
                <c:pt idx="1013">
                  <c:v>46373</c:v>
                </c:pt>
                <c:pt idx="1014">
                  <c:v>46380</c:v>
                </c:pt>
                <c:pt idx="1015">
                  <c:v>46387</c:v>
                </c:pt>
                <c:pt idx="1016">
                  <c:v>46394</c:v>
                </c:pt>
                <c:pt idx="1017">
                  <c:v>46401</c:v>
                </c:pt>
                <c:pt idx="1018">
                  <c:v>46408</c:v>
                </c:pt>
                <c:pt idx="1019">
                  <c:v>46415</c:v>
                </c:pt>
                <c:pt idx="1020">
                  <c:v>46422</c:v>
                </c:pt>
                <c:pt idx="1021">
                  <c:v>46429</c:v>
                </c:pt>
                <c:pt idx="1022">
                  <c:v>46436</c:v>
                </c:pt>
                <c:pt idx="1023">
                  <c:v>46443</c:v>
                </c:pt>
                <c:pt idx="1024">
                  <c:v>46450</c:v>
                </c:pt>
                <c:pt idx="1025">
                  <c:v>46457</c:v>
                </c:pt>
                <c:pt idx="1026">
                  <c:v>46464</c:v>
                </c:pt>
                <c:pt idx="1027">
                  <c:v>46471</c:v>
                </c:pt>
                <c:pt idx="1028">
                  <c:v>46478</c:v>
                </c:pt>
                <c:pt idx="1029">
                  <c:v>46485</c:v>
                </c:pt>
                <c:pt idx="1030">
                  <c:v>46492</c:v>
                </c:pt>
                <c:pt idx="1031">
                  <c:v>46499</c:v>
                </c:pt>
                <c:pt idx="1032">
                  <c:v>46506</c:v>
                </c:pt>
                <c:pt idx="1033">
                  <c:v>46514</c:v>
                </c:pt>
                <c:pt idx="1034">
                  <c:v>46520</c:v>
                </c:pt>
                <c:pt idx="1035">
                  <c:v>46527</c:v>
                </c:pt>
                <c:pt idx="1036">
                  <c:v>46534</c:v>
                </c:pt>
                <c:pt idx="1037">
                  <c:v>46541</c:v>
                </c:pt>
                <c:pt idx="1038">
                  <c:v>46548</c:v>
                </c:pt>
                <c:pt idx="1039">
                  <c:v>46555</c:v>
                </c:pt>
                <c:pt idx="1040">
                  <c:v>46562</c:v>
                </c:pt>
                <c:pt idx="1041">
                  <c:v>46569</c:v>
                </c:pt>
                <c:pt idx="1042">
                  <c:v>46576</c:v>
                </c:pt>
                <c:pt idx="1043">
                  <c:v>46583</c:v>
                </c:pt>
                <c:pt idx="1044">
                  <c:v>46590</c:v>
                </c:pt>
                <c:pt idx="1045">
                  <c:v>46597</c:v>
                </c:pt>
                <c:pt idx="1046">
                  <c:v>46604</c:v>
                </c:pt>
                <c:pt idx="1047">
                  <c:v>46611</c:v>
                </c:pt>
                <c:pt idx="1048">
                  <c:v>46618</c:v>
                </c:pt>
                <c:pt idx="1049">
                  <c:v>46625</c:v>
                </c:pt>
                <c:pt idx="1050">
                  <c:v>46632</c:v>
                </c:pt>
                <c:pt idx="1051">
                  <c:v>46639</c:v>
                </c:pt>
                <c:pt idx="1052">
                  <c:v>46646</c:v>
                </c:pt>
                <c:pt idx="1053">
                  <c:v>46653</c:v>
                </c:pt>
                <c:pt idx="1054">
                  <c:v>46660</c:v>
                </c:pt>
                <c:pt idx="1055">
                  <c:v>46667</c:v>
                </c:pt>
                <c:pt idx="1056">
                  <c:v>46674</c:v>
                </c:pt>
                <c:pt idx="1057">
                  <c:v>46681</c:v>
                </c:pt>
                <c:pt idx="1058">
                  <c:v>46688</c:v>
                </c:pt>
                <c:pt idx="1059">
                  <c:v>46695</c:v>
                </c:pt>
                <c:pt idx="1060">
                  <c:v>46702</c:v>
                </c:pt>
                <c:pt idx="1061">
                  <c:v>46709</c:v>
                </c:pt>
                <c:pt idx="1062">
                  <c:v>46716</c:v>
                </c:pt>
                <c:pt idx="1063">
                  <c:v>46723</c:v>
                </c:pt>
                <c:pt idx="1064">
                  <c:v>46730</c:v>
                </c:pt>
                <c:pt idx="1065">
                  <c:v>46737</c:v>
                </c:pt>
                <c:pt idx="1066">
                  <c:v>46744</c:v>
                </c:pt>
                <c:pt idx="1067">
                  <c:v>46752</c:v>
                </c:pt>
                <c:pt idx="1068">
                  <c:v>46759</c:v>
                </c:pt>
                <c:pt idx="1069">
                  <c:v>46766</c:v>
                </c:pt>
                <c:pt idx="1070">
                  <c:v>46773</c:v>
                </c:pt>
                <c:pt idx="1071">
                  <c:v>46780</c:v>
                </c:pt>
                <c:pt idx="1072">
                  <c:v>46787</c:v>
                </c:pt>
                <c:pt idx="1073">
                  <c:v>46794</c:v>
                </c:pt>
                <c:pt idx="1074">
                  <c:v>46801</c:v>
                </c:pt>
                <c:pt idx="1075">
                  <c:v>46808</c:v>
                </c:pt>
                <c:pt idx="1076">
                  <c:v>46815</c:v>
                </c:pt>
                <c:pt idx="1077">
                  <c:v>46822</c:v>
                </c:pt>
                <c:pt idx="1078">
                  <c:v>46829</c:v>
                </c:pt>
                <c:pt idx="1079">
                  <c:v>46836</c:v>
                </c:pt>
                <c:pt idx="1080">
                  <c:v>46843</c:v>
                </c:pt>
                <c:pt idx="1081">
                  <c:v>46850</c:v>
                </c:pt>
                <c:pt idx="1082">
                  <c:v>46861</c:v>
                </c:pt>
                <c:pt idx="1083">
                  <c:v>46864</c:v>
                </c:pt>
                <c:pt idx="1084">
                  <c:v>46871</c:v>
                </c:pt>
                <c:pt idx="1085">
                  <c:v>46878</c:v>
                </c:pt>
                <c:pt idx="1086">
                  <c:v>46885</c:v>
                </c:pt>
                <c:pt idx="1087">
                  <c:v>46892</c:v>
                </c:pt>
                <c:pt idx="1088">
                  <c:v>46899</c:v>
                </c:pt>
                <c:pt idx="1089">
                  <c:v>46906</c:v>
                </c:pt>
                <c:pt idx="1090">
                  <c:v>46913</c:v>
                </c:pt>
                <c:pt idx="1091">
                  <c:v>46920</c:v>
                </c:pt>
                <c:pt idx="1092">
                  <c:v>46927</c:v>
                </c:pt>
                <c:pt idx="1093">
                  <c:v>46934</c:v>
                </c:pt>
                <c:pt idx="1094">
                  <c:v>46941</c:v>
                </c:pt>
                <c:pt idx="1095">
                  <c:v>46948</c:v>
                </c:pt>
                <c:pt idx="1096">
                  <c:v>46955</c:v>
                </c:pt>
                <c:pt idx="1097">
                  <c:v>46962</c:v>
                </c:pt>
                <c:pt idx="1098">
                  <c:v>46969</c:v>
                </c:pt>
                <c:pt idx="1099">
                  <c:v>46976</c:v>
                </c:pt>
                <c:pt idx="1100">
                  <c:v>46983</c:v>
                </c:pt>
                <c:pt idx="1101">
                  <c:v>46990</c:v>
                </c:pt>
                <c:pt idx="1102">
                  <c:v>46997</c:v>
                </c:pt>
                <c:pt idx="1103">
                  <c:v>47004</c:v>
                </c:pt>
                <c:pt idx="1104">
                  <c:v>47011</c:v>
                </c:pt>
                <c:pt idx="1105">
                  <c:v>47018</c:v>
                </c:pt>
                <c:pt idx="1106">
                  <c:v>47025</c:v>
                </c:pt>
                <c:pt idx="1107">
                  <c:v>47032</c:v>
                </c:pt>
                <c:pt idx="1108">
                  <c:v>47039</c:v>
                </c:pt>
                <c:pt idx="1109">
                  <c:v>47046</c:v>
                </c:pt>
                <c:pt idx="1110">
                  <c:v>47053</c:v>
                </c:pt>
                <c:pt idx="1111">
                  <c:v>47060</c:v>
                </c:pt>
                <c:pt idx="1112">
                  <c:v>47067</c:v>
                </c:pt>
                <c:pt idx="1113">
                  <c:v>47074</c:v>
                </c:pt>
                <c:pt idx="1114">
                  <c:v>47081</c:v>
                </c:pt>
                <c:pt idx="1115">
                  <c:v>47088</c:v>
                </c:pt>
                <c:pt idx="1116">
                  <c:v>47095</c:v>
                </c:pt>
                <c:pt idx="1117">
                  <c:v>47102</c:v>
                </c:pt>
                <c:pt idx="1118">
                  <c:v>47109</c:v>
                </c:pt>
                <c:pt idx="1119">
                  <c:v>47116</c:v>
                </c:pt>
                <c:pt idx="1120">
                  <c:v>47123</c:v>
                </c:pt>
                <c:pt idx="1121">
                  <c:v>47130</c:v>
                </c:pt>
                <c:pt idx="1122">
                  <c:v>47137</c:v>
                </c:pt>
                <c:pt idx="1123">
                  <c:v>47144</c:v>
                </c:pt>
                <c:pt idx="1124">
                  <c:v>47151</c:v>
                </c:pt>
                <c:pt idx="1125">
                  <c:v>47158</c:v>
                </c:pt>
                <c:pt idx="1126">
                  <c:v>47165</c:v>
                </c:pt>
                <c:pt idx="1127">
                  <c:v>47172</c:v>
                </c:pt>
                <c:pt idx="1128">
                  <c:v>47179</c:v>
                </c:pt>
                <c:pt idx="1129">
                  <c:v>47186</c:v>
                </c:pt>
                <c:pt idx="1130">
                  <c:v>47193</c:v>
                </c:pt>
                <c:pt idx="1131">
                  <c:v>47200</c:v>
                </c:pt>
                <c:pt idx="1132">
                  <c:v>47211</c:v>
                </c:pt>
                <c:pt idx="1133">
                  <c:v>47214</c:v>
                </c:pt>
                <c:pt idx="1134">
                  <c:v>47221</c:v>
                </c:pt>
                <c:pt idx="1135">
                  <c:v>47228</c:v>
                </c:pt>
                <c:pt idx="1136">
                  <c:v>47235</c:v>
                </c:pt>
                <c:pt idx="1137">
                  <c:v>47242</c:v>
                </c:pt>
                <c:pt idx="1138">
                  <c:v>47249</c:v>
                </c:pt>
                <c:pt idx="1139">
                  <c:v>47256</c:v>
                </c:pt>
                <c:pt idx="1140">
                  <c:v>47263</c:v>
                </c:pt>
                <c:pt idx="1141">
                  <c:v>47270</c:v>
                </c:pt>
                <c:pt idx="1142">
                  <c:v>47277</c:v>
                </c:pt>
                <c:pt idx="1143">
                  <c:v>47284</c:v>
                </c:pt>
                <c:pt idx="1144">
                  <c:v>47291</c:v>
                </c:pt>
                <c:pt idx="1145">
                  <c:v>47298</c:v>
                </c:pt>
                <c:pt idx="1146">
                  <c:v>47305</c:v>
                </c:pt>
                <c:pt idx="1147">
                  <c:v>47312</c:v>
                </c:pt>
                <c:pt idx="1148">
                  <c:v>47319</c:v>
                </c:pt>
                <c:pt idx="1149">
                  <c:v>47326</c:v>
                </c:pt>
                <c:pt idx="1150">
                  <c:v>47333</c:v>
                </c:pt>
                <c:pt idx="1151">
                  <c:v>47340</c:v>
                </c:pt>
                <c:pt idx="1152">
                  <c:v>47347</c:v>
                </c:pt>
                <c:pt idx="1153">
                  <c:v>47354</c:v>
                </c:pt>
                <c:pt idx="1154">
                  <c:v>47361</c:v>
                </c:pt>
                <c:pt idx="1155">
                  <c:v>47368</c:v>
                </c:pt>
                <c:pt idx="1156">
                  <c:v>47375</c:v>
                </c:pt>
                <c:pt idx="1157">
                  <c:v>47382</c:v>
                </c:pt>
                <c:pt idx="1158">
                  <c:v>47389</c:v>
                </c:pt>
                <c:pt idx="1159">
                  <c:v>47396</c:v>
                </c:pt>
                <c:pt idx="1160">
                  <c:v>47403</c:v>
                </c:pt>
                <c:pt idx="1161">
                  <c:v>47410</c:v>
                </c:pt>
                <c:pt idx="1162">
                  <c:v>47417</c:v>
                </c:pt>
                <c:pt idx="1163">
                  <c:v>47424</c:v>
                </c:pt>
                <c:pt idx="1164">
                  <c:v>47431</c:v>
                </c:pt>
                <c:pt idx="1165">
                  <c:v>47438</c:v>
                </c:pt>
                <c:pt idx="1166">
                  <c:v>47445</c:v>
                </c:pt>
                <c:pt idx="1167">
                  <c:v>47452</c:v>
                </c:pt>
                <c:pt idx="1168">
                  <c:v>47459</c:v>
                </c:pt>
                <c:pt idx="1169">
                  <c:v>47466</c:v>
                </c:pt>
                <c:pt idx="1170">
                  <c:v>47473</c:v>
                </c:pt>
                <c:pt idx="1171">
                  <c:v>47483</c:v>
                </c:pt>
                <c:pt idx="1172">
                  <c:v>47490</c:v>
                </c:pt>
                <c:pt idx="1173">
                  <c:v>47497</c:v>
                </c:pt>
                <c:pt idx="1174">
                  <c:v>47504</c:v>
                </c:pt>
                <c:pt idx="1175">
                  <c:v>47511</c:v>
                </c:pt>
                <c:pt idx="1176">
                  <c:v>47518</c:v>
                </c:pt>
                <c:pt idx="1177">
                  <c:v>47525</c:v>
                </c:pt>
                <c:pt idx="1178">
                  <c:v>47532</c:v>
                </c:pt>
                <c:pt idx="1179">
                  <c:v>47539</c:v>
                </c:pt>
                <c:pt idx="1180">
                  <c:v>47546</c:v>
                </c:pt>
                <c:pt idx="1181">
                  <c:v>47553</c:v>
                </c:pt>
                <c:pt idx="1182">
                  <c:v>47560</c:v>
                </c:pt>
                <c:pt idx="1183">
                  <c:v>47567</c:v>
                </c:pt>
                <c:pt idx="1184">
                  <c:v>47574</c:v>
                </c:pt>
                <c:pt idx="1185">
                  <c:v>47581</c:v>
                </c:pt>
                <c:pt idx="1186">
                  <c:v>47588</c:v>
                </c:pt>
                <c:pt idx="1187">
                  <c:v>47597</c:v>
                </c:pt>
                <c:pt idx="1188">
                  <c:v>47602</c:v>
                </c:pt>
                <c:pt idx="1189">
                  <c:v>47610</c:v>
                </c:pt>
                <c:pt idx="1190">
                  <c:v>47616</c:v>
                </c:pt>
                <c:pt idx="1191">
                  <c:v>47623</c:v>
                </c:pt>
                <c:pt idx="1192">
                  <c:v>47631</c:v>
                </c:pt>
                <c:pt idx="1193">
                  <c:v>47637</c:v>
                </c:pt>
                <c:pt idx="1194">
                  <c:v>47645</c:v>
                </c:pt>
                <c:pt idx="1195">
                  <c:v>47651</c:v>
                </c:pt>
                <c:pt idx="1196">
                  <c:v>47658</c:v>
                </c:pt>
                <c:pt idx="1197">
                  <c:v>47665</c:v>
                </c:pt>
                <c:pt idx="1198">
                  <c:v>47672</c:v>
                </c:pt>
                <c:pt idx="1199">
                  <c:v>47679</c:v>
                </c:pt>
                <c:pt idx="1200">
                  <c:v>47686</c:v>
                </c:pt>
                <c:pt idx="1201">
                  <c:v>47693</c:v>
                </c:pt>
                <c:pt idx="1202">
                  <c:v>47700</c:v>
                </c:pt>
                <c:pt idx="1203">
                  <c:v>47707</c:v>
                </c:pt>
                <c:pt idx="1204">
                  <c:v>47714</c:v>
                </c:pt>
                <c:pt idx="1205">
                  <c:v>47722</c:v>
                </c:pt>
                <c:pt idx="1206">
                  <c:v>47728</c:v>
                </c:pt>
                <c:pt idx="1207">
                  <c:v>47735</c:v>
                </c:pt>
                <c:pt idx="1208">
                  <c:v>47742</c:v>
                </c:pt>
                <c:pt idx="1209">
                  <c:v>47749</c:v>
                </c:pt>
                <c:pt idx="1210">
                  <c:v>47756</c:v>
                </c:pt>
                <c:pt idx="1211">
                  <c:v>47763</c:v>
                </c:pt>
                <c:pt idx="1212">
                  <c:v>47770</c:v>
                </c:pt>
                <c:pt idx="1213">
                  <c:v>47777</c:v>
                </c:pt>
                <c:pt idx="1214">
                  <c:v>47784</c:v>
                </c:pt>
                <c:pt idx="1215">
                  <c:v>47791</c:v>
                </c:pt>
                <c:pt idx="1216">
                  <c:v>47798</c:v>
                </c:pt>
                <c:pt idx="1217">
                  <c:v>47805</c:v>
                </c:pt>
                <c:pt idx="1218">
                  <c:v>47812</c:v>
                </c:pt>
                <c:pt idx="1219">
                  <c:v>47819</c:v>
                </c:pt>
                <c:pt idx="1220">
                  <c:v>47826</c:v>
                </c:pt>
                <c:pt idx="1221">
                  <c:v>47833</c:v>
                </c:pt>
                <c:pt idx="1222">
                  <c:v>47840</c:v>
                </c:pt>
                <c:pt idx="1223">
                  <c:v>47848</c:v>
                </c:pt>
                <c:pt idx="1224">
                  <c:v>47855</c:v>
                </c:pt>
                <c:pt idx="1225">
                  <c:v>47862</c:v>
                </c:pt>
                <c:pt idx="1226">
                  <c:v>47869</c:v>
                </c:pt>
                <c:pt idx="1227">
                  <c:v>47876</c:v>
                </c:pt>
                <c:pt idx="1228">
                  <c:v>47883</c:v>
                </c:pt>
                <c:pt idx="1229">
                  <c:v>47890</c:v>
                </c:pt>
                <c:pt idx="1230">
                  <c:v>47897</c:v>
                </c:pt>
                <c:pt idx="1231">
                  <c:v>47904</c:v>
                </c:pt>
                <c:pt idx="1232">
                  <c:v>47911</c:v>
                </c:pt>
                <c:pt idx="1233">
                  <c:v>47918</c:v>
                </c:pt>
                <c:pt idx="1234">
                  <c:v>47925</c:v>
                </c:pt>
                <c:pt idx="1235">
                  <c:v>47932</c:v>
                </c:pt>
                <c:pt idx="1236">
                  <c:v>47939</c:v>
                </c:pt>
                <c:pt idx="1237">
                  <c:v>47946</c:v>
                </c:pt>
                <c:pt idx="1238">
                  <c:v>47955</c:v>
                </c:pt>
                <c:pt idx="1239">
                  <c:v>47962</c:v>
                </c:pt>
                <c:pt idx="1240">
                  <c:v>47970</c:v>
                </c:pt>
                <c:pt idx="1241">
                  <c:v>47976</c:v>
                </c:pt>
                <c:pt idx="1242">
                  <c:v>47983</c:v>
                </c:pt>
                <c:pt idx="1243">
                  <c:v>47991</c:v>
                </c:pt>
                <c:pt idx="1244">
                  <c:v>47997</c:v>
                </c:pt>
                <c:pt idx="1245">
                  <c:v>48004</c:v>
                </c:pt>
                <c:pt idx="1246">
                  <c:v>48011</c:v>
                </c:pt>
                <c:pt idx="1247">
                  <c:v>48018</c:v>
                </c:pt>
                <c:pt idx="1248">
                  <c:v>48025</c:v>
                </c:pt>
                <c:pt idx="1249">
                  <c:v>48032</c:v>
                </c:pt>
                <c:pt idx="1250">
                  <c:v>48039</c:v>
                </c:pt>
                <c:pt idx="1251">
                  <c:v>48046</c:v>
                </c:pt>
                <c:pt idx="1252">
                  <c:v>48053</c:v>
                </c:pt>
                <c:pt idx="1253">
                  <c:v>48060</c:v>
                </c:pt>
                <c:pt idx="1254">
                  <c:v>48067</c:v>
                </c:pt>
                <c:pt idx="1255">
                  <c:v>48074</c:v>
                </c:pt>
                <c:pt idx="1256">
                  <c:v>48081</c:v>
                </c:pt>
                <c:pt idx="1257">
                  <c:v>48088</c:v>
                </c:pt>
                <c:pt idx="1258">
                  <c:v>48095</c:v>
                </c:pt>
                <c:pt idx="1259">
                  <c:v>48102</c:v>
                </c:pt>
                <c:pt idx="1260">
                  <c:v>48109</c:v>
                </c:pt>
                <c:pt idx="1261">
                  <c:v>48116</c:v>
                </c:pt>
                <c:pt idx="1262">
                  <c:v>48123</c:v>
                </c:pt>
                <c:pt idx="1263">
                  <c:v>48130</c:v>
                </c:pt>
                <c:pt idx="1264">
                  <c:v>48137</c:v>
                </c:pt>
                <c:pt idx="1265">
                  <c:v>48144</c:v>
                </c:pt>
                <c:pt idx="1266">
                  <c:v>48151</c:v>
                </c:pt>
                <c:pt idx="1267">
                  <c:v>48158</c:v>
                </c:pt>
                <c:pt idx="1268">
                  <c:v>48165</c:v>
                </c:pt>
                <c:pt idx="1269">
                  <c:v>48172</c:v>
                </c:pt>
                <c:pt idx="1270">
                  <c:v>48179</c:v>
                </c:pt>
                <c:pt idx="1271">
                  <c:v>48186</c:v>
                </c:pt>
                <c:pt idx="1272">
                  <c:v>48193</c:v>
                </c:pt>
                <c:pt idx="1273">
                  <c:v>48200</c:v>
                </c:pt>
                <c:pt idx="1274">
                  <c:v>48211</c:v>
                </c:pt>
                <c:pt idx="1275">
                  <c:v>48218</c:v>
                </c:pt>
                <c:pt idx="1276">
                  <c:v>48221</c:v>
                </c:pt>
                <c:pt idx="1277">
                  <c:v>48228</c:v>
                </c:pt>
                <c:pt idx="1278">
                  <c:v>48235</c:v>
                </c:pt>
                <c:pt idx="1279">
                  <c:v>48242</c:v>
                </c:pt>
                <c:pt idx="1280">
                  <c:v>48249</c:v>
                </c:pt>
                <c:pt idx="1281">
                  <c:v>48256</c:v>
                </c:pt>
                <c:pt idx="1282">
                  <c:v>48263</c:v>
                </c:pt>
                <c:pt idx="1283">
                  <c:v>48270</c:v>
                </c:pt>
                <c:pt idx="1284">
                  <c:v>48277</c:v>
                </c:pt>
                <c:pt idx="1285">
                  <c:v>48284</c:v>
                </c:pt>
                <c:pt idx="1286">
                  <c:v>48291</c:v>
                </c:pt>
                <c:pt idx="1287">
                  <c:v>48298</c:v>
                </c:pt>
                <c:pt idx="1288">
                  <c:v>48305</c:v>
                </c:pt>
                <c:pt idx="1289">
                  <c:v>48312</c:v>
                </c:pt>
                <c:pt idx="1290">
                  <c:v>48319</c:v>
                </c:pt>
                <c:pt idx="1291">
                  <c:v>48326</c:v>
                </c:pt>
                <c:pt idx="1292">
                  <c:v>48333</c:v>
                </c:pt>
                <c:pt idx="1293">
                  <c:v>48341</c:v>
                </c:pt>
                <c:pt idx="1294">
                  <c:v>48347</c:v>
                </c:pt>
                <c:pt idx="1295">
                  <c:v>48354</c:v>
                </c:pt>
                <c:pt idx="1296">
                  <c:v>48361</c:v>
                </c:pt>
                <c:pt idx="1297">
                  <c:v>48368</c:v>
                </c:pt>
                <c:pt idx="1298">
                  <c:v>48375</c:v>
                </c:pt>
                <c:pt idx="1299">
                  <c:v>48382</c:v>
                </c:pt>
                <c:pt idx="1300">
                  <c:v>48389</c:v>
                </c:pt>
                <c:pt idx="1301">
                  <c:v>48396</c:v>
                </c:pt>
                <c:pt idx="1302">
                  <c:v>48403</c:v>
                </c:pt>
                <c:pt idx="1303">
                  <c:v>48410</c:v>
                </c:pt>
                <c:pt idx="1304">
                  <c:v>48417</c:v>
                </c:pt>
                <c:pt idx="1305">
                  <c:v>48424</c:v>
                </c:pt>
                <c:pt idx="1306">
                  <c:v>48431</c:v>
                </c:pt>
                <c:pt idx="1307">
                  <c:v>48438</c:v>
                </c:pt>
                <c:pt idx="1308">
                  <c:v>48445</c:v>
                </c:pt>
                <c:pt idx="1309">
                  <c:v>48452</c:v>
                </c:pt>
                <c:pt idx="1310">
                  <c:v>48459</c:v>
                </c:pt>
                <c:pt idx="1311">
                  <c:v>48466</c:v>
                </c:pt>
                <c:pt idx="1312">
                  <c:v>48473</c:v>
                </c:pt>
                <c:pt idx="1313">
                  <c:v>48480</c:v>
                </c:pt>
                <c:pt idx="1314">
                  <c:v>48487</c:v>
                </c:pt>
                <c:pt idx="1315">
                  <c:v>48494</c:v>
                </c:pt>
                <c:pt idx="1316">
                  <c:v>48501</c:v>
                </c:pt>
                <c:pt idx="1317">
                  <c:v>48508</c:v>
                </c:pt>
                <c:pt idx="1318">
                  <c:v>48515</c:v>
                </c:pt>
                <c:pt idx="1319">
                  <c:v>48522</c:v>
                </c:pt>
                <c:pt idx="1320">
                  <c:v>48529</c:v>
                </c:pt>
                <c:pt idx="1321">
                  <c:v>48536</c:v>
                </c:pt>
                <c:pt idx="1322">
                  <c:v>48543</c:v>
                </c:pt>
                <c:pt idx="1323">
                  <c:v>48550</c:v>
                </c:pt>
                <c:pt idx="1324">
                  <c:v>48557</c:v>
                </c:pt>
                <c:pt idx="1325">
                  <c:v>48564</c:v>
                </c:pt>
                <c:pt idx="1326">
                  <c:v>48571</c:v>
                </c:pt>
                <c:pt idx="1327">
                  <c:v>48579</c:v>
                </c:pt>
                <c:pt idx="1328">
                  <c:v>48586</c:v>
                </c:pt>
                <c:pt idx="1329">
                  <c:v>48593</c:v>
                </c:pt>
                <c:pt idx="1330">
                  <c:v>48600</c:v>
                </c:pt>
                <c:pt idx="1331">
                  <c:v>48607</c:v>
                </c:pt>
                <c:pt idx="1332">
                  <c:v>48614</c:v>
                </c:pt>
                <c:pt idx="1333">
                  <c:v>48621</c:v>
                </c:pt>
                <c:pt idx="1334">
                  <c:v>48628</c:v>
                </c:pt>
                <c:pt idx="1335">
                  <c:v>48635</c:v>
                </c:pt>
                <c:pt idx="1336">
                  <c:v>48642</c:v>
                </c:pt>
                <c:pt idx="1337">
                  <c:v>48649</c:v>
                </c:pt>
                <c:pt idx="1338">
                  <c:v>48656</c:v>
                </c:pt>
                <c:pt idx="1339">
                  <c:v>48663</c:v>
                </c:pt>
                <c:pt idx="1340">
                  <c:v>48670</c:v>
                </c:pt>
                <c:pt idx="1341">
                  <c:v>48677</c:v>
                </c:pt>
                <c:pt idx="1342">
                  <c:v>48688</c:v>
                </c:pt>
                <c:pt idx="1343">
                  <c:v>48691</c:v>
                </c:pt>
                <c:pt idx="1344">
                  <c:v>48698</c:v>
                </c:pt>
                <c:pt idx="1345">
                  <c:v>48705</c:v>
                </c:pt>
                <c:pt idx="1346">
                  <c:v>48712</c:v>
                </c:pt>
                <c:pt idx="1347">
                  <c:v>48719</c:v>
                </c:pt>
                <c:pt idx="1348">
                  <c:v>48726</c:v>
                </c:pt>
                <c:pt idx="1349">
                  <c:v>48733</c:v>
                </c:pt>
                <c:pt idx="1350">
                  <c:v>48740</c:v>
                </c:pt>
                <c:pt idx="1351">
                  <c:v>48747</c:v>
                </c:pt>
                <c:pt idx="1352">
                  <c:v>48754</c:v>
                </c:pt>
                <c:pt idx="1353">
                  <c:v>48761</c:v>
                </c:pt>
                <c:pt idx="1354">
                  <c:v>48768</c:v>
                </c:pt>
                <c:pt idx="1355">
                  <c:v>48775</c:v>
                </c:pt>
                <c:pt idx="1356">
                  <c:v>48782</c:v>
                </c:pt>
                <c:pt idx="1357">
                  <c:v>48789</c:v>
                </c:pt>
                <c:pt idx="1358">
                  <c:v>48796</c:v>
                </c:pt>
                <c:pt idx="1359">
                  <c:v>48803</c:v>
                </c:pt>
                <c:pt idx="1360">
                  <c:v>48810</c:v>
                </c:pt>
                <c:pt idx="1361">
                  <c:v>48817</c:v>
                </c:pt>
                <c:pt idx="1362">
                  <c:v>48824</c:v>
                </c:pt>
                <c:pt idx="1363">
                  <c:v>48831</c:v>
                </c:pt>
                <c:pt idx="1364">
                  <c:v>48838</c:v>
                </c:pt>
                <c:pt idx="1365">
                  <c:v>48845</c:v>
                </c:pt>
                <c:pt idx="1366">
                  <c:v>48852</c:v>
                </c:pt>
                <c:pt idx="1367">
                  <c:v>48859</c:v>
                </c:pt>
                <c:pt idx="1368">
                  <c:v>48866</c:v>
                </c:pt>
                <c:pt idx="1369">
                  <c:v>48873</c:v>
                </c:pt>
                <c:pt idx="1370">
                  <c:v>48880</c:v>
                </c:pt>
                <c:pt idx="1371">
                  <c:v>48887</c:v>
                </c:pt>
                <c:pt idx="1372">
                  <c:v>48894</c:v>
                </c:pt>
                <c:pt idx="1373">
                  <c:v>48901</c:v>
                </c:pt>
                <c:pt idx="1374">
                  <c:v>48908</c:v>
                </c:pt>
                <c:pt idx="1375">
                  <c:v>48915</c:v>
                </c:pt>
                <c:pt idx="1376">
                  <c:v>48922</c:v>
                </c:pt>
                <c:pt idx="1377">
                  <c:v>48929</c:v>
                </c:pt>
                <c:pt idx="1378">
                  <c:v>48936</c:v>
                </c:pt>
                <c:pt idx="1379">
                  <c:v>48943</c:v>
                </c:pt>
                <c:pt idx="1380">
                  <c:v>48950</c:v>
                </c:pt>
                <c:pt idx="1381">
                  <c:v>48957</c:v>
                </c:pt>
                <c:pt idx="1382">
                  <c:v>48964</c:v>
                </c:pt>
                <c:pt idx="1383">
                  <c:v>48971</c:v>
                </c:pt>
                <c:pt idx="1384">
                  <c:v>48978</c:v>
                </c:pt>
                <c:pt idx="1385">
                  <c:v>48985</c:v>
                </c:pt>
                <c:pt idx="1386">
                  <c:v>48992</c:v>
                </c:pt>
                <c:pt idx="1387">
                  <c:v>48999</c:v>
                </c:pt>
                <c:pt idx="1388">
                  <c:v>49006</c:v>
                </c:pt>
                <c:pt idx="1389">
                  <c:v>49013</c:v>
                </c:pt>
                <c:pt idx="1390">
                  <c:v>49020</c:v>
                </c:pt>
                <c:pt idx="1391">
                  <c:v>49027</c:v>
                </c:pt>
                <c:pt idx="1392">
                  <c:v>49034</c:v>
                </c:pt>
                <c:pt idx="1393">
                  <c:v>49045</c:v>
                </c:pt>
                <c:pt idx="1394">
                  <c:v>49048</c:v>
                </c:pt>
                <c:pt idx="1395">
                  <c:v>49055</c:v>
                </c:pt>
                <c:pt idx="1396">
                  <c:v>49062</c:v>
                </c:pt>
                <c:pt idx="1397">
                  <c:v>49069</c:v>
                </c:pt>
                <c:pt idx="1398">
                  <c:v>49076</c:v>
                </c:pt>
                <c:pt idx="1399">
                  <c:v>49083</c:v>
                </c:pt>
                <c:pt idx="1400">
                  <c:v>49090</c:v>
                </c:pt>
                <c:pt idx="1401">
                  <c:v>49097</c:v>
                </c:pt>
                <c:pt idx="1402">
                  <c:v>49104</c:v>
                </c:pt>
                <c:pt idx="1403">
                  <c:v>49111</c:v>
                </c:pt>
                <c:pt idx="1404">
                  <c:v>49118</c:v>
                </c:pt>
                <c:pt idx="1405">
                  <c:v>49125</c:v>
                </c:pt>
                <c:pt idx="1406">
                  <c:v>49132</c:v>
                </c:pt>
                <c:pt idx="1407">
                  <c:v>49139</c:v>
                </c:pt>
                <c:pt idx="1408">
                  <c:v>49146</c:v>
                </c:pt>
                <c:pt idx="1409">
                  <c:v>49153</c:v>
                </c:pt>
                <c:pt idx="1410">
                  <c:v>49160</c:v>
                </c:pt>
                <c:pt idx="1411">
                  <c:v>49167</c:v>
                </c:pt>
                <c:pt idx="1412">
                  <c:v>49174</c:v>
                </c:pt>
                <c:pt idx="1413">
                  <c:v>49181</c:v>
                </c:pt>
                <c:pt idx="1414">
                  <c:v>49188</c:v>
                </c:pt>
                <c:pt idx="1415">
                  <c:v>49195</c:v>
                </c:pt>
                <c:pt idx="1416">
                  <c:v>49202</c:v>
                </c:pt>
                <c:pt idx="1417">
                  <c:v>49209</c:v>
                </c:pt>
                <c:pt idx="1418">
                  <c:v>49216</c:v>
                </c:pt>
                <c:pt idx="1419">
                  <c:v>49223</c:v>
                </c:pt>
                <c:pt idx="1420">
                  <c:v>49230</c:v>
                </c:pt>
                <c:pt idx="1421">
                  <c:v>49237</c:v>
                </c:pt>
                <c:pt idx="1422">
                  <c:v>49244</c:v>
                </c:pt>
                <c:pt idx="1423">
                  <c:v>49251</c:v>
                </c:pt>
                <c:pt idx="1424">
                  <c:v>49258</c:v>
                </c:pt>
                <c:pt idx="1425">
                  <c:v>49265</c:v>
                </c:pt>
                <c:pt idx="1426">
                  <c:v>49272</c:v>
                </c:pt>
                <c:pt idx="1427">
                  <c:v>49279</c:v>
                </c:pt>
                <c:pt idx="1428">
                  <c:v>49286</c:v>
                </c:pt>
                <c:pt idx="1429">
                  <c:v>49293</c:v>
                </c:pt>
                <c:pt idx="1430">
                  <c:v>49300</c:v>
                </c:pt>
                <c:pt idx="1431">
                  <c:v>49307</c:v>
                </c:pt>
                <c:pt idx="1432">
                  <c:v>49314</c:v>
                </c:pt>
                <c:pt idx="1433">
                  <c:v>49321</c:v>
                </c:pt>
                <c:pt idx="1434">
                  <c:v>49328</c:v>
                </c:pt>
                <c:pt idx="1435">
                  <c:v>49335</c:v>
                </c:pt>
                <c:pt idx="1436">
                  <c:v>49342</c:v>
                </c:pt>
                <c:pt idx="1437">
                  <c:v>49349</c:v>
                </c:pt>
                <c:pt idx="1438">
                  <c:v>49356</c:v>
                </c:pt>
                <c:pt idx="1439">
                  <c:v>49363</c:v>
                </c:pt>
                <c:pt idx="1440">
                  <c:v>49370</c:v>
                </c:pt>
                <c:pt idx="1441">
                  <c:v>49377</c:v>
                </c:pt>
                <c:pt idx="1442">
                  <c:v>49384</c:v>
                </c:pt>
                <c:pt idx="1443">
                  <c:v>49395</c:v>
                </c:pt>
                <c:pt idx="1444">
                  <c:v>49398</c:v>
                </c:pt>
                <c:pt idx="1445">
                  <c:v>49405</c:v>
                </c:pt>
                <c:pt idx="1446">
                  <c:v>49412</c:v>
                </c:pt>
                <c:pt idx="1447">
                  <c:v>49419</c:v>
                </c:pt>
                <c:pt idx="1448">
                  <c:v>49426</c:v>
                </c:pt>
                <c:pt idx="1449">
                  <c:v>49433</c:v>
                </c:pt>
                <c:pt idx="1450">
                  <c:v>49440</c:v>
                </c:pt>
                <c:pt idx="1451">
                  <c:v>49447</c:v>
                </c:pt>
                <c:pt idx="1452">
                  <c:v>49454</c:v>
                </c:pt>
                <c:pt idx="1453">
                  <c:v>49461</c:v>
                </c:pt>
                <c:pt idx="1454">
                  <c:v>49468</c:v>
                </c:pt>
                <c:pt idx="1455">
                  <c:v>49475</c:v>
                </c:pt>
                <c:pt idx="1456">
                  <c:v>49482</c:v>
                </c:pt>
                <c:pt idx="1457">
                  <c:v>49489</c:v>
                </c:pt>
                <c:pt idx="1458">
                  <c:v>49496</c:v>
                </c:pt>
                <c:pt idx="1459">
                  <c:v>49503</c:v>
                </c:pt>
                <c:pt idx="1460">
                  <c:v>49510</c:v>
                </c:pt>
                <c:pt idx="1461">
                  <c:v>49517</c:v>
                </c:pt>
                <c:pt idx="1462">
                  <c:v>49524</c:v>
                </c:pt>
                <c:pt idx="1463">
                  <c:v>49531</c:v>
                </c:pt>
                <c:pt idx="1464">
                  <c:v>49538</c:v>
                </c:pt>
                <c:pt idx="1465">
                  <c:v>49545</c:v>
                </c:pt>
                <c:pt idx="1466">
                  <c:v>49552</c:v>
                </c:pt>
                <c:pt idx="1467">
                  <c:v>49559</c:v>
                </c:pt>
                <c:pt idx="1468">
                  <c:v>49566</c:v>
                </c:pt>
                <c:pt idx="1469">
                  <c:v>49573</c:v>
                </c:pt>
                <c:pt idx="1470">
                  <c:v>49580</c:v>
                </c:pt>
                <c:pt idx="1471">
                  <c:v>49587</c:v>
                </c:pt>
                <c:pt idx="1472">
                  <c:v>49594</c:v>
                </c:pt>
                <c:pt idx="1473">
                  <c:v>49601</c:v>
                </c:pt>
                <c:pt idx="1474">
                  <c:v>49608</c:v>
                </c:pt>
                <c:pt idx="1475">
                  <c:v>49615</c:v>
                </c:pt>
                <c:pt idx="1476">
                  <c:v>49622</c:v>
                </c:pt>
                <c:pt idx="1477">
                  <c:v>49629</c:v>
                </c:pt>
                <c:pt idx="1478">
                  <c:v>49636</c:v>
                </c:pt>
                <c:pt idx="1479">
                  <c:v>49643</c:v>
                </c:pt>
                <c:pt idx="1480">
                  <c:v>49650</c:v>
                </c:pt>
                <c:pt idx="1481">
                  <c:v>49657</c:v>
                </c:pt>
                <c:pt idx="1482">
                  <c:v>49664</c:v>
                </c:pt>
                <c:pt idx="1483">
                  <c:v>49674</c:v>
                </c:pt>
                <c:pt idx="1484">
                  <c:v>49681</c:v>
                </c:pt>
                <c:pt idx="1485">
                  <c:v>49688</c:v>
                </c:pt>
                <c:pt idx="1486">
                  <c:v>49695</c:v>
                </c:pt>
                <c:pt idx="1487">
                  <c:v>49702</c:v>
                </c:pt>
                <c:pt idx="1488">
                  <c:v>49709</c:v>
                </c:pt>
                <c:pt idx="1489">
                  <c:v>49716</c:v>
                </c:pt>
                <c:pt idx="1490">
                  <c:v>49723</c:v>
                </c:pt>
                <c:pt idx="1491">
                  <c:v>49730</c:v>
                </c:pt>
                <c:pt idx="1492">
                  <c:v>49737</c:v>
                </c:pt>
                <c:pt idx="1493">
                  <c:v>49744</c:v>
                </c:pt>
                <c:pt idx="1494">
                  <c:v>49751</c:v>
                </c:pt>
                <c:pt idx="1495">
                  <c:v>49758</c:v>
                </c:pt>
                <c:pt idx="1496">
                  <c:v>49765</c:v>
                </c:pt>
                <c:pt idx="1497">
                  <c:v>49772</c:v>
                </c:pt>
                <c:pt idx="1498">
                  <c:v>49781</c:v>
                </c:pt>
                <c:pt idx="1499">
                  <c:v>49786</c:v>
                </c:pt>
                <c:pt idx="1500">
                  <c:v>49793</c:v>
                </c:pt>
                <c:pt idx="1501">
                  <c:v>49801</c:v>
                </c:pt>
                <c:pt idx="1502">
                  <c:v>49807</c:v>
                </c:pt>
                <c:pt idx="1503">
                  <c:v>49814</c:v>
                </c:pt>
                <c:pt idx="1504">
                  <c:v>49822</c:v>
                </c:pt>
                <c:pt idx="1505">
                  <c:v>49829</c:v>
                </c:pt>
                <c:pt idx="1506">
                  <c:v>49835</c:v>
                </c:pt>
                <c:pt idx="1507">
                  <c:v>49842</c:v>
                </c:pt>
                <c:pt idx="1508">
                  <c:v>49849</c:v>
                </c:pt>
                <c:pt idx="1509">
                  <c:v>49856</c:v>
                </c:pt>
                <c:pt idx="1510">
                  <c:v>49863</c:v>
                </c:pt>
                <c:pt idx="1511">
                  <c:v>49870</c:v>
                </c:pt>
                <c:pt idx="1512">
                  <c:v>49877</c:v>
                </c:pt>
                <c:pt idx="1513">
                  <c:v>49884</c:v>
                </c:pt>
                <c:pt idx="1514">
                  <c:v>49891</c:v>
                </c:pt>
                <c:pt idx="1515">
                  <c:v>49898</c:v>
                </c:pt>
                <c:pt idx="1516">
                  <c:v>49905</c:v>
                </c:pt>
                <c:pt idx="1517">
                  <c:v>49913</c:v>
                </c:pt>
                <c:pt idx="1518">
                  <c:v>49919</c:v>
                </c:pt>
                <c:pt idx="1519">
                  <c:v>49926</c:v>
                </c:pt>
                <c:pt idx="1520">
                  <c:v>49933</c:v>
                </c:pt>
                <c:pt idx="1521">
                  <c:v>49940</c:v>
                </c:pt>
                <c:pt idx="1522">
                  <c:v>49947</c:v>
                </c:pt>
                <c:pt idx="1523">
                  <c:v>49954</c:v>
                </c:pt>
                <c:pt idx="1524">
                  <c:v>49961</c:v>
                </c:pt>
                <c:pt idx="1525">
                  <c:v>49968</c:v>
                </c:pt>
                <c:pt idx="1526">
                  <c:v>49975</c:v>
                </c:pt>
                <c:pt idx="1527">
                  <c:v>49982</c:v>
                </c:pt>
                <c:pt idx="1528">
                  <c:v>49989</c:v>
                </c:pt>
                <c:pt idx="1529">
                  <c:v>49996</c:v>
                </c:pt>
                <c:pt idx="1530">
                  <c:v>50003</c:v>
                </c:pt>
                <c:pt idx="1531">
                  <c:v>50010</c:v>
                </c:pt>
                <c:pt idx="1532">
                  <c:v>50017</c:v>
                </c:pt>
                <c:pt idx="1533">
                  <c:v>50024</c:v>
                </c:pt>
                <c:pt idx="1534">
                  <c:v>50031</c:v>
                </c:pt>
                <c:pt idx="1535">
                  <c:v>50040</c:v>
                </c:pt>
                <c:pt idx="1536">
                  <c:v>50047</c:v>
                </c:pt>
                <c:pt idx="1537">
                  <c:v>50054</c:v>
                </c:pt>
                <c:pt idx="1538">
                  <c:v>50061</c:v>
                </c:pt>
                <c:pt idx="1539">
                  <c:v>50068</c:v>
                </c:pt>
                <c:pt idx="1540">
                  <c:v>50075</c:v>
                </c:pt>
                <c:pt idx="1541">
                  <c:v>50082</c:v>
                </c:pt>
                <c:pt idx="1542">
                  <c:v>50089</c:v>
                </c:pt>
                <c:pt idx="1543">
                  <c:v>50096</c:v>
                </c:pt>
                <c:pt idx="1544">
                  <c:v>50103</c:v>
                </c:pt>
                <c:pt idx="1545">
                  <c:v>50110</c:v>
                </c:pt>
                <c:pt idx="1546">
                  <c:v>50117</c:v>
                </c:pt>
                <c:pt idx="1547">
                  <c:v>50124</c:v>
                </c:pt>
                <c:pt idx="1548">
                  <c:v>50131</c:v>
                </c:pt>
                <c:pt idx="1549">
                  <c:v>50139</c:v>
                </c:pt>
                <c:pt idx="1550">
                  <c:v>50146</c:v>
                </c:pt>
                <c:pt idx="1551">
                  <c:v>50153</c:v>
                </c:pt>
                <c:pt idx="1552">
                  <c:v>50160</c:v>
                </c:pt>
                <c:pt idx="1553">
                  <c:v>50167</c:v>
                </c:pt>
                <c:pt idx="1554">
                  <c:v>50175</c:v>
                </c:pt>
                <c:pt idx="1555">
                  <c:v>50181</c:v>
                </c:pt>
                <c:pt idx="1556">
                  <c:v>50188</c:v>
                </c:pt>
                <c:pt idx="1557">
                  <c:v>50195</c:v>
                </c:pt>
                <c:pt idx="1558">
                  <c:v>50202</c:v>
                </c:pt>
                <c:pt idx="1559">
                  <c:v>50209</c:v>
                </c:pt>
                <c:pt idx="1560">
                  <c:v>50216</c:v>
                </c:pt>
                <c:pt idx="1561">
                  <c:v>50223</c:v>
                </c:pt>
                <c:pt idx="1562">
                  <c:v>50230</c:v>
                </c:pt>
                <c:pt idx="1563">
                  <c:v>50237</c:v>
                </c:pt>
                <c:pt idx="1564">
                  <c:v>50244</c:v>
                </c:pt>
                <c:pt idx="1565">
                  <c:v>50251</c:v>
                </c:pt>
                <c:pt idx="1566">
                  <c:v>50258</c:v>
                </c:pt>
                <c:pt idx="1567">
                  <c:v>50265</c:v>
                </c:pt>
                <c:pt idx="1568">
                  <c:v>50272</c:v>
                </c:pt>
                <c:pt idx="1569">
                  <c:v>50279</c:v>
                </c:pt>
                <c:pt idx="1570">
                  <c:v>50286</c:v>
                </c:pt>
                <c:pt idx="1571">
                  <c:v>50293</c:v>
                </c:pt>
                <c:pt idx="1572">
                  <c:v>50300</c:v>
                </c:pt>
                <c:pt idx="1573">
                  <c:v>50307</c:v>
                </c:pt>
                <c:pt idx="1574">
                  <c:v>50314</c:v>
                </c:pt>
                <c:pt idx="1575">
                  <c:v>50321</c:v>
                </c:pt>
                <c:pt idx="1576">
                  <c:v>50328</c:v>
                </c:pt>
                <c:pt idx="1577">
                  <c:v>50335</c:v>
                </c:pt>
                <c:pt idx="1578">
                  <c:v>50342</c:v>
                </c:pt>
                <c:pt idx="1579">
                  <c:v>50349</c:v>
                </c:pt>
                <c:pt idx="1580">
                  <c:v>50356</c:v>
                </c:pt>
                <c:pt idx="1581">
                  <c:v>50363</c:v>
                </c:pt>
                <c:pt idx="1582">
                  <c:v>50370</c:v>
                </c:pt>
                <c:pt idx="1583">
                  <c:v>50377</c:v>
                </c:pt>
                <c:pt idx="1584">
                  <c:v>50384</c:v>
                </c:pt>
                <c:pt idx="1585">
                  <c:v>50391</c:v>
                </c:pt>
                <c:pt idx="1586">
                  <c:v>50398</c:v>
                </c:pt>
                <c:pt idx="1587">
                  <c:v>50405</c:v>
                </c:pt>
                <c:pt idx="1588">
                  <c:v>50412</c:v>
                </c:pt>
                <c:pt idx="1589">
                  <c:v>50419</c:v>
                </c:pt>
                <c:pt idx="1590">
                  <c:v>50426</c:v>
                </c:pt>
                <c:pt idx="1591">
                  <c:v>50433</c:v>
                </c:pt>
                <c:pt idx="1592">
                  <c:v>50440</c:v>
                </c:pt>
                <c:pt idx="1593">
                  <c:v>50447</c:v>
                </c:pt>
                <c:pt idx="1594">
                  <c:v>50454</c:v>
                </c:pt>
                <c:pt idx="1595">
                  <c:v>50461</c:v>
                </c:pt>
                <c:pt idx="1596">
                  <c:v>50468</c:v>
                </c:pt>
                <c:pt idx="1597">
                  <c:v>50475</c:v>
                </c:pt>
                <c:pt idx="1598">
                  <c:v>50482</c:v>
                </c:pt>
                <c:pt idx="1599">
                  <c:v>50489</c:v>
                </c:pt>
                <c:pt idx="1600">
                  <c:v>50496</c:v>
                </c:pt>
                <c:pt idx="1601">
                  <c:v>50503</c:v>
                </c:pt>
                <c:pt idx="1602">
                  <c:v>50510</c:v>
                </c:pt>
                <c:pt idx="1603">
                  <c:v>50517</c:v>
                </c:pt>
                <c:pt idx="1604">
                  <c:v>50524</c:v>
                </c:pt>
                <c:pt idx="1605">
                  <c:v>50531</c:v>
                </c:pt>
                <c:pt idx="1606">
                  <c:v>50538</c:v>
                </c:pt>
                <c:pt idx="1607">
                  <c:v>50545</c:v>
                </c:pt>
                <c:pt idx="1608">
                  <c:v>50552</c:v>
                </c:pt>
                <c:pt idx="1609">
                  <c:v>50560</c:v>
                </c:pt>
                <c:pt idx="1610">
                  <c:v>50566</c:v>
                </c:pt>
                <c:pt idx="1611">
                  <c:v>50573</c:v>
                </c:pt>
                <c:pt idx="1612">
                  <c:v>50580</c:v>
                </c:pt>
                <c:pt idx="1613">
                  <c:v>50587</c:v>
                </c:pt>
                <c:pt idx="1614">
                  <c:v>50594</c:v>
                </c:pt>
                <c:pt idx="1615">
                  <c:v>50601</c:v>
                </c:pt>
                <c:pt idx="1616">
                  <c:v>50608</c:v>
                </c:pt>
                <c:pt idx="1617">
                  <c:v>50615</c:v>
                </c:pt>
                <c:pt idx="1618">
                  <c:v>50622</c:v>
                </c:pt>
                <c:pt idx="1619">
                  <c:v>50629</c:v>
                </c:pt>
                <c:pt idx="1620">
                  <c:v>50636</c:v>
                </c:pt>
                <c:pt idx="1621">
                  <c:v>50643</c:v>
                </c:pt>
                <c:pt idx="1622">
                  <c:v>50650</c:v>
                </c:pt>
                <c:pt idx="1623">
                  <c:v>50657</c:v>
                </c:pt>
                <c:pt idx="1624">
                  <c:v>50664</c:v>
                </c:pt>
                <c:pt idx="1625">
                  <c:v>50671</c:v>
                </c:pt>
                <c:pt idx="1626">
                  <c:v>50678</c:v>
                </c:pt>
                <c:pt idx="1627">
                  <c:v>50685</c:v>
                </c:pt>
                <c:pt idx="1628">
                  <c:v>50692</c:v>
                </c:pt>
                <c:pt idx="1629">
                  <c:v>50699</c:v>
                </c:pt>
                <c:pt idx="1630">
                  <c:v>50706</c:v>
                </c:pt>
                <c:pt idx="1631">
                  <c:v>50713</c:v>
                </c:pt>
                <c:pt idx="1632">
                  <c:v>50720</c:v>
                </c:pt>
                <c:pt idx="1633">
                  <c:v>50727</c:v>
                </c:pt>
                <c:pt idx="1634">
                  <c:v>50734</c:v>
                </c:pt>
                <c:pt idx="1635">
                  <c:v>50741</c:v>
                </c:pt>
                <c:pt idx="1636">
                  <c:v>50748</c:v>
                </c:pt>
                <c:pt idx="1637">
                  <c:v>50755</c:v>
                </c:pt>
                <c:pt idx="1638">
                  <c:v>50762</c:v>
                </c:pt>
                <c:pt idx="1639">
                  <c:v>50770</c:v>
                </c:pt>
                <c:pt idx="1640">
                  <c:v>50777</c:v>
                </c:pt>
                <c:pt idx="1641">
                  <c:v>50784</c:v>
                </c:pt>
                <c:pt idx="1642">
                  <c:v>50791</c:v>
                </c:pt>
                <c:pt idx="1643">
                  <c:v>50798</c:v>
                </c:pt>
                <c:pt idx="1644">
                  <c:v>50805</c:v>
                </c:pt>
                <c:pt idx="1645">
                  <c:v>50812</c:v>
                </c:pt>
                <c:pt idx="1646">
                  <c:v>50819</c:v>
                </c:pt>
                <c:pt idx="1647">
                  <c:v>50826</c:v>
                </c:pt>
                <c:pt idx="1648">
                  <c:v>50833</c:v>
                </c:pt>
                <c:pt idx="1649">
                  <c:v>50840</c:v>
                </c:pt>
                <c:pt idx="1650">
                  <c:v>50847</c:v>
                </c:pt>
                <c:pt idx="1651">
                  <c:v>50854</c:v>
                </c:pt>
                <c:pt idx="1652">
                  <c:v>50861</c:v>
                </c:pt>
                <c:pt idx="1653">
                  <c:v>50872</c:v>
                </c:pt>
                <c:pt idx="1654">
                  <c:v>50875</c:v>
                </c:pt>
                <c:pt idx="1655">
                  <c:v>50882</c:v>
                </c:pt>
                <c:pt idx="1656">
                  <c:v>50889</c:v>
                </c:pt>
                <c:pt idx="1657">
                  <c:v>50896</c:v>
                </c:pt>
                <c:pt idx="1658">
                  <c:v>50903</c:v>
                </c:pt>
                <c:pt idx="1659">
                  <c:v>50910</c:v>
                </c:pt>
                <c:pt idx="1660">
                  <c:v>50917</c:v>
                </c:pt>
                <c:pt idx="1661">
                  <c:v>50924</c:v>
                </c:pt>
                <c:pt idx="1662">
                  <c:v>50931</c:v>
                </c:pt>
                <c:pt idx="1663">
                  <c:v>50938</c:v>
                </c:pt>
                <c:pt idx="1664">
                  <c:v>50945</c:v>
                </c:pt>
                <c:pt idx="1665">
                  <c:v>50952</c:v>
                </c:pt>
                <c:pt idx="1666">
                  <c:v>50959</c:v>
                </c:pt>
                <c:pt idx="1667">
                  <c:v>50966</c:v>
                </c:pt>
                <c:pt idx="1668">
                  <c:v>50973</c:v>
                </c:pt>
                <c:pt idx="1669">
                  <c:v>50980</c:v>
                </c:pt>
                <c:pt idx="1670">
                  <c:v>50987</c:v>
                </c:pt>
                <c:pt idx="1671">
                  <c:v>50994</c:v>
                </c:pt>
                <c:pt idx="1672">
                  <c:v>51001</c:v>
                </c:pt>
                <c:pt idx="1673">
                  <c:v>51008</c:v>
                </c:pt>
                <c:pt idx="1674">
                  <c:v>51015</c:v>
                </c:pt>
                <c:pt idx="1675">
                  <c:v>51022</c:v>
                </c:pt>
                <c:pt idx="1676">
                  <c:v>51029</c:v>
                </c:pt>
                <c:pt idx="1677">
                  <c:v>51036</c:v>
                </c:pt>
                <c:pt idx="1678">
                  <c:v>51043</c:v>
                </c:pt>
                <c:pt idx="1679">
                  <c:v>51050</c:v>
                </c:pt>
                <c:pt idx="1680">
                  <c:v>51057</c:v>
                </c:pt>
                <c:pt idx="1681">
                  <c:v>51064</c:v>
                </c:pt>
                <c:pt idx="1682">
                  <c:v>51071</c:v>
                </c:pt>
                <c:pt idx="1683">
                  <c:v>51078</c:v>
                </c:pt>
                <c:pt idx="1684">
                  <c:v>51085</c:v>
                </c:pt>
                <c:pt idx="1685">
                  <c:v>51092</c:v>
                </c:pt>
                <c:pt idx="1686">
                  <c:v>51099</c:v>
                </c:pt>
                <c:pt idx="1687">
                  <c:v>51106</c:v>
                </c:pt>
                <c:pt idx="1688">
                  <c:v>51113</c:v>
                </c:pt>
                <c:pt idx="1689">
                  <c:v>51120</c:v>
                </c:pt>
                <c:pt idx="1690">
                  <c:v>51127</c:v>
                </c:pt>
                <c:pt idx="1691">
                  <c:v>51134</c:v>
                </c:pt>
                <c:pt idx="1692">
                  <c:v>51141</c:v>
                </c:pt>
                <c:pt idx="1693">
                  <c:v>51148</c:v>
                </c:pt>
                <c:pt idx="1694">
                  <c:v>51155</c:v>
                </c:pt>
                <c:pt idx="1695">
                  <c:v>51162</c:v>
                </c:pt>
                <c:pt idx="1696">
                  <c:v>51169</c:v>
                </c:pt>
                <c:pt idx="1697">
                  <c:v>51176</c:v>
                </c:pt>
                <c:pt idx="1698">
                  <c:v>51183</c:v>
                </c:pt>
                <c:pt idx="1699">
                  <c:v>51190</c:v>
                </c:pt>
                <c:pt idx="1700">
                  <c:v>51197</c:v>
                </c:pt>
                <c:pt idx="1701">
                  <c:v>51204</c:v>
                </c:pt>
                <c:pt idx="1702">
                  <c:v>51211</c:v>
                </c:pt>
                <c:pt idx="1703">
                  <c:v>51218</c:v>
                </c:pt>
                <c:pt idx="1704">
                  <c:v>51229</c:v>
                </c:pt>
                <c:pt idx="1705">
                  <c:v>51232</c:v>
                </c:pt>
                <c:pt idx="1706">
                  <c:v>51239</c:v>
                </c:pt>
                <c:pt idx="1707">
                  <c:v>51246</c:v>
                </c:pt>
                <c:pt idx="1708">
                  <c:v>51253</c:v>
                </c:pt>
                <c:pt idx="1709">
                  <c:v>51260</c:v>
                </c:pt>
                <c:pt idx="1710">
                  <c:v>51267</c:v>
                </c:pt>
                <c:pt idx="1711">
                  <c:v>51274</c:v>
                </c:pt>
                <c:pt idx="1712">
                  <c:v>51281</c:v>
                </c:pt>
                <c:pt idx="1713">
                  <c:v>51288</c:v>
                </c:pt>
                <c:pt idx="1714">
                  <c:v>51295</c:v>
                </c:pt>
                <c:pt idx="1715">
                  <c:v>51302</c:v>
                </c:pt>
                <c:pt idx="1716">
                  <c:v>51309</c:v>
                </c:pt>
                <c:pt idx="1717">
                  <c:v>51316</c:v>
                </c:pt>
                <c:pt idx="1718">
                  <c:v>51323</c:v>
                </c:pt>
                <c:pt idx="1719">
                  <c:v>51330</c:v>
                </c:pt>
                <c:pt idx="1720">
                  <c:v>51337</c:v>
                </c:pt>
                <c:pt idx="1721">
                  <c:v>51344</c:v>
                </c:pt>
                <c:pt idx="1722">
                  <c:v>51351</c:v>
                </c:pt>
                <c:pt idx="1723">
                  <c:v>51358</c:v>
                </c:pt>
                <c:pt idx="1724">
                  <c:v>51365</c:v>
                </c:pt>
                <c:pt idx="1725">
                  <c:v>51372</c:v>
                </c:pt>
                <c:pt idx="1726">
                  <c:v>51379</c:v>
                </c:pt>
                <c:pt idx="1727">
                  <c:v>51386</c:v>
                </c:pt>
                <c:pt idx="1728">
                  <c:v>51393</c:v>
                </c:pt>
                <c:pt idx="1729">
                  <c:v>51400</c:v>
                </c:pt>
                <c:pt idx="1730">
                  <c:v>51407</c:v>
                </c:pt>
                <c:pt idx="1731">
                  <c:v>51414</c:v>
                </c:pt>
                <c:pt idx="1732">
                  <c:v>51421</c:v>
                </c:pt>
                <c:pt idx="1733">
                  <c:v>51428</c:v>
                </c:pt>
                <c:pt idx="1734">
                  <c:v>51435</c:v>
                </c:pt>
                <c:pt idx="1735">
                  <c:v>51442</c:v>
                </c:pt>
                <c:pt idx="1736">
                  <c:v>51449</c:v>
                </c:pt>
                <c:pt idx="1737">
                  <c:v>51456</c:v>
                </c:pt>
                <c:pt idx="1738">
                  <c:v>51463</c:v>
                </c:pt>
                <c:pt idx="1739">
                  <c:v>51470</c:v>
                </c:pt>
                <c:pt idx="1740">
                  <c:v>51477</c:v>
                </c:pt>
                <c:pt idx="1741">
                  <c:v>51484</c:v>
                </c:pt>
                <c:pt idx="1742">
                  <c:v>51491</c:v>
                </c:pt>
                <c:pt idx="1743">
                  <c:v>51501</c:v>
                </c:pt>
                <c:pt idx="1744">
                  <c:v>51508</c:v>
                </c:pt>
                <c:pt idx="1745">
                  <c:v>51515</c:v>
                </c:pt>
                <c:pt idx="1746">
                  <c:v>51522</c:v>
                </c:pt>
                <c:pt idx="1747">
                  <c:v>51529</c:v>
                </c:pt>
                <c:pt idx="1748">
                  <c:v>51536</c:v>
                </c:pt>
                <c:pt idx="1749">
                  <c:v>51543</c:v>
                </c:pt>
                <c:pt idx="1750">
                  <c:v>51550</c:v>
                </c:pt>
                <c:pt idx="1751">
                  <c:v>51557</c:v>
                </c:pt>
                <c:pt idx="1752">
                  <c:v>51564</c:v>
                </c:pt>
                <c:pt idx="1753">
                  <c:v>51571</c:v>
                </c:pt>
                <c:pt idx="1754">
                  <c:v>51578</c:v>
                </c:pt>
                <c:pt idx="1755">
                  <c:v>51585</c:v>
                </c:pt>
                <c:pt idx="1756">
                  <c:v>51592</c:v>
                </c:pt>
                <c:pt idx="1757">
                  <c:v>51599</c:v>
                </c:pt>
                <c:pt idx="1758">
                  <c:v>51606</c:v>
                </c:pt>
                <c:pt idx="1759">
                  <c:v>51615</c:v>
                </c:pt>
                <c:pt idx="1760">
                  <c:v>51620</c:v>
                </c:pt>
                <c:pt idx="1761">
                  <c:v>51628</c:v>
                </c:pt>
                <c:pt idx="1762">
                  <c:v>51634</c:v>
                </c:pt>
                <c:pt idx="1763">
                  <c:v>51641</c:v>
                </c:pt>
                <c:pt idx="1764">
                  <c:v>51649</c:v>
                </c:pt>
                <c:pt idx="1765">
                  <c:v>51655</c:v>
                </c:pt>
                <c:pt idx="1766">
                  <c:v>51663</c:v>
                </c:pt>
                <c:pt idx="1767">
                  <c:v>51669</c:v>
                </c:pt>
                <c:pt idx="1768">
                  <c:v>51676</c:v>
                </c:pt>
                <c:pt idx="1769">
                  <c:v>51683</c:v>
                </c:pt>
                <c:pt idx="1770">
                  <c:v>51690</c:v>
                </c:pt>
                <c:pt idx="1771">
                  <c:v>51697</c:v>
                </c:pt>
                <c:pt idx="1772">
                  <c:v>51704</c:v>
                </c:pt>
                <c:pt idx="1773">
                  <c:v>51711</c:v>
                </c:pt>
                <c:pt idx="1774">
                  <c:v>51718</c:v>
                </c:pt>
                <c:pt idx="1775">
                  <c:v>51725</c:v>
                </c:pt>
                <c:pt idx="1776">
                  <c:v>51732</c:v>
                </c:pt>
                <c:pt idx="1777">
                  <c:v>51740</c:v>
                </c:pt>
                <c:pt idx="1778">
                  <c:v>51746</c:v>
                </c:pt>
                <c:pt idx="1779">
                  <c:v>51753</c:v>
                </c:pt>
                <c:pt idx="1780">
                  <c:v>51760</c:v>
                </c:pt>
                <c:pt idx="1781">
                  <c:v>51767</c:v>
                </c:pt>
                <c:pt idx="1782">
                  <c:v>51774</c:v>
                </c:pt>
                <c:pt idx="1783">
                  <c:v>51781</c:v>
                </c:pt>
                <c:pt idx="1784">
                  <c:v>51788</c:v>
                </c:pt>
                <c:pt idx="1785">
                  <c:v>51795</c:v>
                </c:pt>
                <c:pt idx="1786">
                  <c:v>51802</c:v>
                </c:pt>
                <c:pt idx="1787">
                  <c:v>51809</c:v>
                </c:pt>
                <c:pt idx="1788">
                  <c:v>51816</c:v>
                </c:pt>
                <c:pt idx="1789">
                  <c:v>51823</c:v>
                </c:pt>
                <c:pt idx="1790">
                  <c:v>51830</c:v>
                </c:pt>
                <c:pt idx="1791">
                  <c:v>51837</c:v>
                </c:pt>
                <c:pt idx="1792">
                  <c:v>51844</c:v>
                </c:pt>
                <c:pt idx="1793">
                  <c:v>51851</c:v>
                </c:pt>
                <c:pt idx="1794">
                  <c:v>51858</c:v>
                </c:pt>
                <c:pt idx="1795">
                  <c:v>51866</c:v>
                </c:pt>
                <c:pt idx="1796">
                  <c:v>51873</c:v>
                </c:pt>
                <c:pt idx="1797">
                  <c:v>51880</c:v>
                </c:pt>
                <c:pt idx="1798">
                  <c:v>51887</c:v>
                </c:pt>
                <c:pt idx="1799">
                  <c:v>51894</c:v>
                </c:pt>
                <c:pt idx="1800">
                  <c:v>51901</c:v>
                </c:pt>
                <c:pt idx="1801">
                  <c:v>51908</c:v>
                </c:pt>
                <c:pt idx="1802">
                  <c:v>51915</c:v>
                </c:pt>
                <c:pt idx="1803">
                  <c:v>51922</c:v>
                </c:pt>
                <c:pt idx="1804">
                  <c:v>51929</c:v>
                </c:pt>
                <c:pt idx="1805">
                  <c:v>51936</c:v>
                </c:pt>
                <c:pt idx="1806">
                  <c:v>51943</c:v>
                </c:pt>
                <c:pt idx="1807">
                  <c:v>51950</c:v>
                </c:pt>
                <c:pt idx="1808">
                  <c:v>51957</c:v>
                </c:pt>
                <c:pt idx="1809">
                  <c:v>51966</c:v>
                </c:pt>
                <c:pt idx="1810">
                  <c:v>51973</c:v>
                </c:pt>
                <c:pt idx="1811">
                  <c:v>51980</c:v>
                </c:pt>
                <c:pt idx="1812">
                  <c:v>51988</c:v>
                </c:pt>
                <c:pt idx="1813">
                  <c:v>51994</c:v>
                </c:pt>
                <c:pt idx="1814">
                  <c:v>52002</c:v>
                </c:pt>
                <c:pt idx="1815">
                  <c:v>52008</c:v>
                </c:pt>
                <c:pt idx="1816">
                  <c:v>52015</c:v>
                </c:pt>
                <c:pt idx="1817">
                  <c:v>52022</c:v>
                </c:pt>
                <c:pt idx="1818">
                  <c:v>52029</c:v>
                </c:pt>
                <c:pt idx="1819">
                  <c:v>52036</c:v>
                </c:pt>
                <c:pt idx="1820">
                  <c:v>52043</c:v>
                </c:pt>
                <c:pt idx="1821">
                  <c:v>52050</c:v>
                </c:pt>
                <c:pt idx="1822">
                  <c:v>52057</c:v>
                </c:pt>
                <c:pt idx="1823">
                  <c:v>52064</c:v>
                </c:pt>
                <c:pt idx="1824">
                  <c:v>52071</c:v>
                </c:pt>
                <c:pt idx="1825">
                  <c:v>52078</c:v>
                </c:pt>
                <c:pt idx="1826">
                  <c:v>52085</c:v>
                </c:pt>
                <c:pt idx="1827">
                  <c:v>52092</c:v>
                </c:pt>
                <c:pt idx="1828">
                  <c:v>52099</c:v>
                </c:pt>
                <c:pt idx="1829">
                  <c:v>52106</c:v>
                </c:pt>
                <c:pt idx="1830">
                  <c:v>52113</c:v>
                </c:pt>
                <c:pt idx="1831">
                  <c:v>52120</c:v>
                </c:pt>
                <c:pt idx="1832">
                  <c:v>52127</c:v>
                </c:pt>
                <c:pt idx="1833">
                  <c:v>52134</c:v>
                </c:pt>
                <c:pt idx="1834">
                  <c:v>52141</c:v>
                </c:pt>
                <c:pt idx="1835">
                  <c:v>52148</c:v>
                </c:pt>
                <c:pt idx="1836">
                  <c:v>52155</c:v>
                </c:pt>
                <c:pt idx="1837">
                  <c:v>52162</c:v>
                </c:pt>
                <c:pt idx="1838">
                  <c:v>52169</c:v>
                </c:pt>
                <c:pt idx="1839">
                  <c:v>52176</c:v>
                </c:pt>
                <c:pt idx="1840">
                  <c:v>52183</c:v>
                </c:pt>
                <c:pt idx="1841">
                  <c:v>52190</c:v>
                </c:pt>
                <c:pt idx="1842">
                  <c:v>52197</c:v>
                </c:pt>
                <c:pt idx="1843">
                  <c:v>52204</c:v>
                </c:pt>
                <c:pt idx="1844">
                  <c:v>52211</c:v>
                </c:pt>
                <c:pt idx="1845">
                  <c:v>52218</c:v>
                </c:pt>
                <c:pt idx="1846">
                  <c:v>52229</c:v>
                </c:pt>
                <c:pt idx="1847">
                  <c:v>52236</c:v>
                </c:pt>
                <c:pt idx="1848">
                  <c:v>52239</c:v>
                </c:pt>
                <c:pt idx="1849">
                  <c:v>52246</c:v>
                </c:pt>
                <c:pt idx="1850">
                  <c:v>52253</c:v>
                </c:pt>
                <c:pt idx="1851">
                  <c:v>52260</c:v>
                </c:pt>
                <c:pt idx="1852">
                  <c:v>52267</c:v>
                </c:pt>
                <c:pt idx="1853">
                  <c:v>52274</c:v>
                </c:pt>
                <c:pt idx="1854">
                  <c:v>52281</c:v>
                </c:pt>
                <c:pt idx="1855">
                  <c:v>52288</c:v>
                </c:pt>
                <c:pt idx="1856">
                  <c:v>52295</c:v>
                </c:pt>
                <c:pt idx="1857">
                  <c:v>52302</c:v>
                </c:pt>
                <c:pt idx="1858">
                  <c:v>52309</c:v>
                </c:pt>
                <c:pt idx="1859">
                  <c:v>52316</c:v>
                </c:pt>
                <c:pt idx="1860">
                  <c:v>52323</c:v>
                </c:pt>
                <c:pt idx="1861">
                  <c:v>52330</c:v>
                </c:pt>
                <c:pt idx="1862">
                  <c:v>52337</c:v>
                </c:pt>
                <c:pt idx="1863">
                  <c:v>52344</c:v>
                </c:pt>
                <c:pt idx="1864">
                  <c:v>52351</c:v>
                </c:pt>
                <c:pt idx="1865">
                  <c:v>52359</c:v>
                </c:pt>
                <c:pt idx="1866">
                  <c:v>52365</c:v>
                </c:pt>
                <c:pt idx="1867">
                  <c:v>52372</c:v>
                </c:pt>
                <c:pt idx="1868">
                  <c:v>52379</c:v>
                </c:pt>
                <c:pt idx="1869">
                  <c:v>52386</c:v>
                </c:pt>
                <c:pt idx="1870">
                  <c:v>52393</c:v>
                </c:pt>
                <c:pt idx="1871">
                  <c:v>52400</c:v>
                </c:pt>
                <c:pt idx="1872">
                  <c:v>52407</c:v>
                </c:pt>
                <c:pt idx="1873">
                  <c:v>52414</c:v>
                </c:pt>
                <c:pt idx="1874">
                  <c:v>52421</c:v>
                </c:pt>
                <c:pt idx="1875">
                  <c:v>52428</c:v>
                </c:pt>
                <c:pt idx="1876">
                  <c:v>52435</c:v>
                </c:pt>
                <c:pt idx="1877">
                  <c:v>52442</c:v>
                </c:pt>
                <c:pt idx="1878">
                  <c:v>52449</c:v>
                </c:pt>
                <c:pt idx="1879">
                  <c:v>52456</c:v>
                </c:pt>
                <c:pt idx="1880">
                  <c:v>52463</c:v>
                </c:pt>
                <c:pt idx="1881">
                  <c:v>52470</c:v>
                </c:pt>
                <c:pt idx="1882">
                  <c:v>52477</c:v>
                </c:pt>
                <c:pt idx="1883">
                  <c:v>52484</c:v>
                </c:pt>
                <c:pt idx="1884">
                  <c:v>52491</c:v>
                </c:pt>
                <c:pt idx="1885">
                  <c:v>52498</c:v>
                </c:pt>
                <c:pt idx="1886">
                  <c:v>52505</c:v>
                </c:pt>
                <c:pt idx="1887">
                  <c:v>52512</c:v>
                </c:pt>
                <c:pt idx="1888">
                  <c:v>52519</c:v>
                </c:pt>
                <c:pt idx="1889">
                  <c:v>52526</c:v>
                </c:pt>
                <c:pt idx="1890">
                  <c:v>52533</c:v>
                </c:pt>
                <c:pt idx="1891">
                  <c:v>52540</c:v>
                </c:pt>
                <c:pt idx="1892">
                  <c:v>52547</c:v>
                </c:pt>
                <c:pt idx="1893">
                  <c:v>52554</c:v>
                </c:pt>
                <c:pt idx="1894">
                  <c:v>52561</c:v>
                </c:pt>
                <c:pt idx="1895">
                  <c:v>52568</c:v>
                </c:pt>
                <c:pt idx="1896">
                  <c:v>52575</c:v>
                </c:pt>
                <c:pt idx="1897">
                  <c:v>52582</c:v>
                </c:pt>
                <c:pt idx="1898">
                  <c:v>52589</c:v>
                </c:pt>
                <c:pt idx="1899">
                  <c:v>52596</c:v>
                </c:pt>
                <c:pt idx="1900">
                  <c:v>52603</c:v>
                </c:pt>
                <c:pt idx="1901">
                  <c:v>52610</c:v>
                </c:pt>
                <c:pt idx="1902">
                  <c:v>52617</c:v>
                </c:pt>
                <c:pt idx="1903">
                  <c:v>52624</c:v>
                </c:pt>
                <c:pt idx="1904">
                  <c:v>52631</c:v>
                </c:pt>
                <c:pt idx="1905">
                  <c:v>52638</c:v>
                </c:pt>
                <c:pt idx="1906">
                  <c:v>52645</c:v>
                </c:pt>
                <c:pt idx="1907">
                  <c:v>52652</c:v>
                </c:pt>
                <c:pt idx="1908">
                  <c:v>52659</c:v>
                </c:pt>
                <c:pt idx="1909">
                  <c:v>52666</c:v>
                </c:pt>
                <c:pt idx="1910">
                  <c:v>52673</c:v>
                </c:pt>
                <c:pt idx="1911">
                  <c:v>52680</c:v>
                </c:pt>
                <c:pt idx="1912">
                  <c:v>52687</c:v>
                </c:pt>
                <c:pt idx="1913">
                  <c:v>52694</c:v>
                </c:pt>
                <c:pt idx="1914">
                  <c:v>52701</c:v>
                </c:pt>
                <c:pt idx="1915">
                  <c:v>52708</c:v>
                </c:pt>
                <c:pt idx="1916">
                  <c:v>52715</c:v>
                </c:pt>
                <c:pt idx="1917">
                  <c:v>52722</c:v>
                </c:pt>
                <c:pt idx="1918">
                  <c:v>52729</c:v>
                </c:pt>
                <c:pt idx="1919">
                  <c:v>52736</c:v>
                </c:pt>
                <c:pt idx="1920">
                  <c:v>52744</c:v>
                </c:pt>
                <c:pt idx="1921">
                  <c:v>52750</c:v>
                </c:pt>
                <c:pt idx="1922">
                  <c:v>52757</c:v>
                </c:pt>
                <c:pt idx="1923">
                  <c:v>52764</c:v>
                </c:pt>
                <c:pt idx="1924">
                  <c:v>52771</c:v>
                </c:pt>
                <c:pt idx="1925">
                  <c:v>52778</c:v>
                </c:pt>
                <c:pt idx="1926">
                  <c:v>52785</c:v>
                </c:pt>
                <c:pt idx="1927">
                  <c:v>52792</c:v>
                </c:pt>
                <c:pt idx="1928">
                  <c:v>52799</c:v>
                </c:pt>
                <c:pt idx="1929">
                  <c:v>52806</c:v>
                </c:pt>
                <c:pt idx="1930">
                  <c:v>52813</c:v>
                </c:pt>
                <c:pt idx="1931">
                  <c:v>52820</c:v>
                </c:pt>
                <c:pt idx="1932">
                  <c:v>52827</c:v>
                </c:pt>
                <c:pt idx="1933">
                  <c:v>52834</c:v>
                </c:pt>
                <c:pt idx="1934">
                  <c:v>52841</c:v>
                </c:pt>
                <c:pt idx="1935">
                  <c:v>52848</c:v>
                </c:pt>
                <c:pt idx="1936">
                  <c:v>52855</c:v>
                </c:pt>
                <c:pt idx="1937">
                  <c:v>52862</c:v>
                </c:pt>
                <c:pt idx="1938">
                  <c:v>52869</c:v>
                </c:pt>
                <c:pt idx="1939">
                  <c:v>52876</c:v>
                </c:pt>
                <c:pt idx="1940">
                  <c:v>52883</c:v>
                </c:pt>
                <c:pt idx="1941">
                  <c:v>52890</c:v>
                </c:pt>
                <c:pt idx="1942">
                  <c:v>52897</c:v>
                </c:pt>
                <c:pt idx="1943">
                  <c:v>52904</c:v>
                </c:pt>
                <c:pt idx="1944">
                  <c:v>52911</c:v>
                </c:pt>
                <c:pt idx="1945">
                  <c:v>52918</c:v>
                </c:pt>
                <c:pt idx="1946">
                  <c:v>52925</c:v>
                </c:pt>
                <c:pt idx="1947">
                  <c:v>52932</c:v>
                </c:pt>
                <c:pt idx="1948">
                  <c:v>52939</c:v>
                </c:pt>
                <c:pt idx="1949">
                  <c:v>52946</c:v>
                </c:pt>
                <c:pt idx="1950">
                  <c:v>52953</c:v>
                </c:pt>
                <c:pt idx="1951">
                  <c:v>52961</c:v>
                </c:pt>
                <c:pt idx="1952">
                  <c:v>52968</c:v>
                </c:pt>
                <c:pt idx="1953">
                  <c:v>52975</c:v>
                </c:pt>
                <c:pt idx="1954">
                  <c:v>52982</c:v>
                </c:pt>
                <c:pt idx="1955">
                  <c:v>52989</c:v>
                </c:pt>
                <c:pt idx="1956">
                  <c:v>52996</c:v>
                </c:pt>
                <c:pt idx="1957">
                  <c:v>53003</c:v>
                </c:pt>
                <c:pt idx="1958">
                  <c:v>53010</c:v>
                </c:pt>
                <c:pt idx="1959">
                  <c:v>53017</c:v>
                </c:pt>
                <c:pt idx="1960">
                  <c:v>53024</c:v>
                </c:pt>
                <c:pt idx="1961">
                  <c:v>53031</c:v>
                </c:pt>
                <c:pt idx="1962">
                  <c:v>53038</c:v>
                </c:pt>
                <c:pt idx="1963">
                  <c:v>53045</c:v>
                </c:pt>
                <c:pt idx="1964">
                  <c:v>53052</c:v>
                </c:pt>
                <c:pt idx="1965">
                  <c:v>53063</c:v>
                </c:pt>
                <c:pt idx="1966">
                  <c:v>53066</c:v>
                </c:pt>
                <c:pt idx="1967">
                  <c:v>53073</c:v>
                </c:pt>
                <c:pt idx="1968">
                  <c:v>53080</c:v>
                </c:pt>
                <c:pt idx="1969">
                  <c:v>53087</c:v>
                </c:pt>
                <c:pt idx="1970">
                  <c:v>53094</c:v>
                </c:pt>
                <c:pt idx="1971">
                  <c:v>53101</c:v>
                </c:pt>
                <c:pt idx="1972">
                  <c:v>53108</c:v>
                </c:pt>
                <c:pt idx="1973">
                  <c:v>53115</c:v>
                </c:pt>
                <c:pt idx="1974">
                  <c:v>53122</c:v>
                </c:pt>
                <c:pt idx="1975">
                  <c:v>53129</c:v>
                </c:pt>
                <c:pt idx="1976">
                  <c:v>53136</c:v>
                </c:pt>
                <c:pt idx="1977">
                  <c:v>53143</c:v>
                </c:pt>
                <c:pt idx="1978">
                  <c:v>53150</c:v>
                </c:pt>
                <c:pt idx="1979">
                  <c:v>53157</c:v>
                </c:pt>
                <c:pt idx="1980">
                  <c:v>53164</c:v>
                </c:pt>
                <c:pt idx="1981">
                  <c:v>53171</c:v>
                </c:pt>
                <c:pt idx="1982">
                  <c:v>53178</c:v>
                </c:pt>
                <c:pt idx="1983">
                  <c:v>53185</c:v>
                </c:pt>
                <c:pt idx="1984">
                  <c:v>53192</c:v>
                </c:pt>
                <c:pt idx="1985">
                  <c:v>53199</c:v>
                </c:pt>
                <c:pt idx="1986">
                  <c:v>53206</c:v>
                </c:pt>
                <c:pt idx="1987">
                  <c:v>53213</c:v>
                </c:pt>
                <c:pt idx="1988">
                  <c:v>53220</c:v>
                </c:pt>
                <c:pt idx="1989">
                  <c:v>53227</c:v>
                </c:pt>
                <c:pt idx="1990">
                  <c:v>53234</c:v>
                </c:pt>
                <c:pt idx="1991">
                  <c:v>53241</c:v>
                </c:pt>
                <c:pt idx="1992">
                  <c:v>53248</c:v>
                </c:pt>
                <c:pt idx="1993">
                  <c:v>53255</c:v>
                </c:pt>
                <c:pt idx="1994">
                  <c:v>53262</c:v>
                </c:pt>
                <c:pt idx="1995">
                  <c:v>53269</c:v>
                </c:pt>
                <c:pt idx="1996">
                  <c:v>53276</c:v>
                </c:pt>
                <c:pt idx="1997">
                  <c:v>53283</c:v>
                </c:pt>
                <c:pt idx="1998">
                  <c:v>53290</c:v>
                </c:pt>
                <c:pt idx="1999">
                  <c:v>53297</c:v>
                </c:pt>
                <c:pt idx="2000">
                  <c:v>53304</c:v>
                </c:pt>
                <c:pt idx="2001">
                  <c:v>53311</c:v>
                </c:pt>
                <c:pt idx="2002">
                  <c:v>53318</c:v>
                </c:pt>
                <c:pt idx="2003">
                  <c:v>53325</c:v>
                </c:pt>
                <c:pt idx="2004">
                  <c:v>53332</c:v>
                </c:pt>
                <c:pt idx="2005">
                  <c:v>53339</c:v>
                </c:pt>
                <c:pt idx="2006">
                  <c:v>53346</c:v>
                </c:pt>
                <c:pt idx="2007">
                  <c:v>53353</c:v>
                </c:pt>
                <c:pt idx="2008">
                  <c:v>53360</c:v>
                </c:pt>
                <c:pt idx="2009">
                  <c:v>53367</c:v>
                </c:pt>
                <c:pt idx="2010">
                  <c:v>53374</c:v>
                </c:pt>
                <c:pt idx="2011">
                  <c:v>53381</c:v>
                </c:pt>
                <c:pt idx="2012">
                  <c:v>53388</c:v>
                </c:pt>
                <c:pt idx="2013">
                  <c:v>53395</c:v>
                </c:pt>
                <c:pt idx="2014">
                  <c:v>53402</c:v>
                </c:pt>
                <c:pt idx="2015">
                  <c:v>53413</c:v>
                </c:pt>
                <c:pt idx="2016">
                  <c:v>53416</c:v>
                </c:pt>
                <c:pt idx="2017">
                  <c:v>53423</c:v>
                </c:pt>
                <c:pt idx="2018">
                  <c:v>53430</c:v>
                </c:pt>
                <c:pt idx="2019">
                  <c:v>53437</c:v>
                </c:pt>
                <c:pt idx="2020">
                  <c:v>53444</c:v>
                </c:pt>
                <c:pt idx="2021">
                  <c:v>53451</c:v>
                </c:pt>
                <c:pt idx="2022">
                  <c:v>53458</c:v>
                </c:pt>
                <c:pt idx="2023">
                  <c:v>53465</c:v>
                </c:pt>
                <c:pt idx="2024">
                  <c:v>53472</c:v>
                </c:pt>
                <c:pt idx="2025">
                  <c:v>53479</c:v>
                </c:pt>
                <c:pt idx="2026">
                  <c:v>53486</c:v>
                </c:pt>
                <c:pt idx="2027">
                  <c:v>53493</c:v>
                </c:pt>
                <c:pt idx="2028">
                  <c:v>53500</c:v>
                </c:pt>
                <c:pt idx="2029">
                  <c:v>53507</c:v>
                </c:pt>
                <c:pt idx="2030">
                  <c:v>53514</c:v>
                </c:pt>
                <c:pt idx="2031">
                  <c:v>53521</c:v>
                </c:pt>
                <c:pt idx="2032">
                  <c:v>53528</c:v>
                </c:pt>
                <c:pt idx="2033">
                  <c:v>53535</c:v>
                </c:pt>
                <c:pt idx="2034">
                  <c:v>53542</c:v>
                </c:pt>
                <c:pt idx="2035">
                  <c:v>53549</c:v>
                </c:pt>
                <c:pt idx="2036">
                  <c:v>53556</c:v>
                </c:pt>
                <c:pt idx="2037">
                  <c:v>53563</c:v>
                </c:pt>
                <c:pt idx="2038">
                  <c:v>53570</c:v>
                </c:pt>
                <c:pt idx="2039">
                  <c:v>53577</c:v>
                </c:pt>
                <c:pt idx="2040">
                  <c:v>53584</c:v>
                </c:pt>
                <c:pt idx="2041">
                  <c:v>53591</c:v>
                </c:pt>
                <c:pt idx="2042">
                  <c:v>53598</c:v>
                </c:pt>
                <c:pt idx="2043">
                  <c:v>53605</c:v>
                </c:pt>
                <c:pt idx="2044">
                  <c:v>53612</c:v>
                </c:pt>
                <c:pt idx="2045">
                  <c:v>53619</c:v>
                </c:pt>
                <c:pt idx="2046">
                  <c:v>53626</c:v>
                </c:pt>
                <c:pt idx="2047">
                  <c:v>53633</c:v>
                </c:pt>
                <c:pt idx="2048">
                  <c:v>53640</c:v>
                </c:pt>
                <c:pt idx="2049">
                  <c:v>53647</c:v>
                </c:pt>
                <c:pt idx="2050">
                  <c:v>53654</c:v>
                </c:pt>
                <c:pt idx="2051">
                  <c:v>53661</c:v>
                </c:pt>
                <c:pt idx="2052">
                  <c:v>53668</c:v>
                </c:pt>
                <c:pt idx="2053">
                  <c:v>53675</c:v>
                </c:pt>
                <c:pt idx="2054">
                  <c:v>53682</c:v>
                </c:pt>
                <c:pt idx="2055">
                  <c:v>53692</c:v>
                </c:pt>
                <c:pt idx="2056">
                  <c:v>53699</c:v>
                </c:pt>
                <c:pt idx="2057">
                  <c:v>53706</c:v>
                </c:pt>
                <c:pt idx="2058">
                  <c:v>53713</c:v>
                </c:pt>
                <c:pt idx="2059">
                  <c:v>53720</c:v>
                </c:pt>
                <c:pt idx="2060">
                  <c:v>53727</c:v>
                </c:pt>
                <c:pt idx="2061">
                  <c:v>53734</c:v>
                </c:pt>
                <c:pt idx="2062">
                  <c:v>53741</c:v>
                </c:pt>
                <c:pt idx="2063">
                  <c:v>53748</c:v>
                </c:pt>
                <c:pt idx="2064">
                  <c:v>53755</c:v>
                </c:pt>
                <c:pt idx="2065">
                  <c:v>53762</c:v>
                </c:pt>
                <c:pt idx="2066">
                  <c:v>53769</c:v>
                </c:pt>
                <c:pt idx="2067">
                  <c:v>53776</c:v>
                </c:pt>
                <c:pt idx="2068">
                  <c:v>53783</c:v>
                </c:pt>
                <c:pt idx="2069">
                  <c:v>53790</c:v>
                </c:pt>
                <c:pt idx="2070">
                  <c:v>53799</c:v>
                </c:pt>
                <c:pt idx="2071">
                  <c:v>53804</c:v>
                </c:pt>
                <c:pt idx="2072">
                  <c:v>53811</c:v>
                </c:pt>
                <c:pt idx="2073">
                  <c:v>53819</c:v>
                </c:pt>
                <c:pt idx="2074">
                  <c:v>53825</c:v>
                </c:pt>
                <c:pt idx="2075">
                  <c:v>53832</c:v>
                </c:pt>
                <c:pt idx="2076">
                  <c:v>53840</c:v>
                </c:pt>
                <c:pt idx="2077">
                  <c:v>53847</c:v>
                </c:pt>
                <c:pt idx="2078">
                  <c:v>53853</c:v>
                </c:pt>
                <c:pt idx="2079">
                  <c:v>53860</c:v>
                </c:pt>
                <c:pt idx="2080">
                  <c:v>53867</c:v>
                </c:pt>
                <c:pt idx="2081">
                  <c:v>53874</c:v>
                </c:pt>
                <c:pt idx="2082">
                  <c:v>53881</c:v>
                </c:pt>
                <c:pt idx="2083">
                  <c:v>53888</c:v>
                </c:pt>
                <c:pt idx="2084">
                  <c:v>53895</c:v>
                </c:pt>
                <c:pt idx="2085">
                  <c:v>53902</c:v>
                </c:pt>
                <c:pt idx="2086">
                  <c:v>53909</c:v>
                </c:pt>
                <c:pt idx="2087">
                  <c:v>53916</c:v>
                </c:pt>
                <c:pt idx="2088">
                  <c:v>53923</c:v>
                </c:pt>
                <c:pt idx="2089">
                  <c:v>53931</c:v>
                </c:pt>
                <c:pt idx="2090">
                  <c:v>53937</c:v>
                </c:pt>
                <c:pt idx="2091">
                  <c:v>53944</c:v>
                </c:pt>
                <c:pt idx="2092">
                  <c:v>53951</c:v>
                </c:pt>
                <c:pt idx="2093">
                  <c:v>53958</c:v>
                </c:pt>
                <c:pt idx="2094">
                  <c:v>53965</c:v>
                </c:pt>
                <c:pt idx="2095">
                  <c:v>53972</c:v>
                </c:pt>
                <c:pt idx="2096">
                  <c:v>53979</c:v>
                </c:pt>
                <c:pt idx="2097">
                  <c:v>53986</c:v>
                </c:pt>
                <c:pt idx="2098">
                  <c:v>53993</c:v>
                </c:pt>
                <c:pt idx="2099">
                  <c:v>54000</c:v>
                </c:pt>
                <c:pt idx="2100">
                  <c:v>54007</c:v>
                </c:pt>
                <c:pt idx="2101">
                  <c:v>54014</c:v>
                </c:pt>
                <c:pt idx="2102">
                  <c:v>54021</c:v>
                </c:pt>
                <c:pt idx="2103">
                  <c:v>54028</c:v>
                </c:pt>
                <c:pt idx="2104">
                  <c:v>54035</c:v>
                </c:pt>
                <c:pt idx="2105">
                  <c:v>54042</c:v>
                </c:pt>
                <c:pt idx="2106">
                  <c:v>54049</c:v>
                </c:pt>
                <c:pt idx="2107">
                  <c:v>54057</c:v>
                </c:pt>
                <c:pt idx="2108">
                  <c:v>54064</c:v>
                </c:pt>
                <c:pt idx="2109">
                  <c:v>54071</c:v>
                </c:pt>
                <c:pt idx="2110">
                  <c:v>54078</c:v>
                </c:pt>
                <c:pt idx="2111">
                  <c:v>54085</c:v>
                </c:pt>
                <c:pt idx="2112">
                  <c:v>54092</c:v>
                </c:pt>
                <c:pt idx="2113">
                  <c:v>54099</c:v>
                </c:pt>
                <c:pt idx="2114">
                  <c:v>54106</c:v>
                </c:pt>
                <c:pt idx="2115">
                  <c:v>54113</c:v>
                </c:pt>
                <c:pt idx="2116">
                  <c:v>54120</c:v>
                </c:pt>
                <c:pt idx="2117">
                  <c:v>54127</c:v>
                </c:pt>
                <c:pt idx="2118">
                  <c:v>54134</c:v>
                </c:pt>
                <c:pt idx="2119">
                  <c:v>54141</c:v>
                </c:pt>
                <c:pt idx="2120">
                  <c:v>54148</c:v>
                </c:pt>
                <c:pt idx="2121">
                  <c:v>54157</c:v>
                </c:pt>
                <c:pt idx="2122">
                  <c:v>54164</c:v>
                </c:pt>
                <c:pt idx="2123">
                  <c:v>54171</c:v>
                </c:pt>
                <c:pt idx="2124">
                  <c:v>54178</c:v>
                </c:pt>
                <c:pt idx="2125">
                  <c:v>54185</c:v>
                </c:pt>
                <c:pt idx="2126">
                  <c:v>54193</c:v>
                </c:pt>
                <c:pt idx="2127">
                  <c:v>54199</c:v>
                </c:pt>
                <c:pt idx="2128">
                  <c:v>54206</c:v>
                </c:pt>
                <c:pt idx="2129">
                  <c:v>54213</c:v>
                </c:pt>
                <c:pt idx="2130">
                  <c:v>54220</c:v>
                </c:pt>
                <c:pt idx="2131">
                  <c:v>54227</c:v>
                </c:pt>
                <c:pt idx="2132">
                  <c:v>54234</c:v>
                </c:pt>
                <c:pt idx="2133">
                  <c:v>54241</c:v>
                </c:pt>
                <c:pt idx="2134">
                  <c:v>54248</c:v>
                </c:pt>
                <c:pt idx="2135">
                  <c:v>54255</c:v>
                </c:pt>
                <c:pt idx="2136">
                  <c:v>54262</c:v>
                </c:pt>
                <c:pt idx="2137">
                  <c:v>54269</c:v>
                </c:pt>
                <c:pt idx="2138">
                  <c:v>54276</c:v>
                </c:pt>
                <c:pt idx="2139">
                  <c:v>54283</c:v>
                </c:pt>
                <c:pt idx="2140">
                  <c:v>54290</c:v>
                </c:pt>
                <c:pt idx="2141">
                  <c:v>54297</c:v>
                </c:pt>
                <c:pt idx="2142">
                  <c:v>54304</c:v>
                </c:pt>
                <c:pt idx="2143">
                  <c:v>54311</c:v>
                </c:pt>
                <c:pt idx="2144">
                  <c:v>54318</c:v>
                </c:pt>
                <c:pt idx="2145">
                  <c:v>54325</c:v>
                </c:pt>
                <c:pt idx="2146">
                  <c:v>54332</c:v>
                </c:pt>
                <c:pt idx="2147">
                  <c:v>54339</c:v>
                </c:pt>
                <c:pt idx="2148">
                  <c:v>54346</c:v>
                </c:pt>
                <c:pt idx="2149">
                  <c:v>54353</c:v>
                </c:pt>
                <c:pt idx="2150">
                  <c:v>54360</c:v>
                </c:pt>
                <c:pt idx="2151">
                  <c:v>54367</c:v>
                </c:pt>
                <c:pt idx="2152">
                  <c:v>54374</c:v>
                </c:pt>
                <c:pt idx="2153">
                  <c:v>54381</c:v>
                </c:pt>
                <c:pt idx="2154">
                  <c:v>54388</c:v>
                </c:pt>
                <c:pt idx="2155">
                  <c:v>54395</c:v>
                </c:pt>
                <c:pt idx="2156">
                  <c:v>54402</c:v>
                </c:pt>
                <c:pt idx="2157">
                  <c:v>54409</c:v>
                </c:pt>
                <c:pt idx="2158">
                  <c:v>54416</c:v>
                </c:pt>
                <c:pt idx="2159">
                  <c:v>54423</c:v>
                </c:pt>
                <c:pt idx="2160">
                  <c:v>54430</c:v>
                </c:pt>
                <c:pt idx="2161">
                  <c:v>54437</c:v>
                </c:pt>
                <c:pt idx="2162">
                  <c:v>54444</c:v>
                </c:pt>
                <c:pt idx="2163">
                  <c:v>54451</c:v>
                </c:pt>
                <c:pt idx="2164">
                  <c:v>54458</c:v>
                </c:pt>
                <c:pt idx="2165">
                  <c:v>54465</c:v>
                </c:pt>
                <c:pt idx="2166">
                  <c:v>54472</c:v>
                </c:pt>
                <c:pt idx="2167">
                  <c:v>54479</c:v>
                </c:pt>
                <c:pt idx="2168">
                  <c:v>54486</c:v>
                </c:pt>
                <c:pt idx="2169">
                  <c:v>54493</c:v>
                </c:pt>
                <c:pt idx="2170">
                  <c:v>54500</c:v>
                </c:pt>
                <c:pt idx="2171">
                  <c:v>54507</c:v>
                </c:pt>
                <c:pt idx="2172">
                  <c:v>54514</c:v>
                </c:pt>
                <c:pt idx="2173">
                  <c:v>54521</c:v>
                </c:pt>
                <c:pt idx="2174">
                  <c:v>54528</c:v>
                </c:pt>
                <c:pt idx="2175">
                  <c:v>54535</c:v>
                </c:pt>
                <c:pt idx="2176">
                  <c:v>54542</c:v>
                </c:pt>
                <c:pt idx="2177">
                  <c:v>54549</c:v>
                </c:pt>
                <c:pt idx="2178">
                  <c:v>54556</c:v>
                </c:pt>
                <c:pt idx="2179">
                  <c:v>54563</c:v>
                </c:pt>
                <c:pt idx="2180">
                  <c:v>54571</c:v>
                </c:pt>
                <c:pt idx="2181">
                  <c:v>54577</c:v>
                </c:pt>
                <c:pt idx="2182">
                  <c:v>54584</c:v>
                </c:pt>
                <c:pt idx="2183">
                  <c:v>54591</c:v>
                </c:pt>
                <c:pt idx="2184">
                  <c:v>54598</c:v>
                </c:pt>
                <c:pt idx="2185">
                  <c:v>54605</c:v>
                </c:pt>
                <c:pt idx="2186">
                  <c:v>54612</c:v>
                </c:pt>
                <c:pt idx="2187">
                  <c:v>54619</c:v>
                </c:pt>
                <c:pt idx="2188">
                  <c:v>54626</c:v>
                </c:pt>
                <c:pt idx="2189">
                  <c:v>54633</c:v>
                </c:pt>
                <c:pt idx="2190">
                  <c:v>54640</c:v>
                </c:pt>
                <c:pt idx="2191">
                  <c:v>54647</c:v>
                </c:pt>
                <c:pt idx="2192">
                  <c:v>54654</c:v>
                </c:pt>
                <c:pt idx="2193">
                  <c:v>54661</c:v>
                </c:pt>
                <c:pt idx="2194">
                  <c:v>54668</c:v>
                </c:pt>
                <c:pt idx="2195">
                  <c:v>54675</c:v>
                </c:pt>
                <c:pt idx="2196">
                  <c:v>54682</c:v>
                </c:pt>
                <c:pt idx="2197">
                  <c:v>54689</c:v>
                </c:pt>
                <c:pt idx="2198">
                  <c:v>54696</c:v>
                </c:pt>
                <c:pt idx="2199">
                  <c:v>54703</c:v>
                </c:pt>
                <c:pt idx="2200">
                  <c:v>54710</c:v>
                </c:pt>
                <c:pt idx="2201">
                  <c:v>54717</c:v>
                </c:pt>
                <c:pt idx="2202">
                  <c:v>54724</c:v>
                </c:pt>
                <c:pt idx="2203">
                  <c:v>54731</c:v>
                </c:pt>
                <c:pt idx="2204">
                  <c:v>54738</c:v>
                </c:pt>
                <c:pt idx="2205">
                  <c:v>54745</c:v>
                </c:pt>
                <c:pt idx="2206">
                  <c:v>54752</c:v>
                </c:pt>
                <c:pt idx="2207">
                  <c:v>54759</c:v>
                </c:pt>
                <c:pt idx="2208">
                  <c:v>54766</c:v>
                </c:pt>
                <c:pt idx="2209">
                  <c:v>54773</c:v>
                </c:pt>
                <c:pt idx="2210">
                  <c:v>54780</c:v>
                </c:pt>
                <c:pt idx="2211">
                  <c:v>54788</c:v>
                </c:pt>
                <c:pt idx="2212">
                  <c:v>54795</c:v>
                </c:pt>
                <c:pt idx="2213">
                  <c:v>54802</c:v>
                </c:pt>
                <c:pt idx="2214">
                  <c:v>54809</c:v>
                </c:pt>
                <c:pt idx="2215">
                  <c:v>54816</c:v>
                </c:pt>
                <c:pt idx="2216">
                  <c:v>54823</c:v>
                </c:pt>
                <c:pt idx="2217">
                  <c:v>54830</c:v>
                </c:pt>
                <c:pt idx="2218">
                  <c:v>54837</c:v>
                </c:pt>
                <c:pt idx="2219">
                  <c:v>54844</c:v>
                </c:pt>
                <c:pt idx="2220">
                  <c:v>54851</c:v>
                </c:pt>
                <c:pt idx="2221">
                  <c:v>54858</c:v>
                </c:pt>
                <c:pt idx="2222">
                  <c:v>54865</c:v>
                </c:pt>
                <c:pt idx="2223">
                  <c:v>54872</c:v>
                </c:pt>
                <c:pt idx="2224">
                  <c:v>54879</c:v>
                </c:pt>
                <c:pt idx="2225">
                  <c:v>54890</c:v>
                </c:pt>
                <c:pt idx="2226">
                  <c:v>54893</c:v>
                </c:pt>
                <c:pt idx="2227">
                  <c:v>54900</c:v>
                </c:pt>
                <c:pt idx="2228">
                  <c:v>54907</c:v>
                </c:pt>
                <c:pt idx="2229">
                  <c:v>54914</c:v>
                </c:pt>
                <c:pt idx="2230">
                  <c:v>54921</c:v>
                </c:pt>
                <c:pt idx="2231">
                  <c:v>54928</c:v>
                </c:pt>
                <c:pt idx="2232">
                  <c:v>54935</c:v>
                </c:pt>
                <c:pt idx="2233">
                  <c:v>54942</c:v>
                </c:pt>
                <c:pt idx="2234">
                  <c:v>54949</c:v>
                </c:pt>
                <c:pt idx="2235">
                  <c:v>54956</c:v>
                </c:pt>
                <c:pt idx="2236">
                  <c:v>54963</c:v>
                </c:pt>
                <c:pt idx="2237">
                  <c:v>54970</c:v>
                </c:pt>
                <c:pt idx="2238">
                  <c:v>54977</c:v>
                </c:pt>
                <c:pt idx="2239">
                  <c:v>54984</c:v>
                </c:pt>
                <c:pt idx="2240">
                  <c:v>54991</c:v>
                </c:pt>
                <c:pt idx="2241">
                  <c:v>54998</c:v>
                </c:pt>
                <c:pt idx="2242">
                  <c:v>55005</c:v>
                </c:pt>
                <c:pt idx="2243">
                  <c:v>55012</c:v>
                </c:pt>
                <c:pt idx="2244">
                  <c:v>55019</c:v>
                </c:pt>
                <c:pt idx="2245">
                  <c:v>55026</c:v>
                </c:pt>
                <c:pt idx="2246">
                  <c:v>55033</c:v>
                </c:pt>
                <c:pt idx="2247">
                  <c:v>55040</c:v>
                </c:pt>
                <c:pt idx="2248">
                  <c:v>55047</c:v>
                </c:pt>
                <c:pt idx="2249">
                  <c:v>55054</c:v>
                </c:pt>
                <c:pt idx="2250">
                  <c:v>55061</c:v>
                </c:pt>
                <c:pt idx="2251">
                  <c:v>55068</c:v>
                </c:pt>
                <c:pt idx="2252">
                  <c:v>55075</c:v>
                </c:pt>
                <c:pt idx="2253">
                  <c:v>55082</c:v>
                </c:pt>
                <c:pt idx="2254">
                  <c:v>55089</c:v>
                </c:pt>
                <c:pt idx="2255">
                  <c:v>55096</c:v>
                </c:pt>
                <c:pt idx="2256">
                  <c:v>55103</c:v>
                </c:pt>
                <c:pt idx="2257">
                  <c:v>55110</c:v>
                </c:pt>
                <c:pt idx="2258">
                  <c:v>55117</c:v>
                </c:pt>
                <c:pt idx="2259">
                  <c:v>55124</c:v>
                </c:pt>
                <c:pt idx="2260">
                  <c:v>55131</c:v>
                </c:pt>
                <c:pt idx="2261">
                  <c:v>55138</c:v>
                </c:pt>
                <c:pt idx="2262">
                  <c:v>55145</c:v>
                </c:pt>
                <c:pt idx="2263">
                  <c:v>55152</c:v>
                </c:pt>
                <c:pt idx="2264">
                  <c:v>55159</c:v>
                </c:pt>
                <c:pt idx="2265">
                  <c:v>55166</c:v>
                </c:pt>
                <c:pt idx="2266">
                  <c:v>55173</c:v>
                </c:pt>
                <c:pt idx="2267">
                  <c:v>55180</c:v>
                </c:pt>
                <c:pt idx="2268">
                  <c:v>55187</c:v>
                </c:pt>
                <c:pt idx="2269">
                  <c:v>55194</c:v>
                </c:pt>
                <c:pt idx="2270">
                  <c:v>55201</c:v>
                </c:pt>
                <c:pt idx="2271">
                  <c:v>55208</c:v>
                </c:pt>
                <c:pt idx="2272">
                  <c:v>55215</c:v>
                </c:pt>
                <c:pt idx="2273">
                  <c:v>55222</c:v>
                </c:pt>
                <c:pt idx="2274">
                  <c:v>55229</c:v>
                </c:pt>
                <c:pt idx="2275">
                  <c:v>55236</c:v>
                </c:pt>
                <c:pt idx="2276">
                  <c:v>55247</c:v>
                </c:pt>
                <c:pt idx="2277">
                  <c:v>55250</c:v>
                </c:pt>
                <c:pt idx="2278">
                  <c:v>55257</c:v>
                </c:pt>
                <c:pt idx="2279">
                  <c:v>55264</c:v>
                </c:pt>
                <c:pt idx="2280">
                  <c:v>55271</c:v>
                </c:pt>
                <c:pt idx="2281">
                  <c:v>55278</c:v>
                </c:pt>
                <c:pt idx="2282">
                  <c:v>55285</c:v>
                </c:pt>
                <c:pt idx="2283">
                  <c:v>55292</c:v>
                </c:pt>
                <c:pt idx="2284">
                  <c:v>55299</c:v>
                </c:pt>
                <c:pt idx="2285">
                  <c:v>55306</c:v>
                </c:pt>
                <c:pt idx="2286">
                  <c:v>55313</c:v>
                </c:pt>
                <c:pt idx="2287">
                  <c:v>55320</c:v>
                </c:pt>
                <c:pt idx="2288">
                  <c:v>55327</c:v>
                </c:pt>
                <c:pt idx="2289">
                  <c:v>55334</c:v>
                </c:pt>
                <c:pt idx="2290">
                  <c:v>55341</c:v>
                </c:pt>
                <c:pt idx="2291">
                  <c:v>55348</c:v>
                </c:pt>
                <c:pt idx="2292">
                  <c:v>55355</c:v>
                </c:pt>
                <c:pt idx="2293">
                  <c:v>55362</c:v>
                </c:pt>
                <c:pt idx="2294">
                  <c:v>55369</c:v>
                </c:pt>
                <c:pt idx="2295">
                  <c:v>55376</c:v>
                </c:pt>
                <c:pt idx="2296">
                  <c:v>55383</c:v>
                </c:pt>
                <c:pt idx="2297">
                  <c:v>55390</c:v>
                </c:pt>
                <c:pt idx="2298">
                  <c:v>55397</c:v>
                </c:pt>
                <c:pt idx="2299">
                  <c:v>55404</c:v>
                </c:pt>
                <c:pt idx="2300">
                  <c:v>55411</c:v>
                </c:pt>
                <c:pt idx="2301">
                  <c:v>55418</c:v>
                </c:pt>
                <c:pt idx="2302">
                  <c:v>55425</c:v>
                </c:pt>
                <c:pt idx="2303">
                  <c:v>55432</c:v>
                </c:pt>
                <c:pt idx="2304">
                  <c:v>55439</c:v>
                </c:pt>
                <c:pt idx="2305">
                  <c:v>55446</c:v>
                </c:pt>
                <c:pt idx="2306">
                  <c:v>55453</c:v>
                </c:pt>
                <c:pt idx="2307">
                  <c:v>55460</c:v>
                </c:pt>
                <c:pt idx="2308">
                  <c:v>55467</c:v>
                </c:pt>
                <c:pt idx="2309">
                  <c:v>55474</c:v>
                </c:pt>
                <c:pt idx="2310">
                  <c:v>55481</c:v>
                </c:pt>
                <c:pt idx="2311">
                  <c:v>55488</c:v>
                </c:pt>
                <c:pt idx="2312">
                  <c:v>55495</c:v>
                </c:pt>
                <c:pt idx="2313">
                  <c:v>55502</c:v>
                </c:pt>
                <c:pt idx="2314">
                  <c:v>55509</c:v>
                </c:pt>
                <c:pt idx="2315">
                  <c:v>55516</c:v>
                </c:pt>
                <c:pt idx="2316">
                  <c:v>55523</c:v>
                </c:pt>
                <c:pt idx="2317">
                  <c:v>55530</c:v>
                </c:pt>
                <c:pt idx="2318">
                  <c:v>55537</c:v>
                </c:pt>
                <c:pt idx="2319">
                  <c:v>55544</c:v>
                </c:pt>
                <c:pt idx="2320">
                  <c:v>55551</c:v>
                </c:pt>
                <c:pt idx="2321">
                  <c:v>55558</c:v>
                </c:pt>
                <c:pt idx="2322">
                  <c:v>55565</c:v>
                </c:pt>
                <c:pt idx="2323">
                  <c:v>55572</c:v>
                </c:pt>
                <c:pt idx="2324">
                  <c:v>55579</c:v>
                </c:pt>
                <c:pt idx="2325">
                  <c:v>55586</c:v>
                </c:pt>
                <c:pt idx="2326">
                  <c:v>55593</c:v>
                </c:pt>
                <c:pt idx="2327">
                  <c:v>55600</c:v>
                </c:pt>
                <c:pt idx="2328">
                  <c:v>55607</c:v>
                </c:pt>
                <c:pt idx="2329">
                  <c:v>55614</c:v>
                </c:pt>
                <c:pt idx="2330">
                  <c:v>55621</c:v>
                </c:pt>
                <c:pt idx="2331">
                  <c:v>55632</c:v>
                </c:pt>
                <c:pt idx="2332">
                  <c:v>55635</c:v>
                </c:pt>
                <c:pt idx="2333">
                  <c:v>55642</c:v>
                </c:pt>
                <c:pt idx="2334">
                  <c:v>55649</c:v>
                </c:pt>
                <c:pt idx="2335">
                  <c:v>55656</c:v>
                </c:pt>
                <c:pt idx="2336">
                  <c:v>55663</c:v>
                </c:pt>
                <c:pt idx="2337">
                  <c:v>55670</c:v>
                </c:pt>
                <c:pt idx="2338">
                  <c:v>55677</c:v>
                </c:pt>
                <c:pt idx="2339">
                  <c:v>55684</c:v>
                </c:pt>
                <c:pt idx="2340">
                  <c:v>55691</c:v>
                </c:pt>
                <c:pt idx="2341">
                  <c:v>55698</c:v>
                </c:pt>
                <c:pt idx="2342">
                  <c:v>55705</c:v>
                </c:pt>
                <c:pt idx="2343">
                  <c:v>55712</c:v>
                </c:pt>
                <c:pt idx="2344">
                  <c:v>55719</c:v>
                </c:pt>
                <c:pt idx="2345">
                  <c:v>55726</c:v>
                </c:pt>
                <c:pt idx="2346">
                  <c:v>55733</c:v>
                </c:pt>
                <c:pt idx="2347">
                  <c:v>55740</c:v>
                </c:pt>
                <c:pt idx="2348">
                  <c:v>55747</c:v>
                </c:pt>
                <c:pt idx="2349">
                  <c:v>55754</c:v>
                </c:pt>
                <c:pt idx="2350">
                  <c:v>55761</c:v>
                </c:pt>
                <c:pt idx="2351">
                  <c:v>55768</c:v>
                </c:pt>
                <c:pt idx="2352">
                  <c:v>55775</c:v>
                </c:pt>
                <c:pt idx="2353">
                  <c:v>55782</c:v>
                </c:pt>
                <c:pt idx="2354">
                  <c:v>55789</c:v>
                </c:pt>
                <c:pt idx="2355">
                  <c:v>55796</c:v>
                </c:pt>
                <c:pt idx="2356">
                  <c:v>55803</c:v>
                </c:pt>
                <c:pt idx="2357">
                  <c:v>55810</c:v>
                </c:pt>
                <c:pt idx="2358">
                  <c:v>55817</c:v>
                </c:pt>
                <c:pt idx="2359">
                  <c:v>55824</c:v>
                </c:pt>
                <c:pt idx="2360">
                  <c:v>55831</c:v>
                </c:pt>
                <c:pt idx="2361">
                  <c:v>55838</c:v>
                </c:pt>
                <c:pt idx="2362">
                  <c:v>55845</c:v>
                </c:pt>
                <c:pt idx="2363">
                  <c:v>55852</c:v>
                </c:pt>
                <c:pt idx="2364">
                  <c:v>55859</c:v>
                </c:pt>
                <c:pt idx="2365">
                  <c:v>55866</c:v>
                </c:pt>
                <c:pt idx="2366">
                  <c:v>55873</c:v>
                </c:pt>
                <c:pt idx="2367">
                  <c:v>55884</c:v>
                </c:pt>
                <c:pt idx="2368">
                  <c:v>55891</c:v>
                </c:pt>
                <c:pt idx="2369">
                  <c:v>55898</c:v>
                </c:pt>
                <c:pt idx="2370">
                  <c:v>55905</c:v>
                </c:pt>
                <c:pt idx="2371">
                  <c:v>55912</c:v>
                </c:pt>
                <c:pt idx="2372">
                  <c:v>55919</c:v>
                </c:pt>
                <c:pt idx="2373">
                  <c:v>55926</c:v>
                </c:pt>
                <c:pt idx="2374">
                  <c:v>55933</c:v>
                </c:pt>
                <c:pt idx="2375">
                  <c:v>55940</c:v>
                </c:pt>
                <c:pt idx="2376">
                  <c:v>55947</c:v>
                </c:pt>
                <c:pt idx="2377">
                  <c:v>55954</c:v>
                </c:pt>
                <c:pt idx="2378">
                  <c:v>55961</c:v>
                </c:pt>
                <c:pt idx="2379">
                  <c:v>55968</c:v>
                </c:pt>
                <c:pt idx="2380">
                  <c:v>55975</c:v>
                </c:pt>
                <c:pt idx="2381">
                  <c:v>55984</c:v>
                </c:pt>
                <c:pt idx="2382">
                  <c:v>55991</c:v>
                </c:pt>
                <c:pt idx="2383">
                  <c:v>55998</c:v>
                </c:pt>
                <c:pt idx="2384">
                  <c:v>56006</c:v>
                </c:pt>
                <c:pt idx="2385">
                  <c:v>56012</c:v>
                </c:pt>
                <c:pt idx="2386">
                  <c:v>56020</c:v>
                </c:pt>
                <c:pt idx="2387">
                  <c:v>56026</c:v>
                </c:pt>
                <c:pt idx="2388">
                  <c:v>56033</c:v>
                </c:pt>
                <c:pt idx="2389">
                  <c:v>56040</c:v>
                </c:pt>
                <c:pt idx="2390">
                  <c:v>56047</c:v>
                </c:pt>
                <c:pt idx="2391">
                  <c:v>56054</c:v>
                </c:pt>
                <c:pt idx="2392">
                  <c:v>56061</c:v>
                </c:pt>
                <c:pt idx="2393">
                  <c:v>56068</c:v>
                </c:pt>
                <c:pt idx="2394">
                  <c:v>56075</c:v>
                </c:pt>
                <c:pt idx="2395">
                  <c:v>56082</c:v>
                </c:pt>
                <c:pt idx="2396">
                  <c:v>56089</c:v>
                </c:pt>
                <c:pt idx="2397">
                  <c:v>56096</c:v>
                </c:pt>
                <c:pt idx="2398">
                  <c:v>56103</c:v>
                </c:pt>
                <c:pt idx="2399">
                  <c:v>56110</c:v>
                </c:pt>
                <c:pt idx="2400">
                  <c:v>56117</c:v>
                </c:pt>
                <c:pt idx="2401">
                  <c:v>56124</c:v>
                </c:pt>
                <c:pt idx="2402">
                  <c:v>56131</c:v>
                </c:pt>
                <c:pt idx="2403">
                  <c:v>56138</c:v>
                </c:pt>
                <c:pt idx="2404">
                  <c:v>56145</c:v>
                </c:pt>
                <c:pt idx="2405">
                  <c:v>56152</c:v>
                </c:pt>
                <c:pt idx="2406">
                  <c:v>56159</c:v>
                </c:pt>
                <c:pt idx="2407">
                  <c:v>56166</c:v>
                </c:pt>
                <c:pt idx="2408">
                  <c:v>56173</c:v>
                </c:pt>
                <c:pt idx="2409">
                  <c:v>56180</c:v>
                </c:pt>
                <c:pt idx="2410">
                  <c:v>56187</c:v>
                </c:pt>
                <c:pt idx="2411">
                  <c:v>56194</c:v>
                </c:pt>
                <c:pt idx="2412">
                  <c:v>56201</c:v>
                </c:pt>
                <c:pt idx="2413">
                  <c:v>56208</c:v>
                </c:pt>
                <c:pt idx="2414">
                  <c:v>56215</c:v>
                </c:pt>
                <c:pt idx="2415">
                  <c:v>56222</c:v>
                </c:pt>
                <c:pt idx="2416">
                  <c:v>56229</c:v>
                </c:pt>
                <c:pt idx="2417">
                  <c:v>56236</c:v>
                </c:pt>
                <c:pt idx="2418">
                  <c:v>56247</c:v>
                </c:pt>
                <c:pt idx="2419">
                  <c:v>56254</c:v>
                </c:pt>
                <c:pt idx="2420">
                  <c:v>56257</c:v>
                </c:pt>
                <c:pt idx="2421">
                  <c:v>56264</c:v>
                </c:pt>
                <c:pt idx="2422">
                  <c:v>56271</c:v>
                </c:pt>
                <c:pt idx="2423">
                  <c:v>56278</c:v>
                </c:pt>
                <c:pt idx="2424">
                  <c:v>56285</c:v>
                </c:pt>
                <c:pt idx="2425">
                  <c:v>56292</c:v>
                </c:pt>
                <c:pt idx="2426">
                  <c:v>56299</c:v>
                </c:pt>
                <c:pt idx="2427">
                  <c:v>56306</c:v>
                </c:pt>
                <c:pt idx="2428">
                  <c:v>56313</c:v>
                </c:pt>
                <c:pt idx="2429">
                  <c:v>56320</c:v>
                </c:pt>
                <c:pt idx="2430">
                  <c:v>56327</c:v>
                </c:pt>
                <c:pt idx="2431">
                  <c:v>56334</c:v>
                </c:pt>
                <c:pt idx="2432">
                  <c:v>56341</c:v>
                </c:pt>
                <c:pt idx="2433">
                  <c:v>56348</c:v>
                </c:pt>
                <c:pt idx="2434">
                  <c:v>56355</c:v>
                </c:pt>
                <c:pt idx="2435">
                  <c:v>56362</c:v>
                </c:pt>
                <c:pt idx="2436">
                  <c:v>56369</c:v>
                </c:pt>
                <c:pt idx="2437">
                  <c:v>56377</c:v>
                </c:pt>
                <c:pt idx="2438">
                  <c:v>56383</c:v>
                </c:pt>
                <c:pt idx="2439">
                  <c:v>56390</c:v>
                </c:pt>
                <c:pt idx="2440">
                  <c:v>56397</c:v>
                </c:pt>
                <c:pt idx="2441">
                  <c:v>56404</c:v>
                </c:pt>
                <c:pt idx="2442">
                  <c:v>56411</c:v>
                </c:pt>
                <c:pt idx="2443">
                  <c:v>56418</c:v>
                </c:pt>
                <c:pt idx="2444">
                  <c:v>56425</c:v>
                </c:pt>
                <c:pt idx="2445">
                  <c:v>56432</c:v>
                </c:pt>
                <c:pt idx="2446">
                  <c:v>56439</c:v>
                </c:pt>
                <c:pt idx="2447">
                  <c:v>56446</c:v>
                </c:pt>
                <c:pt idx="2448">
                  <c:v>56453</c:v>
                </c:pt>
                <c:pt idx="2449">
                  <c:v>56460</c:v>
                </c:pt>
                <c:pt idx="2450">
                  <c:v>56467</c:v>
                </c:pt>
                <c:pt idx="2451">
                  <c:v>56474</c:v>
                </c:pt>
                <c:pt idx="2452">
                  <c:v>56481</c:v>
                </c:pt>
                <c:pt idx="2453">
                  <c:v>56488</c:v>
                </c:pt>
                <c:pt idx="2454">
                  <c:v>56495</c:v>
                </c:pt>
                <c:pt idx="2455">
                  <c:v>56502</c:v>
                </c:pt>
                <c:pt idx="2456">
                  <c:v>56509</c:v>
                </c:pt>
                <c:pt idx="2457">
                  <c:v>56516</c:v>
                </c:pt>
                <c:pt idx="2458">
                  <c:v>56523</c:v>
                </c:pt>
                <c:pt idx="2459">
                  <c:v>56530</c:v>
                </c:pt>
                <c:pt idx="2460">
                  <c:v>56537</c:v>
                </c:pt>
                <c:pt idx="2461">
                  <c:v>56544</c:v>
                </c:pt>
                <c:pt idx="2462">
                  <c:v>56551</c:v>
                </c:pt>
                <c:pt idx="2463">
                  <c:v>56558</c:v>
                </c:pt>
                <c:pt idx="2464">
                  <c:v>56565</c:v>
                </c:pt>
                <c:pt idx="2465">
                  <c:v>56572</c:v>
                </c:pt>
                <c:pt idx="2466">
                  <c:v>56579</c:v>
                </c:pt>
                <c:pt idx="2467">
                  <c:v>56586</c:v>
                </c:pt>
                <c:pt idx="2468">
                  <c:v>56593</c:v>
                </c:pt>
                <c:pt idx="2469">
                  <c:v>56600</c:v>
                </c:pt>
                <c:pt idx="2470">
                  <c:v>56607</c:v>
                </c:pt>
                <c:pt idx="2471">
                  <c:v>56614</c:v>
                </c:pt>
                <c:pt idx="2472">
                  <c:v>56621</c:v>
                </c:pt>
                <c:pt idx="2473">
                  <c:v>56628</c:v>
                </c:pt>
                <c:pt idx="2474">
                  <c:v>56635</c:v>
                </c:pt>
                <c:pt idx="2475">
                  <c:v>56642</c:v>
                </c:pt>
                <c:pt idx="2476">
                  <c:v>56649</c:v>
                </c:pt>
                <c:pt idx="2477">
                  <c:v>56656</c:v>
                </c:pt>
                <c:pt idx="2478">
                  <c:v>56663</c:v>
                </c:pt>
                <c:pt idx="2479">
                  <c:v>56670</c:v>
                </c:pt>
                <c:pt idx="2480">
                  <c:v>56677</c:v>
                </c:pt>
                <c:pt idx="2481">
                  <c:v>56684</c:v>
                </c:pt>
                <c:pt idx="2482">
                  <c:v>56691</c:v>
                </c:pt>
                <c:pt idx="2483">
                  <c:v>56698</c:v>
                </c:pt>
                <c:pt idx="2484">
                  <c:v>56705</c:v>
                </c:pt>
                <c:pt idx="2485">
                  <c:v>56712</c:v>
                </c:pt>
                <c:pt idx="2486">
                  <c:v>56719</c:v>
                </c:pt>
                <c:pt idx="2487">
                  <c:v>56726</c:v>
                </c:pt>
                <c:pt idx="2488">
                  <c:v>56733</c:v>
                </c:pt>
                <c:pt idx="2489">
                  <c:v>56740</c:v>
                </c:pt>
                <c:pt idx="2490">
                  <c:v>56747</c:v>
                </c:pt>
                <c:pt idx="2491">
                  <c:v>56754</c:v>
                </c:pt>
                <c:pt idx="2492">
                  <c:v>56762</c:v>
                </c:pt>
                <c:pt idx="2493">
                  <c:v>56768</c:v>
                </c:pt>
                <c:pt idx="2494">
                  <c:v>56775</c:v>
                </c:pt>
                <c:pt idx="2495">
                  <c:v>56782</c:v>
                </c:pt>
                <c:pt idx="2496">
                  <c:v>56789</c:v>
                </c:pt>
                <c:pt idx="2497">
                  <c:v>56796</c:v>
                </c:pt>
                <c:pt idx="2498">
                  <c:v>56803</c:v>
                </c:pt>
                <c:pt idx="2499">
                  <c:v>56810</c:v>
                </c:pt>
                <c:pt idx="2500">
                  <c:v>56817</c:v>
                </c:pt>
                <c:pt idx="2501">
                  <c:v>56824</c:v>
                </c:pt>
                <c:pt idx="2502">
                  <c:v>56831</c:v>
                </c:pt>
                <c:pt idx="2503">
                  <c:v>56838</c:v>
                </c:pt>
                <c:pt idx="2504">
                  <c:v>56845</c:v>
                </c:pt>
                <c:pt idx="2505">
                  <c:v>56852</c:v>
                </c:pt>
                <c:pt idx="2506">
                  <c:v>56859</c:v>
                </c:pt>
                <c:pt idx="2507">
                  <c:v>56866</c:v>
                </c:pt>
                <c:pt idx="2508">
                  <c:v>56873</c:v>
                </c:pt>
                <c:pt idx="2509">
                  <c:v>56880</c:v>
                </c:pt>
                <c:pt idx="2510">
                  <c:v>56887</c:v>
                </c:pt>
                <c:pt idx="2511">
                  <c:v>56894</c:v>
                </c:pt>
                <c:pt idx="2512">
                  <c:v>56901</c:v>
                </c:pt>
                <c:pt idx="2513">
                  <c:v>56908</c:v>
                </c:pt>
                <c:pt idx="2514">
                  <c:v>56915</c:v>
                </c:pt>
                <c:pt idx="2515">
                  <c:v>56922</c:v>
                </c:pt>
                <c:pt idx="2516">
                  <c:v>56929</c:v>
                </c:pt>
                <c:pt idx="2517">
                  <c:v>56936</c:v>
                </c:pt>
                <c:pt idx="2518">
                  <c:v>56943</c:v>
                </c:pt>
                <c:pt idx="2519">
                  <c:v>56950</c:v>
                </c:pt>
                <c:pt idx="2520">
                  <c:v>56957</c:v>
                </c:pt>
                <c:pt idx="2521">
                  <c:v>56964</c:v>
                </c:pt>
                <c:pt idx="2522">
                  <c:v>56971</c:v>
                </c:pt>
                <c:pt idx="2523">
                  <c:v>56979</c:v>
                </c:pt>
                <c:pt idx="2524">
                  <c:v>56986</c:v>
                </c:pt>
                <c:pt idx="2525">
                  <c:v>56993</c:v>
                </c:pt>
                <c:pt idx="2526">
                  <c:v>57000</c:v>
                </c:pt>
                <c:pt idx="2527">
                  <c:v>57007</c:v>
                </c:pt>
                <c:pt idx="2528">
                  <c:v>57014</c:v>
                </c:pt>
                <c:pt idx="2529">
                  <c:v>57021</c:v>
                </c:pt>
                <c:pt idx="2530">
                  <c:v>57028</c:v>
                </c:pt>
                <c:pt idx="2531">
                  <c:v>57035</c:v>
                </c:pt>
                <c:pt idx="2532">
                  <c:v>57042</c:v>
                </c:pt>
                <c:pt idx="2533">
                  <c:v>57049</c:v>
                </c:pt>
                <c:pt idx="2534">
                  <c:v>57056</c:v>
                </c:pt>
                <c:pt idx="2535">
                  <c:v>57063</c:v>
                </c:pt>
                <c:pt idx="2536">
                  <c:v>57074</c:v>
                </c:pt>
                <c:pt idx="2537">
                  <c:v>57077</c:v>
                </c:pt>
                <c:pt idx="2538">
                  <c:v>57084</c:v>
                </c:pt>
                <c:pt idx="2539">
                  <c:v>57091</c:v>
                </c:pt>
                <c:pt idx="2540">
                  <c:v>57098</c:v>
                </c:pt>
                <c:pt idx="2541">
                  <c:v>57105</c:v>
                </c:pt>
                <c:pt idx="2542">
                  <c:v>57112</c:v>
                </c:pt>
                <c:pt idx="2543">
                  <c:v>57119</c:v>
                </c:pt>
                <c:pt idx="2544">
                  <c:v>57126</c:v>
                </c:pt>
                <c:pt idx="2545">
                  <c:v>57133</c:v>
                </c:pt>
                <c:pt idx="2546">
                  <c:v>57140</c:v>
                </c:pt>
                <c:pt idx="2547">
                  <c:v>57147</c:v>
                </c:pt>
                <c:pt idx="2548">
                  <c:v>57154</c:v>
                </c:pt>
                <c:pt idx="2549">
                  <c:v>57161</c:v>
                </c:pt>
                <c:pt idx="2550">
                  <c:v>57168</c:v>
                </c:pt>
                <c:pt idx="2551">
                  <c:v>57175</c:v>
                </c:pt>
                <c:pt idx="2552">
                  <c:v>57182</c:v>
                </c:pt>
                <c:pt idx="2553">
                  <c:v>57189</c:v>
                </c:pt>
                <c:pt idx="2554">
                  <c:v>57196</c:v>
                </c:pt>
                <c:pt idx="2555">
                  <c:v>57203</c:v>
                </c:pt>
                <c:pt idx="2556">
                  <c:v>57210</c:v>
                </c:pt>
                <c:pt idx="2557">
                  <c:v>57217</c:v>
                </c:pt>
                <c:pt idx="2558">
                  <c:v>57224</c:v>
                </c:pt>
                <c:pt idx="2559">
                  <c:v>57231</c:v>
                </c:pt>
                <c:pt idx="2560">
                  <c:v>57238</c:v>
                </c:pt>
                <c:pt idx="2561">
                  <c:v>57245</c:v>
                </c:pt>
                <c:pt idx="2562">
                  <c:v>57252</c:v>
                </c:pt>
                <c:pt idx="2563">
                  <c:v>57259</c:v>
                </c:pt>
                <c:pt idx="2564">
                  <c:v>57266</c:v>
                </c:pt>
                <c:pt idx="2565">
                  <c:v>57273</c:v>
                </c:pt>
                <c:pt idx="2566">
                  <c:v>57280</c:v>
                </c:pt>
                <c:pt idx="2567">
                  <c:v>57287</c:v>
                </c:pt>
                <c:pt idx="2568">
                  <c:v>57294</c:v>
                </c:pt>
                <c:pt idx="2569">
                  <c:v>57301</c:v>
                </c:pt>
                <c:pt idx="2570">
                  <c:v>57308</c:v>
                </c:pt>
                <c:pt idx="2571">
                  <c:v>57315</c:v>
                </c:pt>
                <c:pt idx="2572">
                  <c:v>57322</c:v>
                </c:pt>
                <c:pt idx="2573">
                  <c:v>57329</c:v>
                </c:pt>
                <c:pt idx="2574">
                  <c:v>57336</c:v>
                </c:pt>
                <c:pt idx="2575">
                  <c:v>57343</c:v>
                </c:pt>
                <c:pt idx="2576">
                  <c:v>57350</c:v>
                </c:pt>
                <c:pt idx="2577">
                  <c:v>57357</c:v>
                </c:pt>
                <c:pt idx="2578">
                  <c:v>57364</c:v>
                </c:pt>
                <c:pt idx="2579">
                  <c:v>57371</c:v>
                </c:pt>
                <c:pt idx="2580">
                  <c:v>57378</c:v>
                </c:pt>
                <c:pt idx="2581">
                  <c:v>57385</c:v>
                </c:pt>
                <c:pt idx="2582">
                  <c:v>57392</c:v>
                </c:pt>
                <c:pt idx="2583">
                  <c:v>57399</c:v>
                </c:pt>
                <c:pt idx="2584">
                  <c:v>57406</c:v>
                </c:pt>
                <c:pt idx="2585">
                  <c:v>57413</c:v>
                </c:pt>
                <c:pt idx="2586">
                  <c:v>57420</c:v>
                </c:pt>
                <c:pt idx="2587">
                  <c:v>57427</c:v>
                </c:pt>
                <c:pt idx="2588">
                  <c:v>57434</c:v>
                </c:pt>
                <c:pt idx="2589">
                  <c:v>57441</c:v>
                </c:pt>
                <c:pt idx="2590">
                  <c:v>57448</c:v>
                </c:pt>
                <c:pt idx="2591">
                  <c:v>57459</c:v>
                </c:pt>
                <c:pt idx="2592">
                  <c:v>57462</c:v>
                </c:pt>
                <c:pt idx="2593">
                  <c:v>57469</c:v>
                </c:pt>
                <c:pt idx="2594">
                  <c:v>57476</c:v>
                </c:pt>
                <c:pt idx="2595">
                  <c:v>57483</c:v>
                </c:pt>
                <c:pt idx="2596">
                  <c:v>57490</c:v>
                </c:pt>
                <c:pt idx="2597">
                  <c:v>57497</c:v>
                </c:pt>
                <c:pt idx="2598">
                  <c:v>57504</c:v>
                </c:pt>
                <c:pt idx="2599">
                  <c:v>57511</c:v>
                </c:pt>
                <c:pt idx="2600">
                  <c:v>57518</c:v>
                </c:pt>
                <c:pt idx="2601">
                  <c:v>57525</c:v>
                </c:pt>
                <c:pt idx="2602">
                  <c:v>57532</c:v>
                </c:pt>
                <c:pt idx="2603">
                  <c:v>57539</c:v>
                </c:pt>
                <c:pt idx="2604">
                  <c:v>57546</c:v>
                </c:pt>
                <c:pt idx="2605">
                  <c:v>57553</c:v>
                </c:pt>
                <c:pt idx="2606">
                  <c:v>57560</c:v>
                </c:pt>
                <c:pt idx="2607">
                  <c:v>57567</c:v>
                </c:pt>
                <c:pt idx="2608">
                  <c:v>57574</c:v>
                </c:pt>
                <c:pt idx="2609">
                  <c:v>57581</c:v>
                </c:pt>
                <c:pt idx="2610">
                  <c:v>57588</c:v>
                </c:pt>
                <c:pt idx="2611">
                  <c:v>57595</c:v>
                </c:pt>
                <c:pt idx="2612">
                  <c:v>57602</c:v>
                </c:pt>
                <c:pt idx="2613">
                  <c:v>57609</c:v>
                </c:pt>
                <c:pt idx="2614">
                  <c:v>57616</c:v>
                </c:pt>
                <c:pt idx="2615">
                  <c:v>57623</c:v>
                </c:pt>
                <c:pt idx="2616">
                  <c:v>57630</c:v>
                </c:pt>
                <c:pt idx="2617">
                  <c:v>57637</c:v>
                </c:pt>
                <c:pt idx="2618">
                  <c:v>57644</c:v>
                </c:pt>
                <c:pt idx="2619">
                  <c:v>57651</c:v>
                </c:pt>
                <c:pt idx="2620">
                  <c:v>57658</c:v>
                </c:pt>
                <c:pt idx="2621">
                  <c:v>57665</c:v>
                </c:pt>
                <c:pt idx="2622">
                  <c:v>57672</c:v>
                </c:pt>
                <c:pt idx="2623">
                  <c:v>57679</c:v>
                </c:pt>
                <c:pt idx="2624">
                  <c:v>57686</c:v>
                </c:pt>
                <c:pt idx="2625">
                  <c:v>57693</c:v>
                </c:pt>
                <c:pt idx="2626">
                  <c:v>57700</c:v>
                </c:pt>
                <c:pt idx="2627">
                  <c:v>57710</c:v>
                </c:pt>
                <c:pt idx="2628">
                  <c:v>57717</c:v>
                </c:pt>
                <c:pt idx="2629">
                  <c:v>57724</c:v>
                </c:pt>
                <c:pt idx="2630">
                  <c:v>57731</c:v>
                </c:pt>
                <c:pt idx="2631">
                  <c:v>57738</c:v>
                </c:pt>
                <c:pt idx="2632">
                  <c:v>57745</c:v>
                </c:pt>
                <c:pt idx="2633">
                  <c:v>57752</c:v>
                </c:pt>
                <c:pt idx="2634">
                  <c:v>57759</c:v>
                </c:pt>
                <c:pt idx="2635">
                  <c:v>57766</c:v>
                </c:pt>
                <c:pt idx="2636">
                  <c:v>57773</c:v>
                </c:pt>
                <c:pt idx="2637">
                  <c:v>57780</c:v>
                </c:pt>
                <c:pt idx="2638">
                  <c:v>57787</c:v>
                </c:pt>
                <c:pt idx="2639">
                  <c:v>57794</c:v>
                </c:pt>
                <c:pt idx="2640">
                  <c:v>57801</c:v>
                </c:pt>
                <c:pt idx="2641">
                  <c:v>57808</c:v>
                </c:pt>
                <c:pt idx="2642">
                  <c:v>57817</c:v>
                </c:pt>
                <c:pt idx="2643">
                  <c:v>57822</c:v>
                </c:pt>
                <c:pt idx="2644">
                  <c:v>57829</c:v>
                </c:pt>
                <c:pt idx="2645">
                  <c:v>57837</c:v>
                </c:pt>
                <c:pt idx="2646">
                  <c:v>57843</c:v>
                </c:pt>
                <c:pt idx="2647">
                  <c:v>57850</c:v>
                </c:pt>
                <c:pt idx="2648">
                  <c:v>57858</c:v>
                </c:pt>
                <c:pt idx="2649">
                  <c:v>57865</c:v>
                </c:pt>
                <c:pt idx="2650">
                  <c:v>57871</c:v>
                </c:pt>
                <c:pt idx="2651">
                  <c:v>57878</c:v>
                </c:pt>
                <c:pt idx="2652">
                  <c:v>57885</c:v>
                </c:pt>
                <c:pt idx="2653">
                  <c:v>57892</c:v>
                </c:pt>
                <c:pt idx="2654">
                  <c:v>57899</c:v>
                </c:pt>
                <c:pt idx="2655">
                  <c:v>57906</c:v>
                </c:pt>
                <c:pt idx="2656">
                  <c:v>57913</c:v>
                </c:pt>
                <c:pt idx="2657">
                  <c:v>57920</c:v>
                </c:pt>
                <c:pt idx="2658">
                  <c:v>57927</c:v>
                </c:pt>
                <c:pt idx="2659">
                  <c:v>57934</c:v>
                </c:pt>
                <c:pt idx="2660">
                  <c:v>57941</c:v>
                </c:pt>
                <c:pt idx="2661">
                  <c:v>57949</c:v>
                </c:pt>
                <c:pt idx="2662">
                  <c:v>57955</c:v>
                </c:pt>
                <c:pt idx="2663">
                  <c:v>57962</c:v>
                </c:pt>
                <c:pt idx="2664">
                  <c:v>57969</c:v>
                </c:pt>
                <c:pt idx="2665">
                  <c:v>57976</c:v>
                </c:pt>
                <c:pt idx="2666">
                  <c:v>57983</c:v>
                </c:pt>
                <c:pt idx="2667">
                  <c:v>57990</c:v>
                </c:pt>
                <c:pt idx="2668">
                  <c:v>57997</c:v>
                </c:pt>
                <c:pt idx="2669">
                  <c:v>58004</c:v>
                </c:pt>
                <c:pt idx="2670">
                  <c:v>58011</c:v>
                </c:pt>
                <c:pt idx="2671">
                  <c:v>58018</c:v>
                </c:pt>
                <c:pt idx="2672">
                  <c:v>58025</c:v>
                </c:pt>
                <c:pt idx="2673">
                  <c:v>58032</c:v>
                </c:pt>
                <c:pt idx="2674">
                  <c:v>58039</c:v>
                </c:pt>
                <c:pt idx="2675">
                  <c:v>58046</c:v>
                </c:pt>
                <c:pt idx="2676">
                  <c:v>58053</c:v>
                </c:pt>
                <c:pt idx="2677">
                  <c:v>58060</c:v>
                </c:pt>
                <c:pt idx="2678">
                  <c:v>58067</c:v>
                </c:pt>
                <c:pt idx="2679">
                  <c:v>58075</c:v>
                </c:pt>
                <c:pt idx="2680">
                  <c:v>58082</c:v>
                </c:pt>
                <c:pt idx="2681">
                  <c:v>58089</c:v>
                </c:pt>
                <c:pt idx="2682">
                  <c:v>58096</c:v>
                </c:pt>
                <c:pt idx="2683">
                  <c:v>58103</c:v>
                </c:pt>
                <c:pt idx="2684">
                  <c:v>58110</c:v>
                </c:pt>
                <c:pt idx="2685">
                  <c:v>58117</c:v>
                </c:pt>
                <c:pt idx="2686">
                  <c:v>58124</c:v>
                </c:pt>
                <c:pt idx="2687">
                  <c:v>58131</c:v>
                </c:pt>
                <c:pt idx="2688">
                  <c:v>58138</c:v>
                </c:pt>
                <c:pt idx="2689">
                  <c:v>58145</c:v>
                </c:pt>
                <c:pt idx="2690">
                  <c:v>58152</c:v>
                </c:pt>
                <c:pt idx="2691">
                  <c:v>58159</c:v>
                </c:pt>
                <c:pt idx="2692">
                  <c:v>58168</c:v>
                </c:pt>
                <c:pt idx="2693">
                  <c:v>58175</c:v>
                </c:pt>
                <c:pt idx="2694">
                  <c:v>58182</c:v>
                </c:pt>
                <c:pt idx="2695">
                  <c:v>58189</c:v>
                </c:pt>
                <c:pt idx="2696">
                  <c:v>58197</c:v>
                </c:pt>
                <c:pt idx="2697">
                  <c:v>58204</c:v>
                </c:pt>
                <c:pt idx="2698">
                  <c:v>58210</c:v>
                </c:pt>
                <c:pt idx="2699">
                  <c:v>58217</c:v>
                </c:pt>
                <c:pt idx="2700">
                  <c:v>58224</c:v>
                </c:pt>
                <c:pt idx="2701">
                  <c:v>58231</c:v>
                </c:pt>
                <c:pt idx="2702">
                  <c:v>58238</c:v>
                </c:pt>
                <c:pt idx="2703">
                  <c:v>58245</c:v>
                </c:pt>
                <c:pt idx="2704">
                  <c:v>58252</c:v>
                </c:pt>
                <c:pt idx="2705">
                  <c:v>58259</c:v>
                </c:pt>
                <c:pt idx="2706">
                  <c:v>58266</c:v>
                </c:pt>
                <c:pt idx="2707">
                  <c:v>58273</c:v>
                </c:pt>
                <c:pt idx="2708">
                  <c:v>58280</c:v>
                </c:pt>
                <c:pt idx="2709">
                  <c:v>58287</c:v>
                </c:pt>
                <c:pt idx="2710">
                  <c:v>58294</c:v>
                </c:pt>
                <c:pt idx="2711">
                  <c:v>58301</c:v>
                </c:pt>
                <c:pt idx="2712">
                  <c:v>58308</c:v>
                </c:pt>
                <c:pt idx="2713">
                  <c:v>58315</c:v>
                </c:pt>
                <c:pt idx="2714">
                  <c:v>58322</c:v>
                </c:pt>
                <c:pt idx="2715">
                  <c:v>58329</c:v>
                </c:pt>
                <c:pt idx="2716">
                  <c:v>58336</c:v>
                </c:pt>
                <c:pt idx="2717">
                  <c:v>58343</c:v>
                </c:pt>
                <c:pt idx="2718">
                  <c:v>58350</c:v>
                </c:pt>
                <c:pt idx="2719">
                  <c:v>58357</c:v>
                </c:pt>
                <c:pt idx="2720">
                  <c:v>58364</c:v>
                </c:pt>
                <c:pt idx="2721">
                  <c:v>58371</c:v>
                </c:pt>
                <c:pt idx="2722">
                  <c:v>58378</c:v>
                </c:pt>
                <c:pt idx="2723">
                  <c:v>58385</c:v>
                </c:pt>
                <c:pt idx="2724">
                  <c:v>58392</c:v>
                </c:pt>
                <c:pt idx="2725">
                  <c:v>58399</c:v>
                </c:pt>
                <c:pt idx="2726">
                  <c:v>58406</c:v>
                </c:pt>
                <c:pt idx="2727">
                  <c:v>58413</c:v>
                </c:pt>
                <c:pt idx="2728">
                  <c:v>58420</c:v>
                </c:pt>
                <c:pt idx="2729">
                  <c:v>58427</c:v>
                </c:pt>
                <c:pt idx="2730">
                  <c:v>58438</c:v>
                </c:pt>
                <c:pt idx="2731">
                  <c:v>58445</c:v>
                </c:pt>
                <c:pt idx="2732">
                  <c:v>58448</c:v>
                </c:pt>
                <c:pt idx="2733">
                  <c:v>58455</c:v>
                </c:pt>
                <c:pt idx="2734">
                  <c:v>58462</c:v>
                </c:pt>
                <c:pt idx="2735">
                  <c:v>58469</c:v>
                </c:pt>
                <c:pt idx="2736">
                  <c:v>58476</c:v>
                </c:pt>
                <c:pt idx="2737">
                  <c:v>58483</c:v>
                </c:pt>
                <c:pt idx="2738">
                  <c:v>58490</c:v>
                </c:pt>
                <c:pt idx="2739">
                  <c:v>58497</c:v>
                </c:pt>
                <c:pt idx="2740">
                  <c:v>58504</c:v>
                </c:pt>
                <c:pt idx="2741">
                  <c:v>58511</c:v>
                </c:pt>
                <c:pt idx="2742">
                  <c:v>58518</c:v>
                </c:pt>
                <c:pt idx="2743">
                  <c:v>58525</c:v>
                </c:pt>
                <c:pt idx="2744">
                  <c:v>58532</c:v>
                </c:pt>
                <c:pt idx="2745">
                  <c:v>58539</c:v>
                </c:pt>
                <c:pt idx="2746">
                  <c:v>58546</c:v>
                </c:pt>
                <c:pt idx="2747">
                  <c:v>58553</c:v>
                </c:pt>
                <c:pt idx="2748">
                  <c:v>58560</c:v>
                </c:pt>
                <c:pt idx="2749">
                  <c:v>58567</c:v>
                </c:pt>
                <c:pt idx="2750">
                  <c:v>58574</c:v>
                </c:pt>
                <c:pt idx="2751">
                  <c:v>58581</c:v>
                </c:pt>
                <c:pt idx="2752">
                  <c:v>58589</c:v>
                </c:pt>
                <c:pt idx="2753">
                  <c:v>58595</c:v>
                </c:pt>
                <c:pt idx="2754">
                  <c:v>58602</c:v>
                </c:pt>
                <c:pt idx="2755">
                  <c:v>58609</c:v>
                </c:pt>
                <c:pt idx="2756">
                  <c:v>58616</c:v>
                </c:pt>
                <c:pt idx="2757">
                  <c:v>58623</c:v>
                </c:pt>
                <c:pt idx="2758">
                  <c:v>58630</c:v>
                </c:pt>
                <c:pt idx="2759">
                  <c:v>58637</c:v>
                </c:pt>
                <c:pt idx="2760">
                  <c:v>58644</c:v>
                </c:pt>
                <c:pt idx="2761">
                  <c:v>58651</c:v>
                </c:pt>
                <c:pt idx="2762">
                  <c:v>58658</c:v>
                </c:pt>
                <c:pt idx="2763">
                  <c:v>58665</c:v>
                </c:pt>
                <c:pt idx="2764">
                  <c:v>58672</c:v>
                </c:pt>
                <c:pt idx="2765">
                  <c:v>58679</c:v>
                </c:pt>
                <c:pt idx="2766">
                  <c:v>58686</c:v>
                </c:pt>
                <c:pt idx="2767">
                  <c:v>58693</c:v>
                </c:pt>
                <c:pt idx="2768">
                  <c:v>58700</c:v>
                </c:pt>
                <c:pt idx="2769">
                  <c:v>58707</c:v>
                </c:pt>
                <c:pt idx="2770">
                  <c:v>58714</c:v>
                </c:pt>
                <c:pt idx="2771">
                  <c:v>58721</c:v>
                </c:pt>
                <c:pt idx="2772">
                  <c:v>58728</c:v>
                </c:pt>
                <c:pt idx="2773">
                  <c:v>58735</c:v>
                </c:pt>
                <c:pt idx="2774">
                  <c:v>58742</c:v>
                </c:pt>
                <c:pt idx="2775">
                  <c:v>58749</c:v>
                </c:pt>
                <c:pt idx="2776">
                  <c:v>58756</c:v>
                </c:pt>
                <c:pt idx="2777">
                  <c:v>58763</c:v>
                </c:pt>
                <c:pt idx="2778">
                  <c:v>58770</c:v>
                </c:pt>
                <c:pt idx="2779">
                  <c:v>58777</c:v>
                </c:pt>
                <c:pt idx="2780">
                  <c:v>58784</c:v>
                </c:pt>
                <c:pt idx="2781">
                  <c:v>58791</c:v>
                </c:pt>
                <c:pt idx="2782">
                  <c:v>58798</c:v>
                </c:pt>
                <c:pt idx="2783">
                  <c:v>58806</c:v>
                </c:pt>
                <c:pt idx="2784">
                  <c:v>58813</c:v>
                </c:pt>
                <c:pt idx="2785">
                  <c:v>58820</c:v>
                </c:pt>
                <c:pt idx="2786">
                  <c:v>58827</c:v>
                </c:pt>
                <c:pt idx="2787">
                  <c:v>58834</c:v>
                </c:pt>
                <c:pt idx="2788">
                  <c:v>58841</c:v>
                </c:pt>
                <c:pt idx="2789">
                  <c:v>58848</c:v>
                </c:pt>
                <c:pt idx="2790">
                  <c:v>58855</c:v>
                </c:pt>
                <c:pt idx="2791">
                  <c:v>58862</c:v>
                </c:pt>
                <c:pt idx="2792">
                  <c:v>58869</c:v>
                </c:pt>
                <c:pt idx="2793">
                  <c:v>58876</c:v>
                </c:pt>
                <c:pt idx="2794">
                  <c:v>58883</c:v>
                </c:pt>
                <c:pt idx="2795">
                  <c:v>58890</c:v>
                </c:pt>
                <c:pt idx="2796">
                  <c:v>58897</c:v>
                </c:pt>
                <c:pt idx="2797">
                  <c:v>58908</c:v>
                </c:pt>
                <c:pt idx="2798">
                  <c:v>58911</c:v>
                </c:pt>
                <c:pt idx="2799">
                  <c:v>58918</c:v>
                </c:pt>
                <c:pt idx="2800">
                  <c:v>58925</c:v>
                </c:pt>
                <c:pt idx="2801">
                  <c:v>58932</c:v>
                </c:pt>
                <c:pt idx="2802">
                  <c:v>58939</c:v>
                </c:pt>
                <c:pt idx="2803">
                  <c:v>58946</c:v>
                </c:pt>
                <c:pt idx="2804">
                  <c:v>58953</c:v>
                </c:pt>
                <c:pt idx="2805">
                  <c:v>58960</c:v>
                </c:pt>
                <c:pt idx="2806">
                  <c:v>58967</c:v>
                </c:pt>
                <c:pt idx="2807">
                  <c:v>58974</c:v>
                </c:pt>
                <c:pt idx="2808">
                  <c:v>58981</c:v>
                </c:pt>
                <c:pt idx="2809">
                  <c:v>58988</c:v>
                </c:pt>
                <c:pt idx="2810">
                  <c:v>58995</c:v>
                </c:pt>
                <c:pt idx="2811">
                  <c:v>59002</c:v>
                </c:pt>
                <c:pt idx="2812">
                  <c:v>59009</c:v>
                </c:pt>
                <c:pt idx="2813">
                  <c:v>59016</c:v>
                </c:pt>
                <c:pt idx="2814">
                  <c:v>59023</c:v>
                </c:pt>
                <c:pt idx="2815">
                  <c:v>59030</c:v>
                </c:pt>
                <c:pt idx="2816">
                  <c:v>59037</c:v>
                </c:pt>
                <c:pt idx="2817">
                  <c:v>59044</c:v>
                </c:pt>
                <c:pt idx="2818">
                  <c:v>59051</c:v>
                </c:pt>
                <c:pt idx="2819">
                  <c:v>59058</c:v>
                </c:pt>
                <c:pt idx="2820">
                  <c:v>59065</c:v>
                </c:pt>
                <c:pt idx="2821">
                  <c:v>59072</c:v>
                </c:pt>
                <c:pt idx="2822">
                  <c:v>59079</c:v>
                </c:pt>
                <c:pt idx="2823">
                  <c:v>59086</c:v>
                </c:pt>
                <c:pt idx="2824">
                  <c:v>59093</c:v>
                </c:pt>
                <c:pt idx="2825">
                  <c:v>59100</c:v>
                </c:pt>
                <c:pt idx="2826">
                  <c:v>59107</c:v>
                </c:pt>
                <c:pt idx="2827">
                  <c:v>59114</c:v>
                </c:pt>
                <c:pt idx="2828">
                  <c:v>59121</c:v>
                </c:pt>
                <c:pt idx="2829">
                  <c:v>59128</c:v>
                </c:pt>
                <c:pt idx="2830">
                  <c:v>59135</c:v>
                </c:pt>
                <c:pt idx="2831">
                  <c:v>59142</c:v>
                </c:pt>
                <c:pt idx="2832">
                  <c:v>59149</c:v>
                </c:pt>
                <c:pt idx="2833">
                  <c:v>59156</c:v>
                </c:pt>
                <c:pt idx="2834">
                  <c:v>59163</c:v>
                </c:pt>
                <c:pt idx="2835">
                  <c:v>59170</c:v>
                </c:pt>
                <c:pt idx="2836">
                  <c:v>59177</c:v>
                </c:pt>
                <c:pt idx="2837">
                  <c:v>59184</c:v>
                </c:pt>
                <c:pt idx="2838">
                  <c:v>59191</c:v>
                </c:pt>
                <c:pt idx="2839">
                  <c:v>59198</c:v>
                </c:pt>
                <c:pt idx="2840">
                  <c:v>59205</c:v>
                </c:pt>
                <c:pt idx="2841">
                  <c:v>59212</c:v>
                </c:pt>
                <c:pt idx="2842">
                  <c:v>59219</c:v>
                </c:pt>
                <c:pt idx="2843">
                  <c:v>59226</c:v>
                </c:pt>
                <c:pt idx="2844">
                  <c:v>59233</c:v>
                </c:pt>
                <c:pt idx="2845">
                  <c:v>59240</c:v>
                </c:pt>
                <c:pt idx="2846">
                  <c:v>59247</c:v>
                </c:pt>
                <c:pt idx="2847">
                  <c:v>59258</c:v>
                </c:pt>
                <c:pt idx="2848">
                  <c:v>59261</c:v>
                </c:pt>
                <c:pt idx="2849">
                  <c:v>59268</c:v>
                </c:pt>
                <c:pt idx="2850">
                  <c:v>59275</c:v>
                </c:pt>
                <c:pt idx="2851">
                  <c:v>59282</c:v>
                </c:pt>
                <c:pt idx="2852">
                  <c:v>59289</c:v>
                </c:pt>
                <c:pt idx="2853">
                  <c:v>59296</c:v>
                </c:pt>
                <c:pt idx="2854">
                  <c:v>59303</c:v>
                </c:pt>
                <c:pt idx="2855">
                  <c:v>59310</c:v>
                </c:pt>
                <c:pt idx="2856">
                  <c:v>59317</c:v>
                </c:pt>
                <c:pt idx="2857">
                  <c:v>59324</c:v>
                </c:pt>
                <c:pt idx="2858">
                  <c:v>59331</c:v>
                </c:pt>
                <c:pt idx="2859">
                  <c:v>59338</c:v>
                </c:pt>
                <c:pt idx="2860">
                  <c:v>59345</c:v>
                </c:pt>
                <c:pt idx="2861">
                  <c:v>59352</c:v>
                </c:pt>
                <c:pt idx="2862">
                  <c:v>59359</c:v>
                </c:pt>
                <c:pt idx="2863">
                  <c:v>59366</c:v>
                </c:pt>
                <c:pt idx="2864">
                  <c:v>59373</c:v>
                </c:pt>
                <c:pt idx="2865">
                  <c:v>59380</c:v>
                </c:pt>
                <c:pt idx="2866">
                  <c:v>59387</c:v>
                </c:pt>
                <c:pt idx="2867">
                  <c:v>59394</c:v>
                </c:pt>
                <c:pt idx="2868">
                  <c:v>59401</c:v>
                </c:pt>
                <c:pt idx="2869">
                  <c:v>59408</c:v>
                </c:pt>
                <c:pt idx="2870">
                  <c:v>59415</c:v>
                </c:pt>
                <c:pt idx="2871">
                  <c:v>59422</c:v>
                </c:pt>
                <c:pt idx="2872">
                  <c:v>59429</c:v>
                </c:pt>
                <c:pt idx="2873">
                  <c:v>59436</c:v>
                </c:pt>
                <c:pt idx="2874">
                  <c:v>59443</c:v>
                </c:pt>
                <c:pt idx="2875">
                  <c:v>59450</c:v>
                </c:pt>
                <c:pt idx="2876">
                  <c:v>59457</c:v>
                </c:pt>
                <c:pt idx="2877">
                  <c:v>59464</c:v>
                </c:pt>
                <c:pt idx="2878">
                  <c:v>59471</c:v>
                </c:pt>
                <c:pt idx="2879">
                  <c:v>59478</c:v>
                </c:pt>
                <c:pt idx="2880">
                  <c:v>59485</c:v>
                </c:pt>
                <c:pt idx="2881">
                  <c:v>59492</c:v>
                </c:pt>
                <c:pt idx="2882">
                  <c:v>59499</c:v>
                </c:pt>
                <c:pt idx="2883">
                  <c:v>59506</c:v>
                </c:pt>
                <c:pt idx="2884">
                  <c:v>59513</c:v>
                </c:pt>
                <c:pt idx="2885">
                  <c:v>59520</c:v>
                </c:pt>
                <c:pt idx="2886">
                  <c:v>59527</c:v>
                </c:pt>
                <c:pt idx="2887">
                  <c:v>59534</c:v>
                </c:pt>
                <c:pt idx="2888">
                  <c:v>59541</c:v>
                </c:pt>
                <c:pt idx="2889">
                  <c:v>59548</c:v>
                </c:pt>
                <c:pt idx="2890">
                  <c:v>59555</c:v>
                </c:pt>
                <c:pt idx="2891">
                  <c:v>59562</c:v>
                </c:pt>
                <c:pt idx="2892">
                  <c:v>59569</c:v>
                </c:pt>
                <c:pt idx="2893">
                  <c:v>59576</c:v>
                </c:pt>
                <c:pt idx="2894">
                  <c:v>59583</c:v>
                </c:pt>
                <c:pt idx="2895">
                  <c:v>59590</c:v>
                </c:pt>
                <c:pt idx="2896">
                  <c:v>59597</c:v>
                </c:pt>
                <c:pt idx="2897">
                  <c:v>59604</c:v>
                </c:pt>
                <c:pt idx="2898">
                  <c:v>59611</c:v>
                </c:pt>
                <c:pt idx="2899">
                  <c:v>59618</c:v>
                </c:pt>
                <c:pt idx="2900">
                  <c:v>59625</c:v>
                </c:pt>
                <c:pt idx="2901">
                  <c:v>59632</c:v>
                </c:pt>
                <c:pt idx="2902">
                  <c:v>59643</c:v>
                </c:pt>
                <c:pt idx="2903">
                  <c:v>59646</c:v>
                </c:pt>
                <c:pt idx="2904">
                  <c:v>59653</c:v>
                </c:pt>
                <c:pt idx="2905">
                  <c:v>59660</c:v>
                </c:pt>
                <c:pt idx="2906">
                  <c:v>59667</c:v>
                </c:pt>
                <c:pt idx="2907">
                  <c:v>59674</c:v>
                </c:pt>
                <c:pt idx="2908">
                  <c:v>59681</c:v>
                </c:pt>
                <c:pt idx="2909">
                  <c:v>59688</c:v>
                </c:pt>
                <c:pt idx="2910">
                  <c:v>59695</c:v>
                </c:pt>
                <c:pt idx="2911">
                  <c:v>59702</c:v>
                </c:pt>
                <c:pt idx="2912">
                  <c:v>59709</c:v>
                </c:pt>
                <c:pt idx="2913">
                  <c:v>59716</c:v>
                </c:pt>
                <c:pt idx="2914">
                  <c:v>59723</c:v>
                </c:pt>
                <c:pt idx="2915">
                  <c:v>59730</c:v>
                </c:pt>
                <c:pt idx="2916">
                  <c:v>59737</c:v>
                </c:pt>
                <c:pt idx="2917">
                  <c:v>59744</c:v>
                </c:pt>
                <c:pt idx="2918">
                  <c:v>59751</c:v>
                </c:pt>
                <c:pt idx="2919">
                  <c:v>59758</c:v>
                </c:pt>
                <c:pt idx="2920">
                  <c:v>59765</c:v>
                </c:pt>
                <c:pt idx="2921">
                  <c:v>59772</c:v>
                </c:pt>
                <c:pt idx="2922">
                  <c:v>59779</c:v>
                </c:pt>
                <c:pt idx="2923">
                  <c:v>59786</c:v>
                </c:pt>
                <c:pt idx="2924">
                  <c:v>59793</c:v>
                </c:pt>
                <c:pt idx="2925">
                  <c:v>59800</c:v>
                </c:pt>
                <c:pt idx="2926">
                  <c:v>59807</c:v>
                </c:pt>
                <c:pt idx="2927">
                  <c:v>59814</c:v>
                </c:pt>
                <c:pt idx="2928">
                  <c:v>59821</c:v>
                </c:pt>
                <c:pt idx="2929">
                  <c:v>59828</c:v>
                </c:pt>
                <c:pt idx="2930">
                  <c:v>59835</c:v>
                </c:pt>
                <c:pt idx="2931">
                  <c:v>59842</c:v>
                </c:pt>
                <c:pt idx="2932">
                  <c:v>59849</c:v>
                </c:pt>
                <c:pt idx="2933">
                  <c:v>59856</c:v>
                </c:pt>
                <c:pt idx="2934">
                  <c:v>59863</c:v>
                </c:pt>
                <c:pt idx="2935">
                  <c:v>59870</c:v>
                </c:pt>
                <c:pt idx="2936">
                  <c:v>59877</c:v>
                </c:pt>
                <c:pt idx="2937">
                  <c:v>59884</c:v>
                </c:pt>
                <c:pt idx="2938">
                  <c:v>59891</c:v>
                </c:pt>
                <c:pt idx="2939">
                  <c:v>59901</c:v>
                </c:pt>
                <c:pt idx="2940">
                  <c:v>59908</c:v>
                </c:pt>
                <c:pt idx="2941">
                  <c:v>59915</c:v>
                </c:pt>
                <c:pt idx="2942">
                  <c:v>59922</c:v>
                </c:pt>
                <c:pt idx="2943">
                  <c:v>59929</c:v>
                </c:pt>
                <c:pt idx="2944">
                  <c:v>59936</c:v>
                </c:pt>
                <c:pt idx="2945">
                  <c:v>59943</c:v>
                </c:pt>
                <c:pt idx="2946">
                  <c:v>59950</c:v>
                </c:pt>
                <c:pt idx="2947">
                  <c:v>59957</c:v>
                </c:pt>
                <c:pt idx="2948">
                  <c:v>59964</c:v>
                </c:pt>
                <c:pt idx="2949">
                  <c:v>59971</c:v>
                </c:pt>
                <c:pt idx="2950">
                  <c:v>59978</c:v>
                </c:pt>
                <c:pt idx="2951">
                  <c:v>59985</c:v>
                </c:pt>
                <c:pt idx="2952">
                  <c:v>59992</c:v>
                </c:pt>
                <c:pt idx="2953">
                  <c:v>60001</c:v>
                </c:pt>
                <c:pt idx="2954">
                  <c:v>60006</c:v>
                </c:pt>
                <c:pt idx="2955">
                  <c:v>60013</c:v>
                </c:pt>
                <c:pt idx="2956">
                  <c:v>60020</c:v>
                </c:pt>
                <c:pt idx="2957">
                  <c:v>60028</c:v>
                </c:pt>
                <c:pt idx="2958">
                  <c:v>60034</c:v>
                </c:pt>
                <c:pt idx="2959">
                  <c:v>60041</c:v>
                </c:pt>
                <c:pt idx="2960">
                  <c:v>60049</c:v>
                </c:pt>
                <c:pt idx="2961">
                  <c:v>60055</c:v>
                </c:pt>
                <c:pt idx="2962">
                  <c:v>60062</c:v>
                </c:pt>
                <c:pt idx="2963">
                  <c:v>60069</c:v>
                </c:pt>
                <c:pt idx="2964">
                  <c:v>60076</c:v>
                </c:pt>
                <c:pt idx="2965">
                  <c:v>60083</c:v>
                </c:pt>
                <c:pt idx="2966">
                  <c:v>60090</c:v>
                </c:pt>
                <c:pt idx="2967">
                  <c:v>60097</c:v>
                </c:pt>
                <c:pt idx="2968">
                  <c:v>60104</c:v>
                </c:pt>
                <c:pt idx="2969">
                  <c:v>60111</c:v>
                </c:pt>
                <c:pt idx="2970">
                  <c:v>60118</c:v>
                </c:pt>
                <c:pt idx="2971">
                  <c:v>60125</c:v>
                </c:pt>
                <c:pt idx="2972">
                  <c:v>60132</c:v>
                </c:pt>
                <c:pt idx="2973">
                  <c:v>60140</c:v>
                </c:pt>
                <c:pt idx="2974">
                  <c:v>60146</c:v>
                </c:pt>
                <c:pt idx="2975">
                  <c:v>60153</c:v>
                </c:pt>
                <c:pt idx="2976">
                  <c:v>60160</c:v>
                </c:pt>
                <c:pt idx="2977">
                  <c:v>60167</c:v>
                </c:pt>
                <c:pt idx="2978">
                  <c:v>60174</c:v>
                </c:pt>
                <c:pt idx="2979">
                  <c:v>60181</c:v>
                </c:pt>
                <c:pt idx="2980">
                  <c:v>60188</c:v>
                </c:pt>
                <c:pt idx="2981">
                  <c:v>60195</c:v>
                </c:pt>
                <c:pt idx="2982">
                  <c:v>60202</c:v>
                </c:pt>
                <c:pt idx="2983">
                  <c:v>60209</c:v>
                </c:pt>
                <c:pt idx="2984">
                  <c:v>60216</c:v>
                </c:pt>
                <c:pt idx="2985">
                  <c:v>60223</c:v>
                </c:pt>
                <c:pt idx="2986">
                  <c:v>60230</c:v>
                </c:pt>
                <c:pt idx="2987">
                  <c:v>60237</c:v>
                </c:pt>
                <c:pt idx="2988">
                  <c:v>60244</c:v>
                </c:pt>
                <c:pt idx="2989">
                  <c:v>60251</c:v>
                </c:pt>
                <c:pt idx="2990">
                  <c:v>60258</c:v>
                </c:pt>
                <c:pt idx="2991">
                  <c:v>60267</c:v>
                </c:pt>
                <c:pt idx="2992">
                  <c:v>60274</c:v>
                </c:pt>
                <c:pt idx="2993">
                  <c:v>60281</c:v>
                </c:pt>
                <c:pt idx="2994">
                  <c:v>60288</c:v>
                </c:pt>
                <c:pt idx="2995">
                  <c:v>60295</c:v>
                </c:pt>
                <c:pt idx="2996">
                  <c:v>60302</c:v>
                </c:pt>
                <c:pt idx="2997">
                  <c:v>60309</c:v>
                </c:pt>
                <c:pt idx="2998">
                  <c:v>60316</c:v>
                </c:pt>
                <c:pt idx="2999">
                  <c:v>60323</c:v>
                </c:pt>
                <c:pt idx="3000">
                  <c:v>60330</c:v>
                </c:pt>
                <c:pt idx="3001">
                  <c:v>60337</c:v>
                </c:pt>
                <c:pt idx="3002">
                  <c:v>60344</c:v>
                </c:pt>
                <c:pt idx="3003">
                  <c:v>60351</c:v>
                </c:pt>
                <c:pt idx="3004">
                  <c:v>60359</c:v>
                </c:pt>
                <c:pt idx="3005">
                  <c:v>60366</c:v>
                </c:pt>
                <c:pt idx="3006">
                  <c:v>60373</c:v>
                </c:pt>
                <c:pt idx="3007">
                  <c:v>60380</c:v>
                </c:pt>
                <c:pt idx="3008">
                  <c:v>60387</c:v>
                </c:pt>
                <c:pt idx="3009">
                  <c:v>60395</c:v>
                </c:pt>
                <c:pt idx="3010">
                  <c:v>60401</c:v>
                </c:pt>
                <c:pt idx="3011">
                  <c:v>60408</c:v>
                </c:pt>
                <c:pt idx="3012">
                  <c:v>60415</c:v>
                </c:pt>
                <c:pt idx="3013">
                  <c:v>60422</c:v>
                </c:pt>
                <c:pt idx="3014">
                  <c:v>60429</c:v>
                </c:pt>
                <c:pt idx="3015">
                  <c:v>60436</c:v>
                </c:pt>
                <c:pt idx="3016">
                  <c:v>60443</c:v>
                </c:pt>
                <c:pt idx="3017">
                  <c:v>60450</c:v>
                </c:pt>
                <c:pt idx="3018">
                  <c:v>60457</c:v>
                </c:pt>
                <c:pt idx="3019">
                  <c:v>60464</c:v>
                </c:pt>
                <c:pt idx="3020">
                  <c:v>60471</c:v>
                </c:pt>
                <c:pt idx="3021">
                  <c:v>60478</c:v>
                </c:pt>
                <c:pt idx="3022">
                  <c:v>60485</c:v>
                </c:pt>
                <c:pt idx="3023">
                  <c:v>60492</c:v>
                </c:pt>
                <c:pt idx="3024">
                  <c:v>60499</c:v>
                </c:pt>
                <c:pt idx="3025">
                  <c:v>60506</c:v>
                </c:pt>
                <c:pt idx="3026">
                  <c:v>60513</c:v>
                </c:pt>
                <c:pt idx="3027">
                  <c:v>60520</c:v>
                </c:pt>
                <c:pt idx="3028">
                  <c:v>60527</c:v>
                </c:pt>
                <c:pt idx="3029">
                  <c:v>60534</c:v>
                </c:pt>
                <c:pt idx="3030">
                  <c:v>60541</c:v>
                </c:pt>
                <c:pt idx="3031">
                  <c:v>60548</c:v>
                </c:pt>
                <c:pt idx="3032">
                  <c:v>60555</c:v>
                </c:pt>
                <c:pt idx="3033">
                  <c:v>60562</c:v>
                </c:pt>
                <c:pt idx="3034">
                  <c:v>60569</c:v>
                </c:pt>
                <c:pt idx="3035">
                  <c:v>60576</c:v>
                </c:pt>
                <c:pt idx="3036">
                  <c:v>60583</c:v>
                </c:pt>
                <c:pt idx="3037">
                  <c:v>60590</c:v>
                </c:pt>
                <c:pt idx="3038">
                  <c:v>60597</c:v>
                </c:pt>
                <c:pt idx="3039">
                  <c:v>60604</c:v>
                </c:pt>
                <c:pt idx="3040">
                  <c:v>60611</c:v>
                </c:pt>
                <c:pt idx="3041">
                  <c:v>60618</c:v>
                </c:pt>
                <c:pt idx="3042">
                  <c:v>60625</c:v>
                </c:pt>
                <c:pt idx="3043">
                  <c:v>60632</c:v>
                </c:pt>
                <c:pt idx="3044">
                  <c:v>60639</c:v>
                </c:pt>
                <c:pt idx="3045">
                  <c:v>60646</c:v>
                </c:pt>
                <c:pt idx="3046">
                  <c:v>60653</c:v>
                </c:pt>
                <c:pt idx="3047">
                  <c:v>60660</c:v>
                </c:pt>
                <c:pt idx="3048">
                  <c:v>60667</c:v>
                </c:pt>
                <c:pt idx="3049">
                  <c:v>60674</c:v>
                </c:pt>
                <c:pt idx="3050">
                  <c:v>60681</c:v>
                </c:pt>
                <c:pt idx="3051">
                  <c:v>60688</c:v>
                </c:pt>
                <c:pt idx="3052">
                  <c:v>60695</c:v>
                </c:pt>
                <c:pt idx="3053">
                  <c:v>60702</c:v>
                </c:pt>
                <c:pt idx="3054">
                  <c:v>60709</c:v>
                </c:pt>
                <c:pt idx="3055">
                  <c:v>60716</c:v>
                </c:pt>
                <c:pt idx="3056">
                  <c:v>60723</c:v>
                </c:pt>
                <c:pt idx="3057">
                  <c:v>60730</c:v>
                </c:pt>
                <c:pt idx="3058">
                  <c:v>60737</c:v>
                </c:pt>
                <c:pt idx="3059">
                  <c:v>60744</c:v>
                </c:pt>
                <c:pt idx="3060">
                  <c:v>60751</c:v>
                </c:pt>
                <c:pt idx="3061">
                  <c:v>60758</c:v>
                </c:pt>
                <c:pt idx="3062">
                  <c:v>60765</c:v>
                </c:pt>
                <c:pt idx="3063">
                  <c:v>60773</c:v>
                </c:pt>
                <c:pt idx="3064">
                  <c:v>60779</c:v>
                </c:pt>
                <c:pt idx="3065">
                  <c:v>60786</c:v>
                </c:pt>
                <c:pt idx="3066">
                  <c:v>60793</c:v>
                </c:pt>
                <c:pt idx="3067">
                  <c:v>60800</c:v>
                </c:pt>
                <c:pt idx="3068">
                  <c:v>60807</c:v>
                </c:pt>
                <c:pt idx="3069">
                  <c:v>60814</c:v>
                </c:pt>
                <c:pt idx="3070">
                  <c:v>60821</c:v>
                </c:pt>
                <c:pt idx="3071">
                  <c:v>60828</c:v>
                </c:pt>
                <c:pt idx="3072">
                  <c:v>60835</c:v>
                </c:pt>
                <c:pt idx="3073">
                  <c:v>60842</c:v>
                </c:pt>
                <c:pt idx="3074">
                  <c:v>60849</c:v>
                </c:pt>
                <c:pt idx="3075">
                  <c:v>60856</c:v>
                </c:pt>
                <c:pt idx="3076">
                  <c:v>60863</c:v>
                </c:pt>
                <c:pt idx="3077">
                  <c:v>60870</c:v>
                </c:pt>
                <c:pt idx="3078">
                  <c:v>60877</c:v>
                </c:pt>
                <c:pt idx="3079">
                  <c:v>60884</c:v>
                </c:pt>
                <c:pt idx="3080">
                  <c:v>60891</c:v>
                </c:pt>
                <c:pt idx="3081">
                  <c:v>60898</c:v>
                </c:pt>
                <c:pt idx="3082">
                  <c:v>60905</c:v>
                </c:pt>
                <c:pt idx="3083">
                  <c:v>60912</c:v>
                </c:pt>
                <c:pt idx="3084">
                  <c:v>60919</c:v>
                </c:pt>
                <c:pt idx="3085">
                  <c:v>60926</c:v>
                </c:pt>
                <c:pt idx="3086">
                  <c:v>60933</c:v>
                </c:pt>
                <c:pt idx="3087">
                  <c:v>60940</c:v>
                </c:pt>
                <c:pt idx="3088">
                  <c:v>60947</c:v>
                </c:pt>
                <c:pt idx="3089">
                  <c:v>60954</c:v>
                </c:pt>
                <c:pt idx="3090">
                  <c:v>60961</c:v>
                </c:pt>
                <c:pt idx="3091">
                  <c:v>60968</c:v>
                </c:pt>
                <c:pt idx="3092">
                  <c:v>60975</c:v>
                </c:pt>
                <c:pt idx="3093">
                  <c:v>60982</c:v>
                </c:pt>
                <c:pt idx="3094">
                  <c:v>60989</c:v>
                </c:pt>
                <c:pt idx="3095">
                  <c:v>60997</c:v>
                </c:pt>
                <c:pt idx="3096">
                  <c:v>61004</c:v>
                </c:pt>
                <c:pt idx="3097">
                  <c:v>61011</c:v>
                </c:pt>
                <c:pt idx="3098">
                  <c:v>61018</c:v>
                </c:pt>
                <c:pt idx="3099">
                  <c:v>61025</c:v>
                </c:pt>
                <c:pt idx="3100">
                  <c:v>61032</c:v>
                </c:pt>
                <c:pt idx="3101">
                  <c:v>61039</c:v>
                </c:pt>
                <c:pt idx="3102">
                  <c:v>61046</c:v>
                </c:pt>
                <c:pt idx="3103">
                  <c:v>61053</c:v>
                </c:pt>
                <c:pt idx="3104">
                  <c:v>61060</c:v>
                </c:pt>
                <c:pt idx="3105">
                  <c:v>61067</c:v>
                </c:pt>
                <c:pt idx="3106">
                  <c:v>61074</c:v>
                </c:pt>
                <c:pt idx="3107">
                  <c:v>61081</c:v>
                </c:pt>
                <c:pt idx="3108">
                  <c:v>61092</c:v>
                </c:pt>
                <c:pt idx="3109">
                  <c:v>61095</c:v>
                </c:pt>
                <c:pt idx="3110">
                  <c:v>61102</c:v>
                </c:pt>
                <c:pt idx="3111">
                  <c:v>61109</c:v>
                </c:pt>
                <c:pt idx="3112">
                  <c:v>61116</c:v>
                </c:pt>
                <c:pt idx="3113">
                  <c:v>61123</c:v>
                </c:pt>
                <c:pt idx="3114">
                  <c:v>61130</c:v>
                </c:pt>
                <c:pt idx="3115">
                  <c:v>61137</c:v>
                </c:pt>
                <c:pt idx="3116">
                  <c:v>61144</c:v>
                </c:pt>
                <c:pt idx="3117">
                  <c:v>61151</c:v>
                </c:pt>
                <c:pt idx="3118">
                  <c:v>61158</c:v>
                </c:pt>
                <c:pt idx="3119">
                  <c:v>61165</c:v>
                </c:pt>
                <c:pt idx="3120">
                  <c:v>61172</c:v>
                </c:pt>
                <c:pt idx="3121">
                  <c:v>61179</c:v>
                </c:pt>
                <c:pt idx="3122">
                  <c:v>61186</c:v>
                </c:pt>
                <c:pt idx="3123">
                  <c:v>61193</c:v>
                </c:pt>
                <c:pt idx="3124">
                  <c:v>61200</c:v>
                </c:pt>
                <c:pt idx="3125">
                  <c:v>61207</c:v>
                </c:pt>
                <c:pt idx="3126">
                  <c:v>61214</c:v>
                </c:pt>
                <c:pt idx="3127">
                  <c:v>61221</c:v>
                </c:pt>
                <c:pt idx="3128">
                  <c:v>61228</c:v>
                </c:pt>
                <c:pt idx="3129">
                  <c:v>61235</c:v>
                </c:pt>
                <c:pt idx="3130">
                  <c:v>61242</c:v>
                </c:pt>
                <c:pt idx="3131">
                  <c:v>61249</c:v>
                </c:pt>
                <c:pt idx="3132">
                  <c:v>61256</c:v>
                </c:pt>
                <c:pt idx="3133">
                  <c:v>61263</c:v>
                </c:pt>
                <c:pt idx="3134">
                  <c:v>61270</c:v>
                </c:pt>
                <c:pt idx="3135">
                  <c:v>61277</c:v>
                </c:pt>
                <c:pt idx="3136">
                  <c:v>61284</c:v>
                </c:pt>
                <c:pt idx="3137">
                  <c:v>61291</c:v>
                </c:pt>
                <c:pt idx="3138">
                  <c:v>61298</c:v>
                </c:pt>
                <c:pt idx="3139">
                  <c:v>61305</c:v>
                </c:pt>
                <c:pt idx="3140">
                  <c:v>61312</c:v>
                </c:pt>
                <c:pt idx="3141">
                  <c:v>61319</c:v>
                </c:pt>
                <c:pt idx="3142">
                  <c:v>61326</c:v>
                </c:pt>
                <c:pt idx="3143">
                  <c:v>61333</c:v>
                </c:pt>
                <c:pt idx="3144">
                  <c:v>61340</c:v>
                </c:pt>
                <c:pt idx="3145">
                  <c:v>61347</c:v>
                </c:pt>
                <c:pt idx="3146">
                  <c:v>61354</c:v>
                </c:pt>
                <c:pt idx="3147">
                  <c:v>61361</c:v>
                </c:pt>
                <c:pt idx="3148">
                  <c:v>61368</c:v>
                </c:pt>
                <c:pt idx="3149">
                  <c:v>61375</c:v>
                </c:pt>
                <c:pt idx="3150">
                  <c:v>61382</c:v>
                </c:pt>
                <c:pt idx="3151">
                  <c:v>61389</c:v>
                </c:pt>
                <c:pt idx="3152">
                  <c:v>61396</c:v>
                </c:pt>
                <c:pt idx="3153">
                  <c:v>61403</c:v>
                </c:pt>
                <c:pt idx="3154">
                  <c:v>61410</c:v>
                </c:pt>
                <c:pt idx="3155">
                  <c:v>61417</c:v>
                </c:pt>
                <c:pt idx="3156">
                  <c:v>61424</c:v>
                </c:pt>
                <c:pt idx="3157">
                  <c:v>61431</c:v>
                </c:pt>
                <c:pt idx="3158">
                  <c:v>61438</c:v>
                </c:pt>
                <c:pt idx="3159">
                  <c:v>61445</c:v>
                </c:pt>
                <c:pt idx="3160">
                  <c:v>61452</c:v>
                </c:pt>
                <c:pt idx="3161">
                  <c:v>61459</c:v>
                </c:pt>
                <c:pt idx="3162">
                  <c:v>61466</c:v>
                </c:pt>
                <c:pt idx="3163">
                  <c:v>61477</c:v>
                </c:pt>
                <c:pt idx="3164">
                  <c:v>61480</c:v>
                </c:pt>
                <c:pt idx="3165">
                  <c:v>61487</c:v>
                </c:pt>
                <c:pt idx="3166">
                  <c:v>61494</c:v>
                </c:pt>
                <c:pt idx="3167">
                  <c:v>61501</c:v>
                </c:pt>
                <c:pt idx="3168">
                  <c:v>61508</c:v>
                </c:pt>
                <c:pt idx="3169">
                  <c:v>61515</c:v>
                </c:pt>
                <c:pt idx="3170">
                  <c:v>61522</c:v>
                </c:pt>
                <c:pt idx="3171">
                  <c:v>61529</c:v>
                </c:pt>
                <c:pt idx="3172">
                  <c:v>61536</c:v>
                </c:pt>
                <c:pt idx="3173">
                  <c:v>61543</c:v>
                </c:pt>
                <c:pt idx="3174">
                  <c:v>61550</c:v>
                </c:pt>
                <c:pt idx="3175">
                  <c:v>61557</c:v>
                </c:pt>
                <c:pt idx="3176">
                  <c:v>61564</c:v>
                </c:pt>
                <c:pt idx="3177">
                  <c:v>61571</c:v>
                </c:pt>
                <c:pt idx="3178">
                  <c:v>61578</c:v>
                </c:pt>
                <c:pt idx="3179">
                  <c:v>61585</c:v>
                </c:pt>
                <c:pt idx="3180">
                  <c:v>61592</c:v>
                </c:pt>
                <c:pt idx="3181">
                  <c:v>61599</c:v>
                </c:pt>
                <c:pt idx="3182">
                  <c:v>61606</c:v>
                </c:pt>
                <c:pt idx="3183">
                  <c:v>61613</c:v>
                </c:pt>
                <c:pt idx="3184">
                  <c:v>61620</c:v>
                </c:pt>
                <c:pt idx="3185">
                  <c:v>61627</c:v>
                </c:pt>
                <c:pt idx="3186">
                  <c:v>61634</c:v>
                </c:pt>
                <c:pt idx="3187">
                  <c:v>61641</c:v>
                </c:pt>
                <c:pt idx="3188">
                  <c:v>61648</c:v>
                </c:pt>
                <c:pt idx="3189">
                  <c:v>61655</c:v>
                </c:pt>
                <c:pt idx="3190">
                  <c:v>61662</c:v>
                </c:pt>
                <c:pt idx="3191">
                  <c:v>61669</c:v>
                </c:pt>
                <c:pt idx="3192">
                  <c:v>61676</c:v>
                </c:pt>
                <c:pt idx="3193">
                  <c:v>61683</c:v>
                </c:pt>
                <c:pt idx="3194">
                  <c:v>61690</c:v>
                </c:pt>
                <c:pt idx="3195">
                  <c:v>61697</c:v>
                </c:pt>
                <c:pt idx="3196">
                  <c:v>61704</c:v>
                </c:pt>
                <c:pt idx="3197">
                  <c:v>61711</c:v>
                </c:pt>
                <c:pt idx="3198">
                  <c:v>61718</c:v>
                </c:pt>
                <c:pt idx="3199">
                  <c:v>61728</c:v>
                </c:pt>
                <c:pt idx="3200">
                  <c:v>61735</c:v>
                </c:pt>
                <c:pt idx="3201">
                  <c:v>61742</c:v>
                </c:pt>
                <c:pt idx="3202">
                  <c:v>61749</c:v>
                </c:pt>
                <c:pt idx="3203">
                  <c:v>61756</c:v>
                </c:pt>
                <c:pt idx="3204">
                  <c:v>61763</c:v>
                </c:pt>
                <c:pt idx="3205">
                  <c:v>61770</c:v>
                </c:pt>
                <c:pt idx="3206">
                  <c:v>61777</c:v>
                </c:pt>
                <c:pt idx="3207">
                  <c:v>61784</c:v>
                </c:pt>
                <c:pt idx="3208">
                  <c:v>61791</c:v>
                </c:pt>
                <c:pt idx="3209">
                  <c:v>61798</c:v>
                </c:pt>
                <c:pt idx="3210">
                  <c:v>61805</c:v>
                </c:pt>
                <c:pt idx="3211">
                  <c:v>61812</c:v>
                </c:pt>
                <c:pt idx="3212">
                  <c:v>61819</c:v>
                </c:pt>
                <c:pt idx="3213">
                  <c:v>61826</c:v>
                </c:pt>
                <c:pt idx="3214">
                  <c:v>61835</c:v>
                </c:pt>
                <c:pt idx="3215">
                  <c:v>61840</c:v>
                </c:pt>
                <c:pt idx="3216">
                  <c:v>61847</c:v>
                </c:pt>
                <c:pt idx="3217">
                  <c:v>61855</c:v>
                </c:pt>
                <c:pt idx="3218">
                  <c:v>61861</c:v>
                </c:pt>
                <c:pt idx="3219">
                  <c:v>61868</c:v>
                </c:pt>
                <c:pt idx="3220">
                  <c:v>61876</c:v>
                </c:pt>
                <c:pt idx="3221">
                  <c:v>61883</c:v>
                </c:pt>
                <c:pt idx="3222">
                  <c:v>61889</c:v>
                </c:pt>
                <c:pt idx="3223">
                  <c:v>61896</c:v>
                </c:pt>
                <c:pt idx="3224">
                  <c:v>61903</c:v>
                </c:pt>
                <c:pt idx="3225">
                  <c:v>61910</c:v>
                </c:pt>
                <c:pt idx="3226">
                  <c:v>61917</c:v>
                </c:pt>
                <c:pt idx="3227">
                  <c:v>61924</c:v>
                </c:pt>
                <c:pt idx="3228">
                  <c:v>61931</c:v>
                </c:pt>
                <c:pt idx="3229">
                  <c:v>61938</c:v>
                </c:pt>
                <c:pt idx="3230">
                  <c:v>61945</c:v>
                </c:pt>
                <c:pt idx="3231">
                  <c:v>61952</c:v>
                </c:pt>
                <c:pt idx="3232">
                  <c:v>61959</c:v>
                </c:pt>
                <c:pt idx="3233">
                  <c:v>61967</c:v>
                </c:pt>
                <c:pt idx="3234">
                  <c:v>61973</c:v>
                </c:pt>
                <c:pt idx="3235">
                  <c:v>61980</c:v>
                </c:pt>
                <c:pt idx="3236">
                  <c:v>61987</c:v>
                </c:pt>
                <c:pt idx="3237">
                  <c:v>61994</c:v>
                </c:pt>
                <c:pt idx="3238">
                  <c:v>62001</c:v>
                </c:pt>
                <c:pt idx="3239">
                  <c:v>62008</c:v>
                </c:pt>
                <c:pt idx="3240">
                  <c:v>62015</c:v>
                </c:pt>
                <c:pt idx="3241">
                  <c:v>62022</c:v>
                </c:pt>
                <c:pt idx="3242">
                  <c:v>62029</c:v>
                </c:pt>
                <c:pt idx="3243">
                  <c:v>62036</c:v>
                </c:pt>
                <c:pt idx="3244">
                  <c:v>62043</c:v>
                </c:pt>
                <c:pt idx="3245">
                  <c:v>62050</c:v>
                </c:pt>
                <c:pt idx="3246">
                  <c:v>62057</c:v>
                </c:pt>
                <c:pt idx="3247">
                  <c:v>62064</c:v>
                </c:pt>
                <c:pt idx="3248">
                  <c:v>62071</c:v>
                </c:pt>
                <c:pt idx="3249">
                  <c:v>62078</c:v>
                </c:pt>
                <c:pt idx="3250">
                  <c:v>62085</c:v>
                </c:pt>
                <c:pt idx="3251">
                  <c:v>62093</c:v>
                </c:pt>
                <c:pt idx="3252">
                  <c:v>62100</c:v>
                </c:pt>
                <c:pt idx="3253">
                  <c:v>62107</c:v>
                </c:pt>
                <c:pt idx="3254">
                  <c:v>62114</c:v>
                </c:pt>
                <c:pt idx="3255">
                  <c:v>62121</c:v>
                </c:pt>
                <c:pt idx="3256">
                  <c:v>62128</c:v>
                </c:pt>
                <c:pt idx="3257">
                  <c:v>62135</c:v>
                </c:pt>
                <c:pt idx="3258">
                  <c:v>62142</c:v>
                </c:pt>
                <c:pt idx="3259">
                  <c:v>62149</c:v>
                </c:pt>
                <c:pt idx="3260">
                  <c:v>62156</c:v>
                </c:pt>
                <c:pt idx="3261">
                  <c:v>62163</c:v>
                </c:pt>
                <c:pt idx="3262">
                  <c:v>62170</c:v>
                </c:pt>
                <c:pt idx="3263">
                  <c:v>62177</c:v>
                </c:pt>
                <c:pt idx="3264">
                  <c:v>62186</c:v>
                </c:pt>
                <c:pt idx="3265">
                  <c:v>62193</c:v>
                </c:pt>
                <c:pt idx="3266">
                  <c:v>62200</c:v>
                </c:pt>
                <c:pt idx="3267">
                  <c:v>62207</c:v>
                </c:pt>
                <c:pt idx="3268">
                  <c:v>62215</c:v>
                </c:pt>
                <c:pt idx="3269">
                  <c:v>62222</c:v>
                </c:pt>
                <c:pt idx="3270">
                  <c:v>62228</c:v>
                </c:pt>
                <c:pt idx="3271">
                  <c:v>62235</c:v>
                </c:pt>
                <c:pt idx="3272">
                  <c:v>62242</c:v>
                </c:pt>
                <c:pt idx="3273">
                  <c:v>62249</c:v>
                </c:pt>
                <c:pt idx="3274">
                  <c:v>62256</c:v>
                </c:pt>
                <c:pt idx="3275">
                  <c:v>62263</c:v>
                </c:pt>
                <c:pt idx="3276">
                  <c:v>62270</c:v>
                </c:pt>
                <c:pt idx="3277">
                  <c:v>62277</c:v>
                </c:pt>
                <c:pt idx="3278">
                  <c:v>62284</c:v>
                </c:pt>
                <c:pt idx="3279">
                  <c:v>62291</c:v>
                </c:pt>
                <c:pt idx="3280">
                  <c:v>62298</c:v>
                </c:pt>
                <c:pt idx="3281">
                  <c:v>62305</c:v>
                </c:pt>
                <c:pt idx="3282">
                  <c:v>62312</c:v>
                </c:pt>
                <c:pt idx="3283">
                  <c:v>62319</c:v>
                </c:pt>
                <c:pt idx="3284">
                  <c:v>62326</c:v>
                </c:pt>
                <c:pt idx="3285">
                  <c:v>62333</c:v>
                </c:pt>
                <c:pt idx="3286">
                  <c:v>62340</c:v>
                </c:pt>
                <c:pt idx="3287">
                  <c:v>62347</c:v>
                </c:pt>
                <c:pt idx="3288">
                  <c:v>62354</c:v>
                </c:pt>
                <c:pt idx="3289">
                  <c:v>62361</c:v>
                </c:pt>
                <c:pt idx="3290">
                  <c:v>62368</c:v>
                </c:pt>
                <c:pt idx="3291">
                  <c:v>62375</c:v>
                </c:pt>
                <c:pt idx="3292">
                  <c:v>62382</c:v>
                </c:pt>
                <c:pt idx="3293">
                  <c:v>62389</c:v>
                </c:pt>
                <c:pt idx="3294">
                  <c:v>62396</c:v>
                </c:pt>
                <c:pt idx="3295">
                  <c:v>62403</c:v>
                </c:pt>
                <c:pt idx="3296">
                  <c:v>62410</c:v>
                </c:pt>
                <c:pt idx="3297">
                  <c:v>62417</c:v>
                </c:pt>
                <c:pt idx="3298">
                  <c:v>62424</c:v>
                </c:pt>
                <c:pt idx="3299">
                  <c:v>62431</c:v>
                </c:pt>
                <c:pt idx="3300">
                  <c:v>62438</c:v>
                </c:pt>
                <c:pt idx="3301">
                  <c:v>62445</c:v>
                </c:pt>
                <c:pt idx="3302">
                  <c:v>62456</c:v>
                </c:pt>
                <c:pt idx="3303">
                  <c:v>62463</c:v>
                </c:pt>
                <c:pt idx="3304">
                  <c:v>62466</c:v>
                </c:pt>
                <c:pt idx="3305">
                  <c:v>62473</c:v>
                </c:pt>
                <c:pt idx="3306">
                  <c:v>62480</c:v>
                </c:pt>
                <c:pt idx="3307">
                  <c:v>62487</c:v>
                </c:pt>
                <c:pt idx="3308">
                  <c:v>62494</c:v>
                </c:pt>
                <c:pt idx="3309">
                  <c:v>62501</c:v>
                </c:pt>
                <c:pt idx="3310">
                  <c:v>62508</c:v>
                </c:pt>
                <c:pt idx="3311">
                  <c:v>62515</c:v>
                </c:pt>
                <c:pt idx="3312">
                  <c:v>62522</c:v>
                </c:pt>
                <c:pt idx="3313">
                  <c:v>62529</c:v>
                </c:pt>
                <c:pt idx="3314">
                  <c:v>62536</c:v>
                </c:pt>
                <c:pt idx="3315">
                  <c:v>62543</c:v>
                </c:pt>
                <c:pt idx="3316">
                  <c:v>62550</c:v>
                </c:pt>
                <c:pt idx="3317">
                  <c:v>62557</c:v>
                </c:pt>
                <c:pt idx="3318">
                  <c:v>62564</c:v>
                </c:pt>
                <c:pt idx="3319">
                  <c:v>62571</c:v>
                </c:pt>
                <c:pt idx="3320">
                  <c:v>62578</c:v>
                </c:pt>
                <c:pt idx="3321">
                  <c:v>62585</c:v>
                </c:pt>
                <c:pt idx="3322">
                  <c:v>62592</c:v>
                </c:pt>
                <c:pt idx="3323">
                  <c:v>62599</c:v>
                </c:pt>
                <c:pt idx="3324">
                  <c:v>62607</c:v>
                </c:pt>
                <c:pt idx="3325">
                  <c:v>62613</c:v>
                </c:pt>
                <c:pt idx="3326">
                  <c:v>62620</c:v>
                </c:pt>
                <c:pt idx="3327">
                  <c:v>62627</c:v>
                </c:pt>
                <c:pt idx="3328">
                  <c:v>62634</c:v>
                </c:pt>
                <c:pt idx="3329">
                  <c:v>62641</c:v>
                </c:pt>
                <c:pt idx="3330">
                  <c:v>62648</c:v>
                </c:pt>
                <c:pt idx="3331">
                  <c:v>62655</c:v>
                </c:pt>
                <c:pt idx="3332">
                  <c:v>62662</c:v>
                </c:pt>
                <c:pt idx="3333">
                  <c:v>62669</c:v>
                </c:pt>
                <c:pt idx="3334">
                  <c:v>62676</c:v>
                </c:pt>
                <c:pt idx="3335">
                  <c:v>62683</c:v>
                </c:pt>
                <c:pt idx="3336">
                  <c:v>62690</c:v>
                </c:pt>
                <c:pt idx="3337">
                  <c:v>62697</c:v>
                </c:pt>
                <c:pt idx="3338">
                  <c:v>62704</c:v>
                </c:pt>
                <c:pt idx="3339">
                  <c:v>62711</c:v>
                </c:pt>
                <c:pt idx="3340">
                  <c:v>62718</c:v>
                </c:pt>
                <c:pt idx="3341">
                  <c:v>62725</c:v>
                </c:pt>
                <c:pt idx="3342">
                  <c:v>62732</c:v>
                </c:pt>
                <c:pt idx="3343">
                  <c:v>62739</c:v>
                </c:pt>
                <c:pt idx="3344">
                  <c:v>62746</c:v>
                </c:pt>
                <c:pt idx="3345">
                  <c:v>62753</c:v>
                </c:pt>
                <c:pt idx="3346">
                  <c:v>62760</c:v>
                </c:pt>
                <c:pt idx="3347">
                  <c:v>62767</c:v>
                </c:pt>
                <c:pt idx="3348">
                  <c:v>62774</c:v>
                </c:pt>
                <c:pt idx="3349">
                  <c:v>62781</c:v>
                </c:pt>
                <c:pt idx="3350">
                  <c:v>62788</c:v>
                </c:pt>
                <c:pt idx="3351">
                  <c:v>62795</c:v>
                </c:pt>
                <c:pt idx="3352">
                  <c:v>62802</c:v>
                </c:pt>
                <c:pt idx="3353">
                  <c:v>62809</c:v>
                </c:pt>
                <c:pt idx="3354">
                  <c:v>62816</c:v>
                </c:pt>
                <c:pt idx="3355">
                  <c:v>62823</c:v>
                </c:pt>
                <c:pt idx="3356">
                  <c:v>62830</c:v>
                </c:pt>
                <c:pt idx="3357">
                  <c:v>62837</c:v>
                </c:pt>
                <c:pt idx="3358">
                  <c:v>62844</c:v>
                </c:pt>
                <c:pt idx="3359">
                  <c:v>62851</c:v>
                </c:pt>
                <c:pt idx="3360">
                  <c:v>62858</c:v>
                </c:pt>
                <c:pt idx="3361">
                  <c:v>62865</c:v>
                </c:pt>
                <c:pt idx="3362">
                  <c:v>62872</c:v>
                </c:pt>
                <c:pt idx="3363">
                  <c:v>62879</c:v>
                </c:pt>
                <c:pt idx="3364">
                  <c:v>62886</c:v>
                </c:pt>
                <c:pt idx="3365">
                  <c:v>62893</c:v>
                </c:pt>
                <c:pt idx="3366">
                  <c:v>62900</c:v>
                </c:pt>
                <c:pt idx="3367">
                  <c:v>62907</c:v>
                </c:pt>
                <c:pt idx="3368">
                  <c:v>62914</c:v>
                </c:pt>
                <c:pt idx="3369">
                  <c:v>62921</c:v>
                </c:pt>
                <c:pt idx="3370">
                  <c:v>62928</c:v>
                </c:pt>
                <c:pt idx="3371">
                  <c:v>62935</c:v>
                </c:pt>
                <c:pt idx="3372">
                  <c:v>62942</c:v>
                </c:pt>
                <c:pt idx="3373">
                  <c:v>62949</c:v>
                </c:pt>
                <c:pt idx="3374">
                  <c:v>62956</c:v>
                </c:pt>
                <c:pt idx="3375">
                  <c:v>62964</c:v>
                </c:pt>
                <c:pt idx="3376">
                  <c:v>62970</c:v>
                </c:pt>
                <c:pt idx="3377">
                  <c:v>62977</c:v>
                </c:pt>
                <c:pt idx="3378">
                  <c:v>62984</c:v>
                </c:pt>
                <c:pt idx="3379">
                  <c:v>62991</c:v>
                </c:pt>
                <c:pt idx="3380">
                  <c:v>62998</c:v>
                </c:pt>
                <c:pt idx="3381">
                  <c:v>63005</c:v>
                </c:pt>
                <c:pt idx="3382">
                  <c:v>63012</c:v>
                </c:pt>
                <c:pt idx="3383">
                  <c:v>63019</c:v>
                </c:pt>
                <c:pt idx="3384">
                  <c:v>63026</c:v>
                </c:pt>
                <c:pt idx="3385">
                  <c:v>63033</c:v>
                </c:pt>
                <c:pt idx="3386">
                  <c:v>63040</c:v>
                </c:pt>
                <c:pt idx="3387">
                  <c:v>63047</c:v>
                </c:pt>
                <c:pt idx="3388">
                  <c:v>63054</c:v>
                </c:pt>
                <c:pt idx="3389">
                  <c:v>63061</c:v>
                </c:pt>
                <c:pt idx="3390">
                  <c:v>63068</c:v>
                </c:pt>
                <c:pt idx="3391">
                  <c:v>63075</c:v>
                </c:pt>
                <c:pt idx="3392">
                  <c:v>63082</c:v>
                </c:pt>
                <c:pt idx="3393">
                  <c:v>63089</c:v>
                </c:pt>
                <c:pt idx="3394">
                  <c:v>63096</c:v>
                </c:pt>
                <c:pt idx="3395">
                  <c:v>63103</c:v>
                </c:pt>
                <c:pt idx="3396">
                  <c:v>63110</c:v>
                </c:pt>
                <c:pt idx="3397">
                  <c:v>63117</c:v>
                </c:pt>
                <c:pt idx="3398">
                  <c:v>63124</c:v>
                </c:pt>
                <c:pt idx="3399">
                  <c:v>63131</c:v>
                </c:pt>
                <c:pt idx="3400">
                  <c:v>63138</c:v>
                </c:pt>
                <c:pt idx="3401">
                  <c:v>63145</c:v>
                </c:pt>
                <c:pt idx="3402">
                  <c:v>63152</c:v>
                </c:pt>
                <c:pt idx="3403">
                  <c:v>63159</c:v>
                </c:pt>
                <c:pt idx="3404">
                  <c:v>63166</c:v>
                </c:pt>
                <c:pt idx="3405">
                  <c:v>63173</c:v>
                </c:pt>
                <c:pt idx="3406">
                  <c:v>63180</c:v>
                </c:pt>
                <c:pt idx="3407">
                  <c:v>63188</c:v>
                </c:pt>
                <c:pt idx="3408">
                  <c:v>63195</c:v>
                </c:pt>
                <c:pt idx="3409">
                  <c:v>63202</c:v>
                </c:pt>
                <c:pt idx="3410">
                  <c:v>63209</c:v>
                </c:pt>
                <c:pt idx="3411">
                  <c:v>63216</c:v>
                </c:pt>
                <c:pt idx="3412">
                  <c:v>63223</c:v>
                </c:pt>
                <c:pt idx="3413">
                  <c:v>63230</c:v>
                </c:pt>
                <c:pt idx="3414">
                  <c:v>63237</c:v>
                </c:pt>
                <c:pt idx="3415">
                  <c:v>63244</c:v>
                </c:pt>
                <c:pt idx="3416">
                  <c:v>63251</c:v>
                </c:pt>
                <c:pt idx="3417">
                  <c:v>63258</c:v>
                </c:pt>
                <c:pt idx="3418">
                  <c:v>63265</c:v>
                </c:pt>
                <c:pt idx="3419">
                  <c:v>63276</c:v>
                </c:pt>
                <c:pt idx="3420">
                  <c:v>63279</c:v>
                </c:pt>
                <c:pt idx="3421">
                  <c:v>63286</c:v>
                </c:pt>
                <c:pt idx="3422">
                  <c:v>63293</c:v>
                </c:pt>
                <c:pt idx="3423">
                  <c:v>63300</c:v>
                </c:pt>
                <c:pt idx="3424">
                  <c:v>63307</c:v>
                </c:pt>
                <c:pt idx="3425">
                  <c:v>63314</c:v>
                </c:pt>
                <c:pt idx="3426">
                  <c:v>63321</c:v>
                </c:pt>
                <c:pt idx="3427">
                  <c:v>63328</c:v>
                </c:pt>
                <c:pt idx="3428">
                  <c:v>63335</c:v>
                </c:pt>
                <c:pt idx="3429">
                  <c:v>63342</c:v>
                </c:pt>
                <c:pt idx="3430">
                  <c:v>63349</c:v>
                </c:pt>
                <c:pt idx="3431">
                  <c:v>63356</c:v>
                </c:pt>
                <c:pt idx="3432">
                  <c:v>63363</c:v>
                </c:pt>
                <c:pt idx="3433">
                  <c:v>63370</c:v>
                </c:pt>
                <c:pt idx="3434">
                  <c:v>63377</c:v>
                </c:pt>
                <c:pt idx="3435">
                  <c:v>63384</c:v>
                </c:pt>
                <c:pt idx="3436">
                  <c:v>63391</c:v>
                </c:pt>
                <c:pt idx="3437">
                  <c:v>63398</c:v>
                </c:pt>
                <c:pt idx="3438">
                  <c:v>63405</c:v>
                </c:pt>
                <c:pt idx="3439">
                  <c:v>63412</c:v>
                </c:pt>
                <c:pt idx="3440">
                  <c:v>63419</c:v>
                </c:pt>
                <c:pt idx="3441">
                  <c:v>63426</c:v>
                </c:pt>
                <c:pt idx="3442">
                  <c:v>63433</c:v>
                </c:pt>
                <c:pt idx="3443">
                  <c:v>63440</c:v>
                </c:pt>
                <c:pt idx="3444">
                  <c:v>63447</c:v>
                </c:pt>
                <c:pt idx="3445">
                  <c:v>63454</c:v>
                </c:pt>
                <c:pt idx="3446">
                  <c:v>63461</c:v>
                </c:pt>
                <c:pt idx="3447">
                  <c:v>63468</c:v>
                </c:pt>
                <c:pt idx="3448">
                  <c:v>63475</c:v>
                </c:pt>
                <c:pt idx="3449">
                  <c:v>63482</c:v>
                </c:pt>
                <c:pt idx="3450">
                  <c:v>63489</c:v>
                </c:pt>
                <c:pt idx="3451">
                  <c:v>63496</c:v>
                </c:pt>
                <c:pt idx="3452">
                  <c:v>63503</c:v>
                </c:pt>
                <c:pt idx="3453">
                  <c:v>63510</c:v>
                </c:pt>
                <c:pt idx="3454">
                  <c:v>63517</c:v>
                </c:pt>
                <c:pt idx="3455">
                  <c:v>63524</c:v>
                </c:pt>
                <c:pt idx="3456">
                  <c:v>63531</c:v>
                </c:pt>
                <c:pt idx="3457">
                  <c:v>63538</c:v>
                </c:pt>
                <c:pt idx="3458">
                  <c:v>63545</c:v>
                </c:pt>
                <c:pt idx="3459">
                  <c:v>63552</c:v>
                </c:pt>
                <c:pt idx="3460">
                  <c:v>63559</c:v>
                </c:pt>
                <c:pt idx="3461">
                  <c:v>63566</c:v>
                </c:pt>
                <c:pt idx="3462">
                  <c:v>63573</c:v>
                </c:pt>
                <c:pt idx="3463">
                  <c:v>63580</c:v>
                </c:pt>
                <c:pt idx="3464">
                  <c:v>63587</c:v>
                </c:pt>
                <c:pt idx="3465">
                  <c:v>63594</c:v>
                </c:pt>
                <c:pt idx="3466">
                  <c:v>63601</c:v>
                </c:pt>
                <c:pt idx="3467">
                  <c:v>63608</c:v>
                </c:pt>
                <c:pt idx="3468">
                  <c:v>63615</c:v>
                </c:pt>
                <c:pt idx="3469">
                  <c:v>63622</c:v>
                </c:pt>
                <c:pt idx="3470">
                  <c:v>63629</c:v>
                </c:pt>
                <c:pt idx="3471">
                  <c:v>63636</c:v>
                </c:pt>
                <c:pt idx="3472">
                  <c:v>63643</c:v>
                </c:pt>
                <c:pt idx="3473">
                  <c:v>63650</c:v>
                </c:pt>
                <c:pt idx="3474">
                  <c:v>63661</c:v>
                </c:pt>
                <c:pt idx="3475">
                  <c:v>63664</c:v>
                </c:pt>
                <c:pt idx="3476">
                  <c:v>63671</c:v>
                </c:pt>
                <c:pt idx="3477">
                  <c:v>63678</c:v>
                </c:pt>
                <c:pt idx="3478">
                  <c:v>63685</c:v>
                </c:pt>
                <c:pt idx="3479">
                  <c:v>63692</c:v>
                </c:pt>
                <c:pt idx="3480">
                  <c:v>63699</c:v>
                </c:pt>
                <c:pt idx="3481">
                  <c:v>63706</c:v>
                </c:pt>
                <c:pt idx="3482">
                  <c:v>63713</c:v>
                </c:pt>
                <c:pt idx="3483">
                  <c:v>63720</c:v>
                </c:pt>
                <c:pt idx="3484">
                  <c:v>63727</c:v>
                </c:pt>
                <c:pt idx="3485">
                  <c:v>63734</c:v>
                </c:pt>
                <c:pt idx="3486">
                  <c:v>63741</c:v>
                </c:pt>
                <c:pt idx="3487">
                  <c:v>63748</c:v>
                </c:pt>
                <c:pt idx="3488">
                  <c:v>63755</c:v>
                </c:pt>
                <c:pt idx="3489">
                  <c:v>63762</c:v>
                </c:pt>
                <c:pt idx="3490">
                  <c:v>63769</c:v>
                </c:pt>
                <c:pt idx="3491">
                  <c:v>63776</c:v>
                </c:pt>
                <c:pt idx="3492">
                  <c:v>63783</c:v>
                </c:pt>
                <c:pt idx="3493">
                  <c:v>63790</c:v>
                </c:pt>
                <c:pt idx="3494">
                  <c:v>63797</c:v>
                </c:pt>
                <c:pt idx="3495">
                  <c:v>63804</c:v>
                </c:pt>
                <c:pt idx="3496">
                  <c:v>63811</c:v>
                </c:pt>
                <c:pt idx="3497">
                  <c:v>63818</c:v>
                </c:pt>
                <c:pt idx="3498">
                  <c:v>63825</c:v>
                </c:pt>
                <c:pt idx="3499">
                  <c:v>63832</c:v>
                </c:pt>
                <c:pt idx="3500">
                  <c:v>63839</c:v>
                </c:pt>
                <c:pt idx="3501">
                  <c:v>63846</c:v>
                </c:pt>
                <c:pt idx="3502">
                  <c:v>63853</c:v>
                </c:pt>
                <c:pt idx="3503">
                  <c:v>63860</c:v>
                </c:pt>
                <c:pt idx="3504">
                  <c:v>63867</c:v>
                </c:pt>
                <c:pt idx="3505">
                  <c:v>63874</c:v>
                </c:pt>
                <c:pt idx="3506">
                  <c:v>63881</c:v>
                </c:pt>
                <c:pt idx="3507">
                  <c:v>63888</c:v>
                </c:pt>
                <c:pt idx="3508">
                  <c:v>63895</c:v>
                </c:pt>
                <c:pt idx="3509">
                  <c:v>63902</c:v>
                </c:pt>
                <c:pt idx="3510">
                  <c:v>63909</c:v>
                </c:pt>
                <c:pt idx="3511">
                  <c:v>63919</c:v>
                </c:pt>
                <c:pt idx="3512">
                  <c:v>63926</c:v>
                </c:pt>
                <c:pt idx="3513">
                  <c:v>63933</c:v>
                </c:pt>
                <c:pt idx="3514">
                  <c:v>63940</c:v>
                </c:pt>
                <c:pt idx="3515">
                  <c:v>63947</c:v>
                </c:pt>
                <c:pt idx="3516">
                  <c:v>63954</c:v>
                </c:pt>
                <c:pt idx="3517">
                  <c:v>63961</c:v>
                </c:pt>
                <c:pt idx="3518">
                  <c:v>63968</c:v>
                </c:pt>
                <c:pt idx="3519">
                  <c:v>63975</c:v>
                </c:pt>
                <c:pt idx="3520">
                  <c:v>63982</c:v>
                </c:pt>
                <c:pt idx="3521">
                  <c:v>63989</c:v>
                </c:pt>
                <c:pt idx="3522">
                  <c:v>63996</c:v>
                </c:pt>
                <c:pt idx="3523">
                  <c:v>64003</c:v>
                </c:pt>
                <c:pt idx="3524">
                  <c:v>64010</c:v>
                </c:pt>
                <c:pt idx="3525">
                  <c:v>64019</c:v>
                </c:pt>
                <c:pt idx="3526">
                  <c:v>64024</c:v>
                </c:pt>
                <c:pt idx="3527">
                  <c:v>64031</c:v>
                </c:pt>
                <c:pt idx="3528">
                  <c:v>64038</c:v>
                </c:pt>
                <c:pt idx="3529">
                  <c:v>64046</c:v>
                </c:pt>
                <c:pt idx="3530">
                  <c:v>64052</c:v>
                </c:pt>
                <c:pt idx="3531">
                  <c:v>64059</c:v>
                </c:pt>
                <c:pt idx="3532">
                  <c:v>64067</c:v>
                </c:pt>
                <c:pt idx="3533">
                  <c:v>64073</c:v>
                </c:pt>
              </c:numCache>
            </c:numRef>
          </c:cat>
          <c:val>
            <c:numRef>
              <c:f>Monitor!$AB$19:$AB$3552</c:f>
              <c:numCache>
                <c:formatCode>0.0000%</c:formatCode>
                <c:ptCount val="3534"/>
                <c:pt idx="0">
                  <c:v>-5.9878911707134108E-3</c:v>
                </c:pt>
                <c:pt idx="1">
                  <c:v>-7.0540000032348615E-3</c:v>
                </c:pt>
                <c:pt idx="2">
                  <c:v>-7.8690881797882639E-3</c:v>
                </c:pt>
                <c:pt idx="3">
                  <c:v>-8.4194470863963033E-3</c:v>
                </c:pt>
                <c:pt idx="4">
                  <c:v>-8.6064466287272268E-3</c:v>
                </c:pt>
                <c:pt idx="5">
                  <c:v>-8.2533058649858493E-3</c:v>
                </c:pt>
                <c:pt idx="6">
                  <c:v>-7.8899828279599404E-3</c:v>
                </c:pt>
                <c:pt idx="7">
                  <c:v>-7.7651511442500265E-3</c:v>
                </c:pt>
                <c:pt idx="8">
                  <c:v>-7.6506250043983925E-3</c:v>
                </c:pt>
                <c:pt idx="9">
                  <c:v>-7.455770175153198E-3</c:v>
                </c:pt>
                <c:pt idx="10">
                  <c:v>-7.2955760689863425E-3</c:v>
                </c:pt>
                <c:pt idx="11">
                  <c:v>-7.2325777792014989E-3</c:v>
                </c:pt>
                <c:pt idx="12">
                  <c:v>-7.1798850791182645E-3</c:v>
                </c:pt>
                <c:pt idx="13">
                  <c:v>-7.1374979733329624E-3</c:v>
                </c:pt>
                <c:pt idx="14">
                  <c:v>-7.0869362418646276E-3</c:v>
                </c:pt>
                <c:pt idx="15">
                  <c:v>-7.0710055526035376E-3</c:v>
                </c:pt>
                <c:pt idx="16">
                  <c:v>-7.0801464551584203E-3</c:v>
                </c:pt>
                <c:pt idx="17">
                  <c:v>-7.0995929604844576E-3</c:v>
                </c:pt>
                <c:pt idx="18">
                  <c:v>-7.1293450670628644E-3</c:v>
                </c:pt>
                <c:pt idx="19">
                  <c:v>-7.2230563439212858E-3</c:v>
                </c:pt>
                <c:pt idx="20">
                  <c:v>-7.3491654510782212E-3</c:v>
                </c:pt>
                <c:pt idx="21">
                  <c:v>-7.4169815721969456E-3</c:v>
                </c:pt>
                <c:pt idx="22">
                  <c:v>-7.4816393388976721E-3</c:v>
                </c:pt>
                <c:pt idx="23">
                  <c:v>-7.5431387530588978E-3</c:v>
                </c:pt>
                <c:pt idx="24">
                  <c:v>-7.6554469495215827E-3</c:v>
                </c:pt>
                <c:pt idx="25">
                  <c:v>-7.7575529134454868E-3</c:v>
                </c:pt>
                <c:pt idx="26">
                  <c:v>-7.8032605865319127E-3</c:v>
                </c:pt>
                <c:pt idx="27">
                  <c:v>-7.84580991555206E-3</c:v>
                </c:pt>
                <c:pt idx="28">
                  <c:v>-7.8852009014251934E-3</c:v>
                </c:pt>
                <c:pt idx="29">
                  <c:v>-7.9532793547798519E-3</c:v>
                </c:pt>
                <c:pt idx="30">
                  <c:v>-8.011181433111858E-3</c:v>
                </c:pt>
                <c:pt idx="31">
                  <c:v>-8.0347807172787E-3</c:v>
                </c:pt>
                <c:pt idx="32">
                  <c:v>-8.0552216632945317E-3</c:v>
                </c:pt>
                <c:pt idx="33">
                  <c:v>-8.0725042717588735E-3</c:v>
                </c:pt>
                <c:pt idx="34">
                  <c:v>-8.096359605747061E-3</c:v>
                </c:pt>
                <c:pt idx="35">
                  <c:v>-8.1100513373755234E-3</c:v>
                </c:pt>
                <c:pt idx="36">
                  <c:v>-8.1115422628386114E-3</c:v>
                </c:pt>
                <c:pt idx="37">
                  <c:v>-8.1098748523888986E-3</c:v>
                </c:pt>
                <c:pt idx="38">
                  <c:v>-8.1050491056666729E-3</c:v>
                </c:pt>
                <c:pt idx="39">
                  <c:v>-8.0846882560470235E-3</c:v>
                </c:pt>
                <c:pt idx="40">
                  <c:v>-8.0541627534946869E-3</c:v>
                </c:pt>
                <c:pt idx="41">
                  <c:v>-8.0335453224522624E-3</c:v>
                </c:pt>
                <c:pt idx="42">
                  <c:v>-8.0105985648781797E-3</c:v>
                </c:pt>
                <c:pt idx="43">
                  <c:v>-7.9886385276495275E-3</c:v>
                </c:pt>
                <c:pt idx="44">
                  <c:v>-7.9505952992153794E-3</c:v>
                </c:pt>
                <c:pt idx="45">
                  <c:v>-7.9189557033787494E-3</c:v>
                </c:pt>
                <c:pt idx="46">
                  <c:v>-7.9060743298908776E-3</c:v>
                </c:pt>
                <c:pt idx="47">
                  <c:v>-7.8950086898466054E-3</c:v>
                </c:pt>
                <c:pt idx="48">
                  <c:v>-7.8857587834058052E-3</c:v>
                </c:pt>
                <c:pt idx="49">
                  <c:v>-7.8731392261932598E-3</c:v>
                </c:pt>
                <c:pt idx="50">
                  <c:v>-7.8669164964351168E-3</c:v>
                </c:pt>
                <c:pt idx="51">
                  <c:v>-7.8667452596903331E-3</c:v>
                </c:pt>
                <c:pt idx="52">
                  <c:v>-7.8683897569886696E-3</c:v>
                </c:pt>
                <c:pt idx="53">
                  <c:v>-7.8718499883700943E-3</c:v>
                </c:pt>
                <c:pt idx="54">
                  <c:v>-7.8846502031515442E-3</c:v>
                </c:pt>
                <c:pt idx="55">
                  <c:v>-7.9038482524884657E-3</c:v>
                </c:pt>
                <c:pt idx="56">
                  <c:v>-7.9163871526866103E-3</c:v>
                </c:pt>
                <c:pt idx="57">
                  <c:v>-7.9307417861285145E-3</c:v>
                </c:pt>
                <c:pt idx="58">
                  <c:v>-7.9469121526143383E-3</c:v>
                </c:pt>
                <c:pt idx="59">
                  <c:v>-7.9851282044973715E-3</c:v>
                </c:pt>
                <c:pt idx="60">
                  <c:v>-8.0297509443205684E-3</c:v>
                </c:pt>
                <c:pt idx="61">
                  <c:v>-8.0549999720691545E-3</c:v>
                </c:pt>
                <c:pt idx="62">
                  <c:v>-8.0820647310630989E-3</c:v>
                </c:pt>
                <c:pt idx="63">
                  <c:v>-8.1109452207028809E-3</c:v>
                </c:pt>
                <c:pt idx="64">
                  <c:v>-8.1745730067295241E-3</c:v>
                </c:pt>
                <c:pt idx="65">
                  <c:v>-8.2440917636539268E-3</c:v>
                </c:pt>
                <c:pt idx="66">
                  <c:v>-8.2788546116940864E-3</c:v>
                </c:pt>
                <c:pt idx="67">
                  <c:v>-8.3122368999077878E-3</c:v>
                </c:pt>
                <c:pt idx="68">
                  <c:v>-8.3442386286947112E-3</c:v>
                </c:pt>
                <c:pt idx="69">
                  <c:v>-8.4034440555091905E-3</c:v>
                </c:pt>
                <c:pt idx="70">
                  <c:v>-8.4584399562093182E-3</c:v>
                </c:pt>
                <c:pt idx="71">
                  <c:v>-8.4835388928983235E-3</c:v>
                </c:pt>
                <c:pt idx="72">
                  <c:v>-8.5072572719990802E-3</c:v>
                </c:pt>
                <c:pt idx="73">
                  <c:v>-8.5295950939912046E-3</c:v>
                </c:pt>
                <c:pt idx="74">
                  <c:v>-8.5782302398818011E-3</c:v>
                </c:pt>
                <c:pt idx="75">
                  <c:v>-8.6205758537571953E-3</c:v>
                </c:pt>
                <c:pt idx="76">
                  <c:v>-8.634630337174265E-3</c:v>
                </c:pt>
                <c:pt idx="77">
                  <c:v>-8.6473042648416154E-3</c:v>
                </c:pt>
                <c:pt idx="78">
                  <c:v>-8.6678415615981663E-3</c:v>
                </c:pt>
                <c:pt idx="79">
                  <c:v>-8.6841944207716182E-3</c:v>
                </c:pt>
                <c:pt idx="80">
                  <c:v>-8.6899655715688695E-3</c:v>
                </c:pt>
                <c:pt idx="81">
                  <c:v>-8.69435616725589E-3</c:v>
                </c:pt>
                <c:pt idx="82">
                  <c:v>-8.6973662078326797E-3</c:v>
                </c:pt>
                <c:pt idx="83">
                  <c:v>-8.6985742494061213E-3</c:v>
                </c:pt>
                <c:pt idx="84">
                  <c:v>-8.6956008200766988E-3</c:v>
                </c:pt>
                <c:pt idx="85">
                  <c:v>-8.6917080854620465E-3</c:v>
                </c:pt>
                <c:pt idx="86">
                  <c:v>-8.6864347958570676E-3</c:v>
                </c:pt>
                <c:pt idx="87">
                  <c:v>-8.6800199936476474E-3</c:v>
                </c:pt>
                <c:pt idx="88">
                  <c:v>-8.666682653415414E-3</c:v>
                </c:pt>
                <c:pt idx="89">
                  <c:v>-8.6539416159103766E-3</c:v>
                </c:pt>
                <c:pt idx="90">
                  <c:v>-8.647556271816903E-3</c:v>
                </c:pt>
                <c:pt idx="91">
                  <c:v>-8.6412246278477767E-3</c:v>
                </c:pt>
                <c:pt idx="92">
                  <c:v>-8.6349466841229017E-3</c:v>
                </c:pt>
                <c:pt idx="93">
                  <c:v>-8.622363274581879E-3</c:v>
                </c:pt>
                <c:pt idx="94">
                  <c:v>-8.6103719106667143E-3</c:v>
                </c:pt>
                <c:pt idx="95">
                  <c:v>-8.6043624676435115E-3</c:v>
                </c:pt>
                <c:pt idx="96">
                  <c:v>-8.5984067248245921E-3</c:v>
                </c:pt>
                <c:pt idx="97">
                  <c:v>-8.592504682249924E-3</c:v>
                </c:pt>
                <c:pt idx="98">
                  <c:v>-8.5806750673489418E-3</c:v>
                </c:pt>
                <c:pt idx="99">
                  <c:v>-8.5694335135944044E-3</c:v>
                </c:pt>
                <c:pt idx="100">
                  <c:v>-8.5637999718413127E-3</c:v>
                </c:pt>
                <c:pt idx="101">
                  <c:v>-8.5582201303724403E-3</c:v>
                </c:pt>
                <c:pt idx="102">
                  <c:v>-8.5526939890279152E-3</c:v>
                </c:pt>
                <c:pt idx="103">
                  <c:v>-8.5416180344743964E-3</c:v>
                </c:pt>
                <c:pt idx="104">
                  <c:v>-8.5311264256526798E-3</c:v>
                </c:pt>
                <c:pt idx="105">
                  <c:v>-8.5258687853295712E-3</c:v>
                </c:pt>
                <c:pt idx="106">
                  <c:v>-8.5206648451707778E-3</c:v>
                </c:pt>
                <c:pt idx="107">
                  <c:v>-8.5155146052162678E-3</c:v>
                </c:pt>
                <c:pt idx="108">
                  <c:v>-8.5051921785428419E-3</c:v>
                </c:pt>
                <c:pt idx="109">
                  <c:v>-8.4954506476808689E-3</c:v>
                </c:pt>
                <c:pt idx="110">
                  <c:v>-8.4905689087477754E-3</c:v>
                </c:pt>
                <c:pt idx="111">
                  <c:v>-8.4857408702188053E-3</c:v>
                </c:pt>
                <c:pt idx="112">
                  <c:v>-8.4809665317742144E-3</c:v>
                </c:pt>
                <c:pt idx="113">
                  <c:v>-8.4713975019123922E-3</c:v>
                </c:pt>
                <c:pt idx="114">
                  <c:v>-8.4624061804383643E-3</c:v>
                </c:pt>
                <c:pt idx="115">
                  <c:v>-8.4579003432549982E-3</c:v>
                </c:pt>
                <c:pt idx="116">
                  <c:v>-8.4534482061560112E-3</c:v>
                </c:pt>
                <c:pt idx="117">
                  <c:v>-8.4490497694211797E-3</c:v>
                </c:pt>
                <c:pt idx="118">
                  <c:v>-8.440234006807934E-3</c:v>
                </c:pt>
                <c:pt idx="119">
                  <c:v>-8.4319930246845587E-3</c:v>
                </c:pt>
                <c:pt idx="120">
                  <c:v>-8.4278630890910478E-3</c:v>
                </c:pt>
                <c:pt idx="121">
                  <c:v>-8.4237868538217242E-3</c:v>
                </c:pt>
                <c:pt idx="122">
                  <c:v>-8.4197643187167159E-3</c:v>
                </c:pt>
                <c:pt idx="123">
                  <c:v>-8.4117016953610957E-3</c:v>
                </c:pt>
                <c:pt idx="124">
                  <c:v>-8.4042111810589404E-3</c:v>
                </c:pt>
                <c:pt idx="125">
                  <c:v>-8.4004571472551248E-3</c:v>
                </c:pt>
                <c:pt idx="126">
                  <c:v>-8.3967568137355286E-3</c:v>
                </c:pt>
                <c:pt idx="127">
                  <c:v>-8.3931101805001518E-3</c:v>
                </c:pt>
                <c:pt idx="128">
                  <c:v>-8.3858005693437931E-3</c:v>
                </c:pt>
                <c:pt idx="129">
                  <c:v>-8.3790606501210618E-3</c:v>
                </c:pt>
                <c:pt idx="130">
                  <c:v>-8.3756825182268457E-3</c:v>
                </c:pt>
                <c:pt idx="131">
                  <c:v>-8.372358086576881E-3</c:v>
                </c:pt>
                <c:pt idx="132">
                  <c:v>-8.3690873551711675E-3</c:v>
                </c:pt>
                <c:pt idx="133">
                  <c:v>-8.362530630541265E-3</c:v>
                </c:pt>
                <c:pt idx="134">
                  <c:v>-8.3565414325104115E-3</c:v>
                </c:pt>
                <c:pt idx="135">
                  <c:v>-8.3535392025257948E-3</c:v>
                </c:pt>
                <c:pt idx="136">
                  <c:v>-8.3505906728253976E-3</c:v>
                </c:pt>
                <c:pt idx="137">
                  <c:v>-8.3476958434491877E-3</c:v>
                </c:pt>
                <c:pt idx="138">
                  <c:v>-8.3418918804589737E-3</c:v>
                </c:pt>
                <c:pt idx="139">
                  <c:v>-8.3366535286666377E-3</c:v>
                </c:pt>
                <c:pt idx="140">
                  <c:v>-8.3340272006315885E-3</c:v>
                </c:pt>
                <c:pt idx="141">
                  <c:v>-8.3314545730805989E-3</c:v>
                </c:pt>
                <c:pt idx="142">
                  <c:v>-8.3289356456139885E-3</c:v>
                </c:pt>
                <c:pt idx="143">
                  <c:v>-8.3238843204025414E-3</c:v>
                </c:pt>
                <c:pt idx="144">
                  <c:v>-8.3193969391093248E-3</c:v>
                </c:pt>
                <c:pt idx="145">
                  <c:v>-8.3171465130638111E-3</c:v>
                </c:pt>
                <c:pt idx="146">
                  <c:v>-8.3149497875423251E-3</c:v>
                </c:pt>
                <c:pt idx="147">
                  <c:v>-8.3128067622650903E-3</c:v>
                </c:pt>
                <c:pt idx="148">
                  <c:v>-8.3085079516109772E-3</c:v>
                </c:pt>
                <c:pt idx="149">
                  <c:v>-8.3047716640383129E-3</c:v>
                </c:pt>
                <c:pt idx="150">
                  <c:v>-8.302897140222143E-3</c:v>
                </c:pt>
                <c:pt idx="151">
                  <c:v>-8.301060022604112E-3</c:v>
                </c:pt>
                <c:pt idx="152">
                  <c:v>-8.2991951347999304E-3</c:v>
                </c:pt>
                <c:pt idx="153">
                  <c:v>-8.2951273342102283E-3</c:v>
                </c:pt>
                <c:pt idx="154">
                  <c:v>-8.2912949401814373E-3</c:v>
                </c:pt>
                <c:pt idx="155">
                  <c:v>-8.2892097306963564E-3</c:v>
                </c:pt>
                <c:pt idx="156">
                  <c:v>-8.2870804567791723E-3</c:v>
                </c:pt>
                <c:pt idx="157">
                  <c:v>-8.2800032783438837E-3</c:v>
                </c:pt>
                <c:pt idx="158">
                  <c:v>-8.2733794625200474E-3</c:v>
                </c:pt>
                <c:pt idx="159">
                  <c:v>-8.2709417383375339E-3</c:v>
                </c:pt>
                <c:pt idx="160">
                  <c:v>-8.2643425101536216E-3</c:v>
                </c:pt>
                <c:pt idx="161">
                  <c:v>-8.2580921519825878E-3</c:v>
                </c:pt>
                <c:pt idx="162">
                  <c:v>-8.2553900416471038E-3</c:v>
                </c:pt>
                <c:pt idx="163">
                  <c:v>-8.2526438669594526E-3</c:v>
                </c:pt>
                <c:pt idx="164">
                  <c:v>-8.2498536279196344E-3</c:v>
                </c:pt>
                <c:pt idx="165">
                  <c:v>-8.2439374767639961E-3</c:v>
                </c:pt>
                <c:pt idx="166">
                  <c:v>-8.2382520283186267E-3</c:v>
                </c:pt>
                <c:pt idx="167">
                  <c:v>-8.235241467438037E-3</c:v>
                </c:pt>
                <c:pt idx="168">
                  <c:v>-8.2321868423251843E-3</c:v>
                </c:pt>
                <c:pt idx="169">
                  <c:v>-8.2290881527802284E-3</c:v>
                </c:pt>
                <c:pt idx="170">
                  <c:v>-8.2225560786186591E-3</c:v>
                </c:pt>
                <c:pt idx="171">
                  <c:v>-8.2162527511187022E-3</c:v>
                </c:pt>
                <c:pt idx="172">
                  <c:v>-8.2129337397329749E-3</c:v>
                </c:pt>
                <c:pt idx="173">
                  <c:v>-8.2095706639950805E-3</c:v>
                </c:pt>
                <c:pt idx="174">
                  <c:v>-8.2061635239849551E-3</c:v>
                </c:pt>
                <c:pt idx="175">
                  <c:v>-8.1990156225275612E-3</c:v>
                </c:pt>
                <c:pt idx="176">
                  <c:v>-8.1920943199831342E-3</c:v>
                </c:pt>
                <c:pt idx="177">
                  <c:v>-8.1884668579723652E-3</c:v>
                </c:pt>
                <c:pt idx="178">
                  <c:v>-8.1847953316493971E-3</c:v>
                </c:pt>
                <c:pt idx="179">
                  <c:v>-8.18107974101423E-3</c:v>
                </c:pt>
                <c:pt idx="180">
                  <c:v>-8.1733161071984028E-3</c:v>
                </c:pt>
                <c:pt idx="181">
                  <c:v>-8.1657767344323062E-3</c:v>
                </c:pt>
                <c:pt idx="182">
                  <c:v>-8.1618408218364635E-3</c:v>
                </c:pt>
                <c:pt idx="183">
                  <c:v>-8.1578608448085177E-3</c:v>
                </c:pt>
                <c:pt idx="184">
                  <c:v>-8.1538368035483089E-3</c:v>
                </c:pt>
                <c:pt idx="185">
                  <c:v>-8.1454575312056576E-3</c:v>
                </c:pt>
                <c:pt idx="186">
                  <c:v>-8.1372999941065061E-3</c:v>
                </c:pt>
                <c:pt idx="187">
                  <c:v>-8.1330556307657176E-3</c:v>
                </c:pt>
                <c:pt idx="188">
                  <c:v>-8.12876720311273E-3</c:v>
                </c:pt>
                <c:pt idx="189">
                  <c:v>-8.1244347109477033E-3</c:v>
                </c:pt>
                <c:pt idx="190">
                  <c:v>-8.1154398930838312E-3</c:v>
                </c:pt>
                <c:pt idx="191">
                  <c:v>-8.1066640984461813E-3</c:v>
                </c:pt>
                <c:pt idx="192">
                  <c:v>-8.102111284320479E-3</c:v>
                </c:pt>
                <c:pt idx="193">
                  <c:v>-8.0975144058026416E-3</c:v>
                </c:pt>
                <c:pt idx="194">
                  <c:v>-8.0928734628926691E-3</c:v>
                </c:pt>
                <c:pt idx="195">
                  <c:v>-8.0832631911809116E-3</c:v>
                </c:pt>
                <c:pt idx="196">
                  <c:v>-8.0738690469717156E-3</c:v>
                </c:pt>
                <c:pt idx="197">
                  <c:v>-8.0690077819012274E-3</c:v>
                </c:pt>
                <c:pt idx="198">
                  <c:v>-8.064102452438604E-3</c:v>
                </c:pt>
                <c:pt idx="199">
                  <c:v>-8.0591530586238136E-3</c:v>
                </c:pt>
                <c:pt idx="200">
                  <c:v>-8.0489274238049191E-3</c:v>
                </c:pt>
                <c:pt idx="201">
                  <c:v>-8.0389148389237164E-3</c:v>
                </c:pt>
                <c:pt idx="202">
                  <c:v>-8.0337451228684742E-3</c:v>
                </c:pt>
                <c:pt idx="203">
                  <c:v>-8.028531342541001E-3</c:v>
                </c:pt>
                <c:pt idx="204">
                  <c:v>-8.0232734976215525E-3</c:v>
                </c:pt>
                <c:pt idx="205">
                  <c:v>-8.0124325890640336E-3</c:v>
                </c:pt>
                <c:pt idx="206">
                  <c:v>-8.0018014737825993E-3</c:v>
                </c:pt>
                <c:pt idx="207">
                  <c:v>-7.9963233067426032E-3</c:v>
                </c:pt>
                <c:pt idx="208">
                  <c:v>-7.9908010751505998E-3</c:v>
                </c:pt>
                <c:pt idx="209">
                  <c:v>-7.9852347792463974E-3</c:v>
                </c:pt>
                <c:pt idx="210">
                  <c:v>-7.9737786850264669E-3</c:v>
                </c:pt>
                <c:pt idx="211">
                  <c:v>-7.9625289508689079E-3</c:v>
                </c:pt>
                <c:pt idx="212">
                  <c:v>-7.9567423326443176E-3</c:v>
                </c:pt>
                <c:pt idx="213">
                  <c:v>-7.9509156602597386E-3</c:v>
                </c:pt>
                <c:pt idx="214">
                  <c:v>-7.9450649752033087E-3</c:v>
                </c:pt>
                <c:pt idx="215">
                  <c:v>-7.933122105936441E-3</c:v>
                </c:pt>
                <c:pt idx="216">
                  <c:v>-7.9214622103807031E-3</c:v>
                </c:pt>
                <c:pt idx="217">
                  <c:v>-7.9155115132056864E-3</c:v>
                </c:pt>
                <c:pt idx="218">
                  <c:v>-7.909540813550997E-3</c:v>
                </c:pt>
                <c:pt idx="219">
                  <c:v>-7.8911427296706194E-3</c:v>
                </c:pt>
                <c:pt idx="220">
                  <c:v>-7.8732965644690012E-3</c:v>
                </c:pt>
                <c:pt idx="221">
                  <c:v>-7.8671858477763479E-3</c:v>
                </c:pt>
                <c:pt idx="222">
                  <c:v>-7.86105512864399E-3</c:v>
                </c:pt>
                <c:pt idx="223">
                  <c:v>-7.8485558987528847E-3</c:v>
                </c:pt>
                <c:pt idx="224">
                  <c:v>-7.8363322276775449E-3</c:v>
                </c:pt>
                <c:pt idx="225">
                  <c:v>-7.8301014964266002E-3</c:v>
                </c:pt>
                <c:pt idx="226">
                  <c:v>-7.823850762656015E-3</c:v>
                </c:pt>
                <c:pt idx="227">
                  <c:v>-7.8175800264057571E-3</c:v>
                </c:pt>
                <c:pt idx="228">
                  <c:v>-7.8048026649302216E-3</c:v>
                </c:pt>
                <c:pt idx="229">
                  <c:v>-7.792297057087616E-3</c:v>
                </c:pt>
                <c:pt idx="230">
                  <c:v>-7.7859263086788033E-3</c:v>
                </c:pt>
                <c:pt idx="231">
                  <c:v>-7.779535557790318E-3</c:v>
                </c:pt>
                <c:pt idx="232">
                  <c:v>-7.7731248044221601E-3</c:v>
                </c:pt>
                <c:pt idx="233">
                  <c:v>-7.7600693428037104E-3</c:v>
                </c:pt>
                <c:pt idx="234">
                  <c:v>-7.7472817665125149E-3</c:v>
                </c:pt>
                <c:pt idx="235">
                  <c:v>-7.7407710008658981E-3</c:v>
                </c:pt>
                <c:pt idx="236">
                  <c:v>-7.7342402328595128E-3</c:v>
                </c:pt>
                <c:pt idx="237">
                  <c:v>-7.7276894623334869E-3</c:v>
                </c:pt>
                <c:pt idx="238">
                  <c:v>-7.7143559313608279E-3</c:v>
                </c:pt>
                <c:pt idx="239">
                  <c:v>-7.7012863555525612E-3</c:v>
                </c:pt>
                <c:pt idx="240">
                  <c:v>-7.6946355727480764E-3</c:v>
                </c:pt>
                <c:pt idx="241">
                  <c:v>-7.6879647873440149E-3</c:v>
                </c:pt>
                <c:pt idx="242">
                  <c:v>-7.681273999700089E-3</c:v>
                </c:pt>
                <c:pt idx="243">
                  <c:v>-7.6642022558215395E-3</c:v>
                </c:pt>
                <c:pt idx="244">
                  <c:v>-7.6475200237258179E-3</c:v>
                </c:pt>
                <c:pt idx="245">
                  <c:v>-7.6407092212438243E-3</c:v>
                </c:pt>
                <c:pt idx="246">
                  <c:v>-7.6199888359029799E-3</c:v>
                </c:pt>
                <c:pt idx="247">
                  <c:v>-7.6199888359029799E-3</c:v>
                </c:pt>
                <c:pt idx="248">
                  <c:v>-7.6063551710792154E-3</c:v>
                </c:pt>
                <c:pt idx="249">
                  <c:v>-7.5994243536792183E-3</c:v>
                </c:pt>
                <c:pt idx="250">
                  <c:v>-7.5924735336796445E-3</c:v>
                </c:pt>
                <c:pt idx="251">
                  <c:v>-7.5855027113203022E-3</c:v>
                </c:pt>
                <c:pt idx="252">
                  <c:v>-7.5713351495831915E-3</c:v>
                </c:pt>
                <c:pt idx="253">
                  <c:v>-7.5503485620087574E-3</c:v>
                </c:pt>
                <c:pt idx="254">
                  <c:v>-7.5503485620087574E-3</c:v>
                </c:pt>
                <c:pt idx="255">
                  <c:v>-7.5432577246514754E-3</c:v>
                </c:pt>
                <c:pt idx="256">
                  <c:v>-7.5361468848544888E-3</c:v>
                </c:pt>
                <c:pt idx="257">
                  <c:v>-7.5217013692707724E-3</c:v>
                </c:pt>
                <c:pt idx="258">
                  <c:v>-7.5075035006300084E-3</c:v>
                </c:pt>
                <c:pt idx="259">
                  <c:v>-7.5002926483547228E-3</c:v>
                </c:pt>
                <c:pt idx="260">
                  <c:v>-7.4930617935198285E-3</c:v>
                </c:pt>
                <c:pt idx="261">
                  <c:v>-7.4858109362851977E-3</c:v>
                </c:pt>
                <c:pt idx="262">
                  <c:v>-7.4673514305312327E-3</c:v>
                </c:pt>
                <c:pt idx="263">
                  <c:v>-7.4492566123574022E-3</c:v>
                </c:pt>
                <c:pt idx="264">
                  <c:v>-7.4418857400049276E-3</c:v>
                </c:pt>
                <c:pt idx="265">
                  <c:v>-7.4344948653326526E-3</c:v>
                </c:pt>
                <c:pt idx="266">
                  <c:v>-7.4194935218319102E-3</c:v>
                </c:pt>
                <c:pt idx="267">
                  <c:v>-7.4047313408875937E-3</c:v>
                </c:pt>
                <c:pt idx="268">
                  <c:v>-7.3972404536171155E-3</c:v>
                </c:pt>
                <c:pt idx="269">
                  <c:v>-7.3897295637070926E-3</c:v>
                </c:pt>
                <c:pt idx="270">
                  <c:v>-7.382198671277429E-3</c:v>
                </c:pt>
                <c:pt idx="271">
                  <c:v>-7.3669194522141268E-3</c:v>
                </c:pt>
                <c:pt idx="272">
                  <c:v>-7.3518750765622087E-3</c:v>
                </c:pt>
                <c:pt idx="273">
                  <c:v>-7.3442441715743101E-3</c:v>
                </c:pt>
                <c:pt idx="274">
                  <c:v>-7.3365932641067388E-3</c:v>
                </c:pt>
                <c:pt idx="275">
                  <c:v>-7.3289279622734682E-3</c:v>
                </c:pt>
                <c:pt idx="276">
                  <c:v>-7.313483051589742E-3</c:v>
                </c:pt>
                <c:pt idx="277">
                  <c:v>-7.2983807904813958E-3</c:v>
                </c:pt>
                <c:pt idx="278">
                  <c:v>-7.2907781146325235E-3</c:v>
                </c:pt>
                <c:pt idx="279">
                  <c:v>-7.2831890856672743E-3</c:v>
                </c:pt>
                <c:pt idx="280">
                  <c:v>-7.2756137035456803E-3</c:v>
                </c:pt>
                <c:pt idx="281">
                  <c:v>-7.2603619992195334E-3</c:v>
                </c:pt>
                <c:pt idx="282">
                  <c:v>-7.2454486432960152E-3</c:v>
                </c:pt>
                <c:pt idx="283">
                  <c:v>-7.2379414953527288E-3</c:v>
                </c:pt>
                <c:pt idx="284">
                  <c:v>-7.2304479942930655E-3</c:v>
                </c:pt>
                <c:pt idx="285">
                  <c:v>-7.2229681400770573E-3</c:v>
                </c:pt>
                <c:pt idx="286">
                  <c:v>-7.2079095997823472E-3</c:v>
                </c:pt>
                <c:pt idx="287">
                  <c:v>-7.1931851916096079E-3</c:v>
                </c:pt>
                <c:pt idx="288">
                  <c:v>-7.1857735716518434E-3</c:v>
                </c:pt>
                <c:pt idx="289">
                  <c:v>-7.178375598537734E-3</c:v>
                </c:pt>
                <c:pt idx="290">
                  <c:v>-7.1709912722273117E-3</c:v>
                </c:pt>
                <c:pt idx="291">
                  <c:v>-7.1561258541574801E-3</c:v>
                </c:pt>
                <c:pt idx="292">
                  <c:v>-7.14159043570195E-3</c:v>
                </c:pt>
                <c:pt idx="293">
                  <c:v>-7.1342743436497713E-3</c:v>
                </c:pt>
                <c:pt idx="294">
                  <c:v>-7.1269718985611519E-3</c:v>
                </c:pt>
                <c:pt idx="295">
                  <c:v>-7.1196831003561556E-3</c:v>
                </c:pt>
                <c:pt idx="296">
                  <c:v>-7.1050107632375514E-3</c:v>
                </c:pt>
                <c:pt idx="297">
                  <c:v>-7.0906643757728816E-3</c:v>
                </c:pt>
                <c:pt idx="298">
                  <c:v>-7.083443811866097E-3</c:v>
                </c:pt>
                <c:pt idx="299">
                  <c:v>-7.0762368948029675E-3</c:v>
                </c:pt>
                <c:pt idx="300">
                  <c:v>-7.0690436245435251E-3</c:v>
                </c:pt>
                <c:pt idx="301">
                  <c:v>-7.0545643278352443E-3</c:v>
                </c:pt>
                <c:pt idx="302">
                  <c:v>-7.040407012302019E-3</c:v>
                </c:pt>
                <c:pt idx="303">
                  <c:v>-7.0332819764207244E-3</c:v>
                </c:pt>
                <c:pt idx="304">
                  <c:v>-7.0261705873830849E-3</c:v>
                </c:pt>
                <c:pt idx="305">
                  <c:v>-7.0190728452690365E-3</c:v>
                </c:pt>
                <c:pt idx="306">
                  <c:v>-7.0047865488565009E-3</c:v>
                </c:pt>
                <c:pt idx="307">
                  <c:v>-6.9837888377133339E-3</c:v>
                </c:pt>
                <c:pt idx="308">
                  <c:v>-6.9837888377133339E-3</c:v>
                </c:pt>
                <c:pt idx="309">
                  <c:v>-6.9767729767011843E-3</c:v>
                </c:pt>
                <c:pt idx="310">
                  <c:v>-6.96977076273253E-3</c:v>
                </c:pt>
                <c:pt idx="311">
                  <c:v>-6.9556774270607136E-3</c:v>
                </c:pt>
                <c:pt idx="312">
                  <c:v>-6.9418983754143682E-3</c:v>
                </c:pt>
                <c:pt idx="313">
                  <c:v>-6.9349643957838936E-3</c:v>
                </c:pt>
                <c:pt idx="314">
                  <c:v>-6.9280440629571061E-3</c:v>
                </c:pt>
                <c:pt idx="315">
                  <c:v>-6.9211373771738138E-3</c:v>
                </c:pt>
                <c:pt idx="316">
                  <c:v>-6.9072369633271791E-3</c:v>
                </c:pt>
                <c:pt idx="317">
                  <c:v>-6.8936471025571322E-3</c:v>
                </c:pt>
                <c:pt idx="318">
                  <c:v>-6.8868086511519877E-3</c:v>
                </c:pt>
                <c:pt idx="319">
                  <c:v>-6.8799838466304664E-3</c:v>
                </c:pt>
                <c:pt idx="320">
                  <c:v>-6.8731726889126321E-3</c:v>
                </c:pt>
                <c:pt idx="321">
                  <c:v>-6.8594651584152899E-3</c:v>
                </c:pt>
                <c:pt idx="322">
                  <c:v>-6.8460645272772069E-3</c:v>
                </c:pt>
                <c:pt idx="323">
                  <c:v>-6.8393216039375204E-3</c:v>
                </c:pt>
                <c:pt idx="324">
                  <c:v>-6.8325923276812972E-3</c:v>
                </c:pt>
                <c:pt idx="325">
                  <c:v>-6.8258766982687291E-3</c:v>
                </c:pt>
                <c:pt idx="326">
                  <c:v>-6.8089626758460753E-3</c:v>
                </c:pt>
                <c:pt idx="327">
                  <c:v>-6.7925032546201081E-3</c:v>
                </c:pt>
                <c:pt idx="328">
                  <c:v>-6.7858695065492469E-3</c:v>
                </c:pt>
                <c:pt idx="329">
                  <c:v>-6.7792494053620089E-3</c:v>
                </c:pt>
                <c:pt idx="330">
                  <c:v>-6.7659275283737941E-3</c:v>
                </c:pt>
                <c:pt idx="331">
                  <c:v>-6.7529054698090007E-3</c:v>
                </c:pt>
                <c:pt idx="332">
                  <c:v>-6.7463536031597826E-3</c:v>
                </c:pt>
                <c:pt idx="333">
                  <c:v>-6.7398153834741237E-3</c:v>
                </c:pt>
                <c:pt idx="334">
                  <c:v>-6.7332908106321199E-3</c:v>
                </c:pt>
                <c:pt idx="335">
                  <c:v>-6.7201617047363271E-3</c:v>
                </c:pt>
                <c:pt idx="336">
                  <c:v>-6.7073289883401443E-3</c:v>
                </c:pt>
                <c:pt idx="337">
                  <c:v>-6.7008726500761284E-3</c:v>
                </c:pt>
                <c:pt idx="338">
                  <c:v>-6.6944299586557676E-3</c:v>
                </c:pt>
                <c:pt idx="339">
                  <c:v>-6.6879981338230365E-3</c:v>
                </c:pt>
                <c:pt idx="340">
                  <c:v>-6.6750061591536181E-3</c:v>
                </c:pt>
                <c:pt idx="341">
                  <c:v>-6.6622516075520721E-3</c:v>
                </c:pt>
                <c:pt idx="342">
                  <c:v>-6.6558073889133595E-3</c:v>
                </c:pt>
                <c:pt idx="343">
                  <c:v>-6.6493601353423415E-3</c:v>
                </c:pt>
                <c:pt idx="344">
                  <c:v>-6.6429098470388581E-3</c:v>
                </c:pt>
                <c:pt idx="345">
                  <c:v>-6.6298770524753081E-3</c:v>
                </c:pt>
                <c:pt idx="346">
                  <c:v>-6.6170783451013904E-3</c:v>
                </c:pt>
                <c:pt idx="347">
                  <c:v>-6.610612882655964E-3</c:v>
                </c:pt>
                <c:pt idx="348">
                  <c:v>-6.6041443851583281E-3</c:v>
                </c:pt>
                <c:pt idx="349">
                  <c:v>-6.5976728529282269E-3</c:v>
                </c:pt>
                <c:pt idx="350">
                  <c:v>-6.5845992327551173E-3</c:v>
                </c:pt>
                <c:pt idx="351">
                  <c:v>-6.571756375524096E-3</c:v>
                </c:pt>
                <c:pt idx="352">
                  <c:v>-6.5652696691120838E-3</c:v>
                </c:pt>
                <c:pt idx="353">
                  <c:v>-6.5587799278477021E-3</c:v>
                </c:pt>
                <c:pt idx="354">
                  <c:v>-6.5522871516510151E-3</c:v>
                </c:pt>
                <c:pt idx="355">
                  <c:v>-6.5391726997932054E-3</c:v>
                </c:pt>
                <c:pt idx="356">
                  <c:v>-6.5262856987402529E-3</c:v>
                </c:pt>
                <c:pt idx="357">
                  <c:v>-6.5197777483216868E-3</c:v>
                </c:pt>
                <c:pt idx="358">
                  <c:v>-6.5132667632505914E-3</c:v>
                </c:pt>
                <c:pt idx="359">
                  <c:v>-6.5067527431272865E-3</c:v>
                </c:pt>
                <c:pt idx="360">
                  <c:v>-6.493597453443023E-3</c:v>
                </c:pt>
                <c:pt idx="361">
                  <c:v>-6.4806663145100529E-3</c:v>
                </c:pt>
                <c:pt idx="362">
                  <c:v>-6.4741371203647091E-3</c:v>
                </c:pt>
                <c:pt idx="363">
                  <c:v>-6.4676048912470918E-3</c:v>
                </c:pt>
                <c:pt idx="364">
                  <c:v>-6.4610696272771051E-3</c:v>
                </c:pt>
                <c:pt idx="365">
                  <c:v>-6.4478734935180526E-3</c:v>
                </c:pt>
                <c:pt idx="366">
                  <c:v>-6.4348982230333363E-3</c:v>
                </c:pt>
                <c:pt idx="367">
                  <c:v>-6.4283477848814385E-3</c:v>
                </c:pt>
                <c:pt idx="368">
                  <c:v>-6.4217943119171395E-3</c:v>
                </c:pt>
                <c:pt idx="369">
                  <c:v>-6.4152378040205349E-3</c:v>
                </c:pt>
                <c:pt idx="370">
                  <c:v>-6.4020008198717449E-3</c:v>
                </c:pt>
                <c:pt idx="371">
                  <c:v>-6.3889814241102627E-3</c:v>
                </c:pt>
                <c:pt idx="372">
                  <c:v>-6.3824097420317472E-3</c:v>
                </c:pt>
                <c:pt idx="373">
                  <c:v>-6.3758350251008622E-3</c:v>
                </c:pt>
                <c:pt idx="374">
                  <c:v>-6.3692572733575759E-3</c:v>
                </c:pt>
                <c:pt idx="375">
                  <c:v>-6.3559794323309049E-3</c:v>
                </c:pt>
                <c:pt idx="376">
                  <c:v>-6.3429159177008643E-3</c:v>
                </c:pt>
                <c:pt idx="377">
                  <c:v>-6.3363229916557628E-3</c:v>
                </c:pt>
                <c:pt idx="378">
                  <c:v>-6.3297270308382281E-3</c:v>
                </c:pt>
                <c:pt idx="379">
                  <c:v>-6.3231280350484198E-3</c:v>
                </c:pt>
                <c:pt idx="380">
                  <c:v>-6.3098093307090153E-3</c:v>
                </c:pt>
                <c:pt idx="381">
                  <c:v>-6.2967017038051409E-3</c:v>
                </c:pt>
                <c:pt idx="382">
                  <c:v>-6.2900875337135176E-3</c:v>
                </c:pt>
                <c:pt idx="383">
                  <c:v>-6.283470329049301E-3</c:v>
                </c:pt>
                <c:pt idx="384">
                  <c:v>-6.2768500892929069E-3</c:v>
                </c:pt>
                <c:pt idx="385">
                  <c:v>-6.2634905148462039E-3</c:v>
                </c:pt>
                <c:pt idx="386">
                  <c:v>-6.2503387822232526E-3</c:v>
                </c:pt>
                <c:pt idx="387">
                  <c:v>-6.2437033682449794E-3</c:v>
                </c:pt>
                <c:pt idx="388">
                  <c:v>-6.2370649195742089E-3</c:v>
                </c:pt>
                <c:pt idx="389">
                  <c:v>-6.230423435931165E-3</c:v>
                </c:pt>
                <c:pt idx="390">
                  <c:v>-6.2170229845559533E-3</c:v>
                </c:pt>
                <c:pt idx="391">
                  <c:v>-6.2038271529551992E-3</c:v>
                </c:pt>
                <c:pt idx="392">
                  <c:v>-6.1971704951702122E-3</c:v>
                </c:pt>
                <c:pt idx="393">
                  <c:v>-6.1905108024129518E-3</c:v>
                </c:pt>
                <c:pt idx="394">
                  <c:v>-6.18384807484329E-3</c:v>
                </c:pt>
                <c:pt idx="395">
                  <c:v>-6.1704067396783913E-3</c:v>
                </c:pt>
                <c:pt idx="396">
                  <c:v>-6.1571668160409487E-3</c:v>
                </c:pt>
                <c:pt idx="397">
                  <c:v>-6.1504889142494079E-3</c:v>
                </c:pt>
                <c:pt idx="398">
                  <c:v>-6.1438079775655297E-3</c:v>
                </c:pt>
                <c:pt idx="399">
                  <c:v>-6.13712400606925E-3</c:v>
                </c:pt>
                <c:pt idx="400">
                  <c:v>-6.1236417800270004E-3</c:v>
                </c:pt>
                <c:pt idx="401">
                  <c:v>-6.1103577714805013E-3</c:v>
                </c:pt>
                <c:pt idx="402">
                  <c:v>-6.1036586256024705E-3</c:v>
                </c:pt>
                <c:pt idx="403">
                  <c:v>-6.0969564449120384E-3</c:v>
                </c:pt>
                <c:pt idx="404">
                  <c:v>-6.0902512294491729E-3</c:v>
                </c:pt>
                <c:pt idx="405">
                  <c:v>-6.0767281054818767E-3</c:v>
                </c:pt>
                <c:pt idx="406">
                  <c:v>-6.0634000188741766E-3</c:v>
                </c:pt>
                <c:pt idx="407">
                  <c:v>-6.056679629109496E-3</c:v>
                </c:pt>
                <c:pt idx="408">
                  <c:v>-6.0499509393441286E-3</c:v>
                </c:pt>
                <c:pt idx="409">
                  <c:v>-6.0431928893045495E-3</c:v>
                </c:pt>
                <c:pt idx="410">
                  <c:v>-6.0224748495087965E-3</c:v>
                </c:pt>
                <c:pt idx="411">
                  <c:v>-6.0019174535952402E-3</c:v>
                </c:pt>
                <c:pt idx="412">
                  <c:v>-5.9949170251183403E-3</c:v>
                </c:pt>
                <c:pt idx="413">
                  <c:v>-5.9770939638914555E-3</c:v>
                </c:pt>
                <c:pt idx="414">
                  <c:v>-5.9593955003167665E-3</c:v>
                </c:pt>
                <c:pt idx="415">
                  <c:v>-5.9521873188650432E-3</c:v>
                </c:pt>
                <c:pt idx="416">
                  <c:v>-5.9449445118708866E-3</c:v>
                </c:pt>
                <c:pt idx="417">
                  <c:v>-5.9302457886323268E-3</c:v>
                </c:pt>
                <c:pt idx="418">
                  <c:v>-5.9156270290694479E-3</c:v>
                </c:pt>
                <c:pt idx="419">
                  <c:v>-5.9082110944830291E-3</c:v>
                </c:pt>
                <c:pt idx="420">
                  <c:v>-5.900760534514049E-3</c:v>
                </c:pt>
                <c:pt idx="421">
                  <c:v>-5.8932753489626677E-3</c:v>
                </c:pt>
                <c:pt idx="422">
                  <c:v>-5.8780935792146494E-3</c:v>
                </c:pt>
                <c:pt idx="423">
                  <c:v>-5.8629883516925219E-3</c:v>
                </c:pt>
                <c:pt idx="424">
                  <c:v>-5.8553300384689422E-3</c:v>
                </c:pt>
                <c:pt idx="425">
                  <c:v>-5.8476370997828653E-3</c:v>
                </c:pt>
                <c:pt idx="426">
                  <c:v>-5.8399095356342912E-3</c:v>
                </c:pt>
                <c:pt idx="427">
                  <c:v>-5.8242447589318402E-3</c:v>
                </c:pt>
                <c:pt idx="428">
                  <c:v>-5.8086530233758538E-3</c:v>
                </c:pt>
                <c:pt idx="429">
                  <c:v>-5.8007523313952092E-3</c:v>
                </c:pt>
                <c:pt idx="430">
                  <c:v>-5.7928170140320034E-3</c:v>
                </c:pt>
                <c:pt idx="431">
                  <c:v>-5.7848470710064603E-3</c:v>
                </c:pt>
                <c:pt idx="432">
                  <c:v>-5.7686993254790764E-3</c:v>
                </c:pt>
                <c:pt idx="433">
                  <c:v>-5.7526210434000191E-3</c:v>
                </c:pt>
                <c:pt idx="434">
                  <c:v>-5.7444779726623096E-3</c:v>
                </c:pt>
                <c:pt idx="435">
                  <c:v>-5.7363002763421989E-3</c:v>
                </c:pt>
                <c:pt idx="436">
                  <c:v>-5.7280879543597507E-3</c:v>
                </c:pt>
                <c:pt idx="437">
                  <c:v>-5.7114572765248894E-3</c:v>
                </c:pt>
                <c:pt idx="438">
                  <c:v>-5.6948924110056254E-3</c:v>
                </c:pt>
                <c:pt idx="439">
                  <c:v>-5.6865069613509789E-3</c:v>
                </c:pt>
                <c:pt idx="440">
                  <c:v>-5.678086885954059E-3</c:v>
                </c:pt>
                <c:pt idx="441">
                  <c:v>-5.6696321849747378E-3</c:v>
                </c:pt>
                <c:pt idx="442">
                  <c:v>-5.6525186095912616E-3</c:v>
                </c:pt>
                <c:pt idx="443">
                  <c:v>-5.635467125473248E-3</c:v>
                </c:pt>
                <c:pt idx="444">
                  <c:v>-5.6268392964620162E-3</c:v>
                </c:pt>
                <c:pt idx="445">
                  <c:v>-5.6181768421081912E-3</c:v>
                </c:pt>
                <c:pt idx="446">
                  <c:v>-5.6094797620120929E-3</c:v>
                </c:pt>
                <c:pt idx="447">
                  <c:v>-5.5918833222268205E-3</c:v>
                </c:pt>
                <c:pt idx="448">
                  <c:v>-5.5743451856837822E-3</c:v>
                </c:pt>
                <c:pt idx="449">
                  <c:v>-5.5654749775557733E-3</c:v>
                </c:pt>
                <c:pt idx="450">
                  <c:v>-5.556570143845363E-3</c:v>
                </c:pt>
                <c:pt idx="451">
                  <c:v>-5.5476306845525514E-3</c:v>
                </c:pt>
                <c:pt idx="452">
                  <c:v>-5.5295514118602895E-3</c:v>
                </c:pt>
                <c:pt idx="453">
                  <c:v>-5.5115265909577715E-3</c:v>
                </c:pt>
                <c:pt idx="454">
                  <c:v>-5.5024140035131452E-3</c:v>
                </c:pt>
                <c:pt idx="455">
                  <c:v>-5.4932667904061816E-3</c:v>
                </c:pt>
                <c:pt idx="456">
                  <c:v>-5.4840849516768486E-3</c:v>
                </c:pt>
                <c:pt idx="457">
                  <c:v>-5.4655228758271335E-3</c:v>
                </c:pt>
                <c:pt idx="458">
                  <c:v>-5.4470113404159193E-3</c:v>
                </c:pt>
                <c:pt idx="459">
                  <c:v>-5.4376563734548355E-3</c:v>
                </c:pt>
                <c:pt idx="460">
                  <c:v>-5.4282667808713825E-3</c:v>
                </c:pt>
                <c:pt idx="461">
                  <c:v>-5.418842562585624E-3</c:v>
                </c:pt>
                <c:pt idx="462">
                  <c:v>-5.3997977114095264E-3</c:v>
                </c:pt>
                <c:pt idx="463">
                  <c:v>-5.3807994330590248E-3</c:v>
                </c:pt>
                <c:pt idx="464">
                  <c:v>-5.3712020865415155E-3</c:v>
                </c:pt>
                <c:pt idx="465">
                  <c:v>-5.3615701143217009E-3</c:v>
                </c:pt>
                <c:pt idx="466">
                  <c:v>-5.3519035163596129E-3</c:v>
                </c:pt>
                <c:pt idx="467">
                  <c:v>-5.3323759158363515E-3</c:v>
                </c:pt>
                <c:pt idx="468">
                  <c:v>-5.3128908680077913E-3</c:v>
                </c:pt>
                <c:pt idx="469">
                  <c:v>-5.3030697550449091E-3</c:v>
                </c:pt>
                <c:pt idx="470">
                  <c:v>-5.2933070833738327E-3</c:v>
                </c:pt>
                <c:pt idx="471">
                  <c:v>-5.2836214661455827E-3</c:v>
                </c:pt>
                <c:pt idx="472">
                  <c:v>-5.2644300944937328E-3</c:v>
                </c:pt>
                <c:pt idx="473">
                  <c:v>-5.2456495429398231E-3</c:v>
                </c:pt>
                <c:pt idx="474">
                  <c:v>-5.2363491985252253E-3</c:v>
                </c:pt>
                <c:pt idx="475">
                  <c:v>-5.227125908753294E-3</c:v>
                </c:pt>
                <c:pt idx="476">
                  <c:v>-5.2179796736639972E-3</c:v>
                </c:pt>
                <c:pt idx="477">
                  <c:v>-5.1998689428556233E-3</c:v>
                </c:pt>
                <c:pt idx="478">
                  <c:v>-5.1821652789341144E-3</c:v>
                </c:pt>
                <c:pt idx="479">
                  <c:v>-5.1734043167384058E-3</c:v>
                </c:pt>
                <c:pt idx="480">
                  <c:v>-5.1647204093052679E-3</c:v>
                </c:pt>
                <c:pt idx="481">
                  <c:v>-5.1561135563948923E-3</c:v>
                </c:pt>
                <c:pt idx="482">
                  <c:v>-5.139083336227479E-3</c:v>
                </c:pt>
                <c:pt idx="483">
                  <c:v>-5.1224566913798952E-3</c:v>
                </c:pt>
                <c:pt idx="484">
                  <c:v>-5.1142351117627882E-3</c:v>
                </c:pt>
                <c:pt idx="485">
                  <c:v>-5.1060905867483797E-3</c:v>
                </c:pt>
                <c:pt idx="486">
                  <c:v>-5.082052903992107E-3</c:v>
                </c:pt>
                <c:pt idx="487">
                  <c:v>-5.0588415853569657E-3</c:v>
                </c:pt>
                <c:pt idx="488">
                  <c:v>-5.0512364432009349E-3</c:v>
                </c:pt>
                <c:pt idx="489">
                  <c:v>-5.0437083557275386E-3</c:v>
                </c:pt>
                <c:pt idx="490">
                  <c:v>-5.0288387804631185E-3</c:v>
                </c:pt>
                <c:pt idx="491">
                  <c:v>-5.0143665530999471E-3</c:v>
                </c:pt>
                <c:pt idx="492">
                  <c:v>-5.0072237392795316E-3</c:v>
                </c:pt>
                <c:pt idx="493">
                  <c:v>-5.0001579801417506E-3</c:v>
                </c:pt>
                <c:pt idx="494">
                  <c:v>-4.9931692758065083E-3</c:v>
                </c:pt>
                <c:pt idx="495">
                  <c:v>-4.975979617120041E-3</c:v>
                </c:pt>
                <c:pt idx="496">
                  <c:v>-4.9593815750892389E-3</c:v>
                </c:pt>
                <c:pt idx="497">
                  <c:v>-4.9528551993693881E-3</c:v>
                </c:pt>
                <c:pt idx="498">
                  <c:v>-4.9464058782522358E-3</c:v>
                </c:pt>
                <c:pt idx="499">
                  <c:v>-4.9336964689272733E-3</c:v>
                </c:pt>
                <c:pt idx="500">
                  <c:v>-4.9213791416891084E-3</c:v>
                </c:pt>
                <c:pt idx="501">
                  <c:v>-4.915315094504713E-3</c:v>
                </c:pt>
                <c:pt idx="502">
                  <c:v>-4.9093281021628243E-3</c:v>
                </c:pt>
                <c:pt idx="503">
                  <c:v>-4.9034181645435382E-3</c:v>
                </c:pt>
                <c:pt idx="504">
                  <c:v>-4.8917886661792309E-3</c:v>
                </c:pt>
                <c:pt idx="505">
                  <c:v>-4.8805489623315879E-3</c:v>
                </c:pt>
                <c:pt idx="506">
                  <c:v>-4.8750242987249948E-3</c:v>
                </c:pt>
                <c:pt idx="507">
                  <c:v>-4.8695766900008763E-3</c:v>
                </c:pt>
                <c:pt idx="508">
                  <c:v>-4.8642061361592326E-3</c:v>
                </c:pt>
                <c:pt idx="509">
                  <c:v>-4.8536564374712654E-3</c:v>
                </c:pt>
                <c:pt idx="510">
                  <c:v>-4.8434944688580117E-3</c:v>
                </c:pt>
                <c:pt idx="511">
                  <c:v>-4.8385091891089971E-3</c:v>
                </c:pt>
                <c:pt idx="512">
                  <c:v>-4.8336009642024891E-3</c:v>
                </c:pt>
                <c:pt idx="513">
                  <c:v>-4.8169804599296207E-3</c:v>
                </c:pt>
                <c:pt idx="514">
                  <c:v>-4.8169804599296207E-3</c:v>
                </c:pt>
                <c:pt idx="515">
                  <c:v>-4.8057697667358568E-3</c:v>
                </c:pt>
                <c:pt idx="516">
                  <c:v>-4.8014009258467993E-3</c:v>
                </c:pt>
                <c:pt idx="517">
                  <c:v>-4.7971091398402166E-3</c:v>
                </c:pt>
                <c:pt idx="518">
                  <c:v>-4.7692241740238117E-3</c:v>
                </c:pt>
                <c:pt idx="519">
                  <c:v>-4.745098250165114E-3</c:v>
                </c:pt>
                <c:pt idx="520">
                  <c:v>-4.7219678780274776E-3</c:v>
                </c:pt>
                <c:pt idx="521">
                  <c:v>-4.6977188208652265E-3</c:v>
                </c:pt>
                <c:pt idx="522">
                  <c:v>-4.6723510781188082E-3</c:v>
                </c:pt>
                <c:pt idx="523">
                  <c:v>-4.6458646498281908E-3</c:v>
                </c:pt>
                <c:pt idx="524">
                  <c:v>-4.61825953567363E-3</c:v>
                </c:pt>
                <c:pt idx="525">
                  <c:v>-4.5895357352954136E-3</c:v>
                </c:pt>
                <c:pt idx="526">
                  <c:v>-4.5596932486136055E-3</c:v>
                </c:pt>
                <c:pt idx="527">
                  <c:v>-4.5287320751885574E-3</c:v>
                </c:pt>
                <c:pt idx="528">
                  <c:v>-4.496652214740493E-3</c:v>
                </c:pt>
                <c:pt idx="529">
                  <c:v>-4.4634536671095404E-3</c:v>
                </c:pt>
                <c:pt idx="530">
                  <c:v>-4.4291364318160831E-3</c:v>
                </c:pt>
                <c:pt idx="531">
                  <c:v>-4.393700508700249E-3</c:v>
                </c:pt>
                <c:pt idx="532">
                  <c:v>-4.3571458972824217E-3</c:v>
                </c:pt>
                <c:pt idx="533">
                  <c:v>-4.3194725972828252E-3</c:v>
                </c:pt>
                <c:pt idx="534">
                  <c:v>-4.280680608381715E-3</c:v>
                </c:pt>
                <c:pt idx="535">
                  <c:v>-4.240769930139443E-3</c:v>
                </c:pt>
                <c:pt idx="536">
                  <c:v>-4.1997405622362649E-3</c:v>
                </c:pt>
                <c:pt idx="537">
                  <c:v>-4.1575925043524364E-3</c:v>
                </c:pt>
                <c:pt idx="538">
                  <c:v>-4.1143257560483093E-3</c:v>
                </c:pt>
                <c:pt idx="539">
                  <c:v>-4.0699403168842352E-3</c:v>
                </c:pt>
                <c:pt idx="540">
                  <c:v>-4.0244361865005018E-3</c:v>
                </c:pt>
                <c:pt idx="541">
                  <c:v>-3.9778133643775249E-3</c:v>
                </c:pt>
                <c:pt idx="542">
                  <c:v>-3.930071850115624E-3</c:v>
                </c:pt>
                <c:pt idx="543">
                  <c:v>-3.8812116433550869E-3</c:v>
                </c:pt>
                <c:pt idx="544">
                  <c:v>-3.8312327434963933E-3</c:v>
                </c:pt>
                <c:pt idx="545">
                  <c:v>-3.7801351502197988E-3</c:v>
                </c:pt>
                <c:pt idx="546">
                  <c:v>-3.7279188630856552E-3</c:v>
                </c:pt>
                <c:pt idx="547">
                  <c:v>-3.655194622536051E-3</c:v>
                </c:pt>
                <c:pt idx="548">
                  <c:v>-3.6043228395499227E-3</c:v>
                </c:pt>
                <c:pt idx="549">
                  <c:v>-3.5484319506196016E-3</c:v>
                </c:pt>
                <c:pt idx="550">
                  <c:v>-3.4914223699500369E-3</c:v>
                </c:pt>
                <c:pt idx="551">
                  <c:v>-3.4332940959025393E-3</c:v>
                </c:pt>
                <c:pt idx="552">
                  <c:v>-3.3740471268517425E-3</c:v>
                </c:pt>
                <c:pt idx="553">
                  <c:v>-3.3136814611989251E-3</c:v>
                </c:pt>
                <c:pt idx="554">
                  <c:v>-3.2521970971721714E-3</c:v>
                </c:pt>
                <c:pt idx="555">
                  <c:v>-3.1895940331061468E-3</c:v>
                </c:pt>
                <c:pt idx="556">
                  <c:v>-3.1258722672289352E-3</c:v>
                </c:pt>
                <c:pt idx="557">
                  <c:v>-3.0610317977819435E-3</c:v>
                </c:pt>
                <c:pt idx="558">
                  <c:v>-2.9950726229399649E-3</c:v>
                </c:pt>
                <c:pt idx="559">
                  <c:v>-2.9279947408111795E-3</c:v>
                </c:pt>
                <c:pt idx="560">
                  <c:v>-2.830258437613864E-3</c:v>
                </c:pt>
                <c:pt idx="561">
                  <c:v>-2.7904828473790388E-3</c:v>
                </c:pt>
                <c:pt idx="562">
                  <c:v>-2.7200488321588168E-3</c:v>
                </c:pt>
                <c:pt idx="563">
                  <c:v>-2.648496102031217E-3</c:v>
                </c:pt>
                <c:pt idx="564">
                  <c:v>-2.5758246549312247E-3</c:v>
                </c:pt>
                <c:pt idx="565">
                  <c:v>-2.4967056379832098E-3</c:v>
                </c:pt>
                <c:pt idx="566">
                  <c:v>-2.4271256018071341E-3</c:v>
                </c:pt>
                <c:pt idx="567">
                  <c:v>-2.3514021395865115E-3</c:v>
                </c:pt>
                <c:pt idx="568">
                  <c:v>-2.2704894751812699E-3</c:v>
                </c:pt>
                <c:pt idx="569">
                  <c:v>-2.2006543504016207E-3</c:v>
                </c:pt>
                <c:pt idx="570">
                  <c:v>-2.1257314071521094E-3</c:v>
                </c:pt>
                <c:pt idx="571">
                  <c:v>-2.0511090989261405E-3</c:v>
                </c:pt>
                <c:pt idx="572">
                  <c:v>-1.9767874262033303E-3</c:v>
                </c:pt>
                <c:pt idx="573">
                  <c:v>-1.9027663896098446E-3</c:v>
                </c:pt>
                <c:pt idx="574">
                  <c:v>-1.8290459896919131E-3</c:v>
                </c:pt>
                <c:pt idx="575">
                  <c:v>-1.7556262269557976E-3</c:v>
                </c:pt>
                <c:pt idx="576">
                  <c:v>-1.6825071019876958E-3</c:v>
                </c:pt>
                <c:pt idx="577">
                  <c:v>-1.6096886153471601E-3</c:v>
                </c:pt>
                <c:pt idx="578">
                  <c:v>-1.5371707675670976E-3</c:v>
                </c:pt>
                <c:pt idx="579">
                  <c:v>-1.4649535592070606E-3</c:v>
                </c:pt>
                <c:pt idx="580">
                  <c:v>-1.3930369908132789E-3</c:v>
                </c:pt>
                <c:pt idx="581">
                  <c:v>-1.3163165268381682E-3</c:v>
                </c:pt>
                <c:pt idx="582">
                  <c:v>-1.2501057760161416E-3</c:v>
                </c:pt>
                <c:pt idx="583">
                  <c:v>-1.1790911306919227E-3</c:v>
                </c:pt>
                <c:pt idx="584">
                  <c:v>-1.10837712747891E-3</c:v>
                </c:pt>
                <c:pt idx="585">
                  <c:v>-1.0379637668700425E-3</c:v>
                </c:pt>
                <c:pt idx="586">
                  <c:v>-9.6785104945151801E-4</c:v>
                </c:pt>
                <c:pt idx="587">
                  <c:v>-8.980389757429208E-4</c:v>
                </c:pt>
                <c:pt idx="588">
                  <c:v>-8.2852754621054459E-4</c:v>
                </c:pt>
                <c:pt idx="589">
                  <c:v>-7.5931676145390981E-4</c:v>
                </c:pt>
                <c:pt idx="590">
                  <c:v>-6.9040662191266478E-4</c:v>
                </c:pt>
                <c:pt idx="591">
                  <c:v>-6.2179712818632993E-4</c:v>
                </c:pt>
                <c:pt idx="592">
                  <c:v>-5.5348828072787626E-4</c:v>
                </c:pt>
                <c:pt idx="593">
                  <c:v>-4.8548008005688814E-4</c:v>
                </c:pt>
                <c:pt idx="594">
                  <c:v>-4.1777252674624066E-4</c:v>
                </c:pt>
                <c:pt idx="595">
                  <c:v>-3.5036562123558213E-4</c:v>
                </c:pt>
                <c:pt idx="596">
                  <c:v>-2.8325936403117424E-4</c:v>
                </c:pt>
                <c:pt idx="597">
                  <c:v>-2.1645375570589209E-4</c:v>
                </c:pt>
                <c:pt idx="598">
                  <c:v>-1.4994879668606131E-4</c:v>
                </c:pt>
                <c:pt idx="599">
                  <c:v>-6.0171679618914453E-5</c:v>
                </c:pt>
                <c:pt idx="600">
                  <c:v>9.3561206782055706E-7</c:v>
                </c:pt>
                <c:pt idx="601">
                  <c:v>6.6452707416786438E-5</c:v>
                </c:pt>
                <c:pt idx="602">
                  <c:v>1.3166912776085837E-4</c:v>
                </c:pt>
                <c:pt idx="603">
                  <c:v>1.9658487286022819E-4</c:v>
                </c:pt>
                <c:pt idx="604">
                  <c:v>2.6119994247508771E-4</c:v>
                </c:pt>
                <c:pt idx="605">
                  <c:v>3.2551433660543694E-4</c:v>
                </c:pt>
                <c:pt idx="606">
                  <c:v>3.8952805493153164E-4</c:v>
                </c:pt>
                <c:pt idx="607">
                  <c:v>4.5324109745337182E-4</c:v>
                </c:pt>
                <c:pt idx="608">
                  <c:v>5.1665346377127719E-4</c:v>
                </c:pt>
                <c:pt idx="609">
                  <c:v>5.7976515380531168E-4</c:v>
                </c:pt>
                <c:pt idx="610">
                  <c:v>6.4257616771534742E-4</c:v>
                </c:pt>
                <c:pt idx="611">
                  <c:v>7.0508650486189595E-4</c:v>
                </c:pt>
                <c:pt idx="612">
                  <c:v>7.6729616540482937E-4</c:v>
                </c:pt>
                <c:pt idx="613">
                  <c:v>8.2920514918427557E-4</c:v>
                </c:pt>
                <c:pt idx="614">
                  <c:v>8.9081345588049032E-4</c:v>
                </c:pt>
                <c:pt idx="615">
                  <c:v>9.6958232450816695E-4</c:v>
                </c:pt>
                <c:pt idx="616">
                  <c:v>1.0131280375436091E-3</c:v>
                </c:pt>
                <c:pt idx="617">
                  <c:v>1.0824820922827882E-3</c:v>
                </c:pt>
                <c:pt idx="618">
                  <c:v>1.1342399095148892E-3</c:v>
                </c:pt>
                <c:pt idx="619">
                  <c:v>1.194421465893214E-3</c:v>
                </c:pt>
                <c:pt idx="620">
                  <c:v>1.2631286521536111E-3</c:v>
                </c:pt>
                <c:pt idx="621">
                  <c:v>1.3146135433839135E-3</c:v>
                </c:pt>
                <c:pt idx="622">
                  <c:v>1.383199400217805E-3</c:v>
                </c:pt>
                <c:pt idx="623">
                  <c:v>1.4345932941584039E-3</c:v>
                </c:pt>
                <c:pt idx="624">
                  <c:v>1.4945035469970946E-3</c:v>
                </c:pt>
                <c:pt idx="625">
                  <c:v>1.5543607180568131E-3</c:v>
                </c:pt>
                <c:pt idx="626">
                  <c:v>1.6141648074974313E-3</c:v>
                </c:pt>
                <c:pt idx="627">
                  <c:v>1.673915814919269E-3</c:v>
                </c:pt>
                <c:pt idx="628">
                  <c:v>1.7336137406420704E-3</c:v>
                </c:pt>
                <c:pt idx="629">
                  <c:v>1.7932585845059634E-3</c:v>
                </c:pt>
                <c:pt idx="630">
                  <c:v>1.8528503465908841E-3</c:v>
                </c:pt>
                <c:pt idx="631">
                  <c:v>1.9123890266570243E-3</c:v>
                </c:pt>
                <c:pt idx="632">
                  <c:v>1.97187462478432E-3</c:v>
                </c:pt>
                <c:pt idx="633">
                  <c:v>2.0397931672544445E-3</c:v>
                </c:pt>
                <c:pt idx="634">
                  <c:v>2.090686575222378E-3</c:v>
                </c:pt>
                <c:pt idx="635">
                  <c:v>2.1500129275331403E-3</c:v>
                </c:pt>
                <c:pt idx="636">
                  <c:v>2.209286197585314E-3</c:v>
                </c:pt>
                <c:pt idx="637">
                  <c:v>2.2685063856986432E-3</c:v>
                </c:pt>
                <c:pt idx="638">
                  <c:v>2.3276734917931918E-3</c:v>
                </c:pt>
                <c:pt idx="639">
                  <c:v>2.3867875157090879E-3</c:v>
                </c:pt>
                <c:pt idx="640">
                  <c:v>2.4458484575262673E-3</c:v>
                </c:pt>
                <c:pt idx="641">
                  <c:v>2.5048563170848581E-3</c:v>
                </c:pt>
                <c:pt idx="642">
                  <c:v>2.5638110945447323E-3</c:v>
                </c:pt>
                <c:pt idx="643">
                  <c:v>2.6227127897460178E-3</c:v>
                </c:pt>
                <c:pt idx="644">
                  <c:v>2.6815614027686507E-3</c:v>
                </c:pt>
                <c:pt idx="645">
                  <c:v>2.7403569333728228E-3</c:v>
                </c:pt>
                <c:pt idx="646">
                  <c:v>2.7990993817983423E-3</c:v>
                </c:pt>
                <c:pt idx="647">
                  <c:v>2.857788747885337E-3</c:v>
                </c:pt>
                <c:pt idx="648">
                  <c:v>2.916425031633807E-3</c:v>
                </c:pt>
                <c:pt idx="649">
                  <c:v>2.9750082330437522E-3</c:v>
                </c:pt>
                <c:pt idx="650">
                  <c:v>3.0335383518753645E-3</c:v>
                </c:pt>
                <c:pt idx="651">
                  <c:v>3.1045525267758833E-3</c:v>
                </c:pt>
                <c:pt idx="652">
                  <c:v>3.1587812884570354E-3</c:v>
                </c:pt>
                <c:pt idx="653">
                  <c:v>3.2171445768991447E-3</c:v>
                </c:pt>
                <c:pt idx="654">
                  <c:v>3.275454782762921E-3</c:v>
                </c:pt>
                <c:pt idx="655">
                  <c:v>3.3337119061283005E-3</c:v>
                </c:pt>
                <c:pt idx="656">
                  <c:v>3.391915946915347E-3</c:v>
                </c:pt>
                <c:pt idx="657">
                  <c:v>3.4500669051240607E-3</c:v>
                </c:pt>
                <c:pt idx="658">
                  <c:v>3.5081647807544414E-3</c:v>
                </c:pt>
                <c:pt idx="659">
                  <c:v>3.5662095737265531E-3</c:v>
                </c:pt>
                <c:pt idx="660">
                  <c:v>3.6242012840403959E-3</c:v>
                </c:pt>
                <c:pt idx="661">
                  <c:v>3.6821399116959697E-3</c:v>
                </c:pt>
                <c:pt idx="662">
                  <c:v>3.7400254566133384E-3</c:v>
                </c:pt>
                <c:pt idx="663">
                  <c:v>3.7978579187925021E-3</c:v>
                </c:pt>
                <c:pt idx="664">
                  <c:v>3.8556372981535247E-3</c:v>
                </c:pt>
                <c:pt idx="665">
                  <c:v>3.9133635947763423E-3</c:v>
                </c:pt>
                <c:pt idx="666">
                  <c:v>3.9875051197757472E-3</c:v>
                </c:pt>
                <c:pt idx="667">
                  <c:v>4.0451100842542331E-3</c:v>
                </c:pt>
                <c:pt idx="668">
                  <c:v>4.1026619658346419E-3</c:v>
                </c:pt>
                <c:pt idx="669">
                  <c:v>4.1601607644370375E-3</c:v>
                </c:pt>
                <c:pt idx="670">
                  <c:v>4.217606480221292E-3</c:v>
                </c:pt>
                <c:pt idx="671">
                  <c:v>4.2951849277272913E-3</c:v>
                </c:pt>
                <c:pt idx="672">
                  <c:v>4.3315084639061752E-3</c:v>
                </c:pt>
                <c:pt idx="673">
                  <c:v>4.3877112702350729E-3</c:v>
                </c:pt>
                <c:pt idx="674">
                  <c:v>4.443414780199717E-3</c:v>
                </c:pt>
                <c:pt idx="675">
                  <c:v>4.4986189934004273E-3</c:v>
                </c:pt>
                <c:pt idx="676">
                  <c:v>4.5533239096773315E-3</c:v>
                </c:pt>
                <c:pt idx="677">
                  <c:v>4.6075295287106854E-3</c:v>
                </c:pt>
                <c:pt idx="678">
                  <c:v>4.6612358505004892E-3</c:v>
                </c:pt>
                <c:pt idx="679">
                  <c:v>4.7144428744871902E-3</c:v>
                </c:pt>
                <c:pt idx="680">
                  <c:v>4.7671506006707887E-3</c:v>
                </c:pt>
                <c:pt idx="681">
                  <c:v>4.8193590288114763E-3</c:v>
                </c:pt>
                <c:pt idx="682">
                  <c:v>4.8710681586694449E-3</c:v>
                </c:pt>
                <c:pt idx="683">
                  <c:v>4.9222779900048863E-3</c:v>
                </c:pt>
                <c:pt idx="684">
                  <c:v>4.9729885225779924E-3</c:v>
                </c:pt>
                <c:pt idx="685">
                  <c:v>5.0231997563088271E-3</c:v>
                </c:pt>
                <c:pt idx="686">
                  <c:v>5.0729116907977101E-3</c:v>
                </c:pt>
                <c:pt idx="687">
                  <c:v>5.1221243259647053E-3</c:v>
                </c:pt>
                <c:pt idx="688">
                  <c:v>5.1708376616499407E-3</c:v>
                </c:pt>
                <c:pt idx="689">
                  <c:v>5.2190516976136081E-3</c:v>
                </c:pt>
                <c:pt idx="690">
                  <c:v>5.2667664335359632E-3</c:v>
                </c:pt>
                <c:pt idx="691">
                  <c:v>5.31398186933707E-3</c:v>
                </c:pt>
                <c:pt idx="692">
                  <c:v>5.3606980049369923E-3</c:v>
                </c:pt>
                <c:pt idx="693">
                  <c:v>5.406914839856114E-3</c:v>
                </c:pt>
                <c:pt idx="694">
                  <c:v>5.4526323739345628E-3</c:v>
                </c:pt>
                <c:pt idx="695">
                  <c:v>5.4978506072522748E-3</c:v>
                </c:pt>
                <c:pt idx="696">
                  <c:v>5.5425695394095698E-3</c:v>
                </c:pt>
                <c:pt idx="697">
                  <c:v>5.5867891702465755E-3</c:v>
                </c:pt>
                <c:pt idx="698">
                  <c:v>5.6305094997632921E-3</c:v>
                </c:pt>
                <c:pt idx="699">
                  <c:v>5.6737305274801031E-3</c:v>
                </c:pt>
                <c:pt idx="700">
                  <c:v>5.7164522533970086E-3</c:v>
                </c:pt>
                <c:pt idx="701">
                  <c:v>5.7586746771942643E-3</c:v>
                </c:pt>
                <c:pt idx="702">
                  <c:v>5.812404472351318E-3</c:v>
                </c:pt>
                <c:pt idx="703">
                  <c:v>5.8505265788189043E-3</c:v>
                </c:pt>
                <c:pt idx="704">
                  <c:v>5.8823461349888362E-3</c:v>
                </c:pt>
                <c:pt idx="705">
                  <c:v>5.922571349108452E-3</c:v>
                </c:pt>
                <c:pt idx="706">
                  <c:v>5.9622972602291213E-3</c:v>
                </c:pt>
                <c:pt idx="707">
                  <c:v>6.0015238683508443E-3</c:v>
                </c:pt>
                <c:pt idx="708">
                  <c:v>6.0402511733137487E-3</c:v>
                </c:pt>
                <c:pt idx="709">
                  <c:v>6.0784791748780265E-3</c:v>
                </c:pt>
                <c:pt idx="710">
                  <c:v>6.1162078729637415E-3</c:v>
                </c:pt>
                <c:pt idx="711">
                  <c:v>6.1534372672511495E-3</c:v>
                </c:pt>
                <c:pt idx="712">
                  <c:v>6.1901673578201866E-3</c:v>
                </c:pt>
                <c:pt idx="713">
                  <c:v>6.2263981443511085E-3</c:v>
                </c:pt>
                <c:pt idx="714">
                  <c:v>6.2621296267639792E-3</c:v>
                </c:pt>
                <c:pt idx="715">
                  <c:v>6.2973618048989266E-3</c:v>
                </c:pt>
                <c:pt idx="716">
                  <c:v>6.3421399055982874E-3</c:v>
                </c:pt>
                <c:pt idx="717">
                  <c:v>6.3663282476156269E-3</c:v>
                </c:pt>
                <c:pt idx="718">
                  <c:v>6.4000625119575716E-3</c:v>
                </c:pt>
                <c:pt idx="719">
                  <c:v>6.4332974714620406E-3</c:v>
                </c:pt>
                <c:pt idx="720">
                  <c:v>6.4660331259691617E-3</c:v>
                </c:pt>
                <c:pt idx="721">
                  <c:v>6.4982694753190628E-3</c:v>
                </c:pt>
                <c:pt idx="722">
                  <c:v>6.5390979141088934E-3</c:v>
                </c:pt>
                <c:pt idx="723">
                  <c:v>6.5612914305734904E-3</c:v>
                </c:pt>
                <c:pt idx="724">
                  <c:v>6.5924046939791481E-3</c:v>
                </c:pt>
                <c:pt idx="725">
                  <c:v>6.6233934820747464E-3</c:v>
                </c:pt>
                <c:pt idx="726">
                  <c:v>6.6542577947803494E-3</c:v>
                </c:pt>
                <c:pt idx="727">
                  <c:v>6.684997632095957E-3</c:v>
                </c:pt>
                <c:pt idx="728">
                  <c:v>6.7156129940215692E-3</c:v>
                </c:pt>
                <c:pt idx="729">
                  <c:v>6.74610388047725E-3</c:v>
                </c:pt>
                <c:pt idx="730">
                  <c:v>6.7764702914629993E-3</c:v>
                </c:pt>
                <c:pt idx="731">
                  <c:v>6.8067122268988811E-3</c:v>
                </c:pt>
                <c:pt idx="732">
                  <c:v>6.8368296868648315E-3</c:v>
                </c:pt>
                <c:pt idx="733">
                  <c:v>6.8668226711210423E-3</c:v>
                </c:pt>
                <c:pt idx="734">
                  <c:v>6.8966911799073216E-3</c:v>
                </c:pt>
                <c:pt idx="735">
                  <c:v>6.9264352129838613E-3</c:v>
                </c:pt>
                <c:pt idx="736">
                  <c:v>6.9560547702707254E-3</c:v>
                </c:pt>
                <c:pt idx="737">
                  <c:v>6.9855498520077219E-3</c:v>
                </c:pt>
                <c:pt idx="738">
                  <c:v>7.0149204580349789E-3</c:v>
                </c:pt>
                <c:pt idx="739">
                  <c:v>7.0441665882725601E-3</c:v>
                </c:pt>
                <c:pt idx="740">
                  <c:v>7.0732882427204657E-3</c:v>
                </c:pt>
                <c:pt idx="741">
                  <c:v>7.1022854212188236E-3</c:v>
                </c:pt>
                <c:pt idx="742">
                  <c:v>7.1311581240074418E-3</c:v>
                </c:pt>
                <c:pt idx="743">
                  <c:v>7.1599063509264482E-3</c:v>
                </c:pt>
                <c:pt idx="744">
                  <c:v>7.1885301018959069E-3</c:v>
                </c:pt>
                <c:pt idx="745">
                  <c:v>7.2170293768358817E-3</c:v>
                </c:pt>
                <c:pt idx="746">
                  <c:v>7.2454041758263088E-3</c:v>
                </c:pt>
                <c:pt idx="747">
                  <c:v>7.2736544988671881E-3</c:v>
                </c:pt>
                <c:pt idx="748">
                  <c:v>7.3017803459585195E-3</c:v>
                </c:pt>
                <c:pt idx="749">
                  <c:v>7.3297817168604951E-3</c:v>
                </c:pt>
                <c:pt idx="750">
                  <c:v>7.3576586116530507E-3</c:v>
                </c:pt>
                <c:pt idx="751">
                  <c:v>7.3854110304161225E-3</c:v>
                </c:pt>
                <c:pt idx="752">
                  <c:v>7.4130389729898383E-3</c:v>
                </c:pt>
                <c:pt idx="753">
                  <c:v>7.4405424395340702E-3</c:v>
                </c:pt>
                <c:pt idx="754">
                  <c:v>7.4679214296491381E-3</c:v>
                </c:pt>
                <c:pt idx="755">
                  <c:v>7.5051126277103641E-3</c:v>
                </c:pt>
                <c:pt idx="756">
                  <c:v>7.5301912159364548E-3</c:v>
                </c:pt>
                <c:pt idx="757">
                  <c:v>7.5571623430281676E-3</c:v>
                </c:pt>
                <c:pt idx="758">
                  <c:v>7.5840089925449661E-3</c:v>
                </c:pt>
                <c:pt idx="759">
                  <c:v>7.6107311644602049E-3</c:v>
                </c:pt>
                <c:pt idx="760">
                  <c:v>7.6373288586673027E-3</c:v>
                </c:pt>
                <c:pt idx="761">
                  <c:v>7.6638020751129687E-3</c:v>
                </c:pt>
                <c:pt idx="762">
                  <c:v>7.6901508136639762E-3</c:v>
                </c:pt>
                <c:pt idx="763">
                  <c:v>7.7163750743203252E-3</c:v>
                </c:pt>
                <c:pt idx="764">
                  <c:v>7.7424748569754342E-3</c:v>
                </c:pt>
                <c:pt idx="765">
                  <c:v>7.7684501614694312E-3</c:v>
                </c:pt>
                <c:pt idx="766">
                  <c:v>7.7943009878023162E-3</c:v>
                </c:pt>
                <c:pt idx="767">
                  <c:v>7.8200273358408623E-3</c:v>
                </c:pt>
                <c:pt idx="768">
                  <c:v>7.8456292055584242E-3</c:v>
                </c:pt>
                <c:pt idx="769">
                  <c:v>7.8711065968484206E-3</c:v>
                </c:pt>
                <c:pt idx="770">
                  <c:v>7.9071141100328646E-3</c:v>
                </c:pt>
                <c:pt idx="771">
                  <c:v>7.9216879437993271E-3</c:v>
                </c:pt>
                <c:pt idx="772">
                  <c:v>7.948667283435018E-3</c:v>
                </c:pt>
                <c:pt idx="773">
                  <c:v>7.9717713761606745E-3</c:v>
                </c:pt>
                <c:pt idx="774">
                  <c:v>7.9966263741138022E-3</c:v>
                </c:pt>
                <c:pt idx="775">
                  <c:v>8.0213082024549465E-3</c:v>
                </c:pt>
                <c:pt idx="776">
                  <c:v>8.0475374110400288E-3</c:v>
                </c:pt>
                <c:pt idx="777">
                  <c:v>8.0698460690076246E-3</c:v>
                </c:pt>
                <c:pt idx="778">
                  <c:v>8.0936973949086166E-3</c:v>
                </c:pt>
                <c:pt idx="779">
                  <c:v>8.117270315670666E-3</c:v>
                </c:pt>
                <c:pt idx="780">
                  <c:v>8.1405648311072554E-3</c:v>
                </c:pt>
                <c:pt idx="781">
                  <c:v>8.1635809411118032E-3</c:v>
                </c:pt>
                <c:pt idx="782">
                  <c:v>8.1863186454711467E-3</c:v>
                </c:pt>
                <c:pt idx="783">
                  <c:v>8.2087779440254138E-3</c:v>
                </c:pt>
                <c:pt idx="784">
                  <c:v>8.2309588366413777E-3</c:v>
                </c:pt>
                <c:pt idx="785">
                  <c:v>8.252861323132521E-3</c:v>
                </c:pt>
                <c:pt idx="786">
                  <c:v>8.2744854033922621E-3</c:v>
                </c:pt>
                <c:pt idx="787">
                  <c:v>8.2958310772607291E-3</c:v>
                </c:pt>
                <c:pt idx="788">
                  <c:v>8.3168983446046951E-3</c:v>
                </c:pt>
                <c:pt idx="789">
                  <c:v>8.3392563973472278E-3</c:v>
                </c:pt>
                <c:pt idx="790">
                  <c:v>8.3581976589996998E-3</c:v>
                </c:pt>
                <c:pt idx="791">
                  <c:v>8.3784297057842849E-3</c:v>
                </c:pt>
                <c:pt idx="792">
                  <c:v>8.3983833454048806E-3</c:v>
                </c:pt>
                <c:pt idx="793">
                  <c:v>8.4180585778081962E-3</c:v>
                </c:pt>
                <c:pt idx="794">
                  <c:v>8.4374554028343596E-3</c:v>
                </c:pt>
                <c:pt idx="795">
                  <c:v>8.4565738202702079E-3</c:v>
                </c:pt>
                <c:pt idx="796">
                  <c:v>8.4754138300624504E-3</c:v>
                </c:pt>
                <c:pt idx="797">
                  <c:v>8.4939754320512151E-3</c:v>
                </c:pt>
                <c:pt idx="798">
                  <c:v>8.5122586261032751E-3</c:v>
                </c:pt>
                <c:pt idx="799">
                  <c:v>8.5302634121120491E-3</c:v>
                </c:pt>
                <c:pt idx="800">
                  <c:v>8.5479897899443102E-3</c:v>
                </c:pt>
                <c:pt idx="801">
                  <c:v>8.5654377594401865E-3</c:v>
                </c:pt>
                <c:pt idx="802">
                  <c:v>8.5826073205197417E-3</c:v>
                </c:pt>
                <c:pt idx="803">
                  <c:v>8.5994984730763946E-3</c:v>
                </c:pt>
                <c:pt idx="804">
                  <c:v>8.6161112169502729E-3</c:v>
                </c:pt>
                <c:pt idx="805">
                  <c:v>8.6324455520347954E-3</c:v>
                </c:pt>
                <c:pt idx="806">
                  <c:v>8.65097654237168E-3</c:v>
                </c:pt>
                <c:pt idx="807">
                  <c:v>8.6654979389888531E-3</c:v>
                </c:pt>
                <c:pt idx="808">
                  <c:v>8.6797781035130583E-3</c:v>
                </c:pt>
                <c:pt idx="809">
                  <c:v>8.694998802374343E-3</c:v>
                </c:pt>
                <c:pt idx="810">
                  <c:v>8.7099410918867193E-3</c:v>
                </c:pt>
                <c:pt idx="811">
                  <c:v>8.7246049719968966E-3</c:v>
                </c:pt>
                <c:pt idx="812">
                  <c:v>8.738990442571648E-3</c:v>
                </c:pt>
                <c:pt idx="813">
                  <c:v>8.753097503477747E-3</c:v>
                </c:pt>
                <c:pt idx="814">
                  <c:v>8.7669261546619026E-3</c:v>
                </c:pt>
                <c:pt idx="815">
                  <c:v>8.780476396044179E-3</c:v>
                </c:pt>
                <c:pt idx="816">
                  <c:v>8.7937482274647039E-3</c:v>
                </c:pt>
                <c:pt idx="817">
                  <c:v>8.806741648896832E-3</c:v>
                </c:pt>
                <c:pt idx="818">
                  <c:v>8.8194566602073365E-3</c:v>
                </c:pt>
                <c:pt idx="819">
                  <c:v>8.8318932613162815E-3</c:v>
                </c:pt>
                <c:pt idx="820">
                  <c:v>8.8440514521703761E-3</c:v>
                </c:pt>
                <c:pt idx="821">
                  <c:v>8.8607211416924514E-3</c:v>
                </c:pt>
                <c:pt idx="822">
                  <c:v>8.8675326026343981E-3</c:v>
                </c:pt>
                <c:pt idx="823">
                  <c:v>8.8788555621377441E-3</c:v>
                </c:pt>
                <c:pt idx="824">
                  <c:v>8.8907864783926982E-3</c:v>
                </c:pt>
                <c:pt idx="825">
                  <c:v>8.9006662492341349E-3</c:v>
                </c:pt>
                <c:pt idx="826">
                  <c:v>8.9111539766673076E-3</c:v>
                </c:pt>
                <c:pt idx="827">
                  <c:v>8.9214456160480182E-3</c:v>
                </c:pt>
                <c:pt idx="828">
                  <c:v>8.9325543869245294E-3</c:v>
                </c:pt>
                <c:pt idx="829">
                  <c:v>8.941958467172384E-3</c:v>
                </c:pt>
                <c:pt idx="830">
                  <c:v>8.9521876456366556E-3</c:v>
                </c:pt>
                <c:pt idx="831">
                  <c:v>8.9623986594045135E-3</c:v>
                </c:pt>
                <c:pt idx="832">
                  <c:v>8.9725915083960217E-3</c:v>
                </c:pt>
                <c:pt idx="833">
                  <c:v>8.9827661926911162E-3</c:v>
                </c:pt>
                <c:pt idx="834">
                  <c:v>8.9929227122098609E-3</c:v>
                </c:pt>
                <c:pt idx="835">
                  <c:v>9.0030610669789013E-3</c:v>
                </c:pt>
                <c:pt idx="836">
                  <c:v>9.0131812569715919E-3</c:v>
                </c:pt>
                <c:pt idx="837">
                  <c:v>9.0232832822412234E-3</c:v>
                </c:pt>
                <c:pt idx="838">
                  <c:v>9.0333671427345053E-3</c:v>
                </c:pt>
                <c:pt idx="839">
                  <c:v>9.0434328384514373E-3</c:v>
                </c:pt>
                <c:pt idx="840">
                  <c:v>9.0534803693920196E-3</c:v>
                </c:pt>
                <c:pt idx="841">
                  <c:v>9.0643394251066489E-3</c:v>
                </c:pt>
                <c:pt idx="842">
                  <c:v>9.073520936944135E-3</c:v>
                </c:pt>
                <c:pt idx="843">
                  <c:v>9.083513973555668E-3</c:v>
                </c:pt>
                <c:pt idx="844">
                  <c:v>9.093488845364206E-3</c:v>
                </c:pt>
                <c:pt idx="845">
                  <c:v>9.1034455523697488E-3</c:v>
                </c:pt>
                <c:pt idx="846">
                  <c:v>9.1133840945722966E-3</c:v>
                </c:pt>
                <c:pt idx="847">
                  <c:v>9.1233044719718492E-3</c:v>
                </c:pt>
                <c:pt idx="848">
                  <c:v>9.1332066845417614E-3</c:v>
                </c:pt>
                <c:pt idx="849">
                  <c:v>9.1430907323353239E-3</c:v>
                </c:pt>
                <c:pt idx="850">
                  <c:v>9.1529566152726005E-3</c:v>
                </c:pt>
                <c:pt idx="851">
                  <c:v>9.1628043334335274E-3</c:v>
                </c:pt>
                <c:pt idx="852">
                  <c:v>9.1726338867381685E-3</c:v>
                </c:pt>
                <c:pt idx="853">
                  <c:v>9.1824452752131691E-3</c:v>
                </c:pt>
                <c:pt idx="854">
                  <c:v>9.1922384988318839E-3</c:v>
                </c:pt>
                <c:pt idx="855">
                  <c:v>9.2020135576209583E-3</c:v>
                </c:pt>
                <c:pt idx="856">
                  <c:v>9.2117704515803922E-3</c:v>
                </c:pt>
                <c:pt idx="857">
                  <c:v>9.2215091806835403E-3</c:v>
                </c:pt>
                <c:pt idx="858">
                  <c:v>9.2328534460719425E-3</c:v>
                </c:pt>
                <c:pt idx="859">
                  <c:v>9.2417429893054681E-3</c:v>
                </c:pt>
                <c:pt idx="860">
                  <c:v>9.2506163788286244E-3</c:v>
                </c:pt>
                <c:pt idx="861">
                  <c:v>9.2602824484799839E-3</c:v>
                </c:pt>
                <c:pt idx="862">
                  <c:v>9.2699303532484123E-3</c:v>
                </c:pt>
                <c:pt idx="863">
                  <c:v>9.2795600931605549E-3</c:v>
                </c:pt>
                <c:pt idx="864">
                  <c:v>9.2891716681897663E-3</c:v>
                </c:pt>
                <c:pt idx="865">
                  <c:v>9.2987650783360465E-3</c:v>
                </c:pt>
                <c:pt idx="866">
                  <c:v>9.3083403235727502E-3</c:v>
                </c:pt>
                <c:pt idx="867">
                  <c:v>9.3178974039265228E-3</c:v>
                </c:pt>
                <c:pt idx="868">
                  <c:v>9.3274363193973642E-3</c:v>
                </c:pt>
                <c:pt idx="869">
                  <c:v>9.3369570699319837E-3</c:v>
                </c:pt>
                <c:pt idx="870">
                  <c:v>9.3464596555836721E-3</c:v>
                </c:pt>
                <c:pt idx="871">
                  <c:v>9.3559440762991386E-3</c:v>
                </c:pt>
                <c:pt idx="872">
                  <c:v>9.3692180201365716E-3</c:v>
                </c:pt>
                <c:pt idx="873">
                  <c:v>9.3748584230279874E-3</c:v>
                </c:pt>
                <c:pt idx="874">
                  <c:v>9.3842883489880791E-3</c:v>
                </c:pt>
                <c:pt idx="875">
                  <c:v>9.3937001100385942E-3</c:v>
                </c:pt>
                <c:pt idx="876">
                  <c:v>9.4030937061528874E-3</c:v>
                </c:pt>
                <c:pt idx="877">
                  <c:v>9.4132610711228359E-3</c:v>
                </c:pt>
                <c:pt idx="878">
                  <c:v>9.421826403546163E-3</c:v>
                </c:pt>
                <c:pt idx="879">
                  <c:v>9.4311557152693126E-3</c:v>
                </c:pt>
                <c:pt idx="880">
                  <c:v>9.4411830913587735E-3</c:v>
                </c:pt>
                <c:pt idx="881">
                  <c:v>9.4495580283027181E-3</c:v>
                </c:pt>
                <c:pt idx="882">
                  <c:v>9.4586212400304959E-3</c:v>
                </c:pt>
                <c:pt idx="883">
                  <c:v>9.4675924885212481E-3</c:v>
                </c:pt>
                <c:pt idx="884">
                  <c:v>9.4764717737483295E-3</c:v>
                </c:pt>
                <c:pt idx="885">
                  <c:v>9.48525909571174E-3</c:v>
                </c:pt>
                <c:pt idx="886">
                  <c:v>9.4939544543581889E-3</c:v>
                </c:pt>
                <c:pt idx="887">
                  <c:v>9.5025578497143215E-3</c:v>
                </c:pt>
                <c:pt idx="888">
                  <c:v>9.5110692817268472E-3</c:v>
                </c:pt>
                <c:pt idx="889">
                  <c:v>9.5194887503957659E-3</c:v>
                </c:pt>
                <c:pt idx="890">
                  <c:v>9.527816255667787E-3</c:v>
                </c:pt>
                <c:pt idx="891">
                  <c:v>9.5360517975962011E-3</c:v>
                </c:pt>
                <c:pt idx="892">
                  <c:v>9.5441953760744269E-3</c:v>
                </c:pt>
                <c:pt idx="893">
                  <c:v>9.5529447827402691E-3</c:v>
                </c:pt>
                <c:pt idx="894">
                  <c:v>9.5602066427602495E-3</c:v>
                </c:pt>
                <c:pt idx="895">
                  <c:v>9.5680743308879102E-3</c:v>
                </c:pt>
                <c:pt idx="896">
                  <c:v>9.5758500555653825E-3</c:v>
                </c:pt>
                <c:pt idx="897">
                  <c:v>9.5835338167127304E-3</c:v>
                </c:pt>
                <c:pt idx="898">
                  <c:v>9.5911256143565993E-3</c:v>
                </c:pt>
                <c:pt idx="899">
                  <c:v>9.5986254484703437E-3</c:v>
                </c:pt>
                <c:pt idx="900">
                  <c:v>9.6060333190273184E-3</c:v>
                </c:pt>
                <c:pt idx="901">
                  <c:v>9.6133492259742326E-3</c:v>
                </c:pt>
                <c:pt idx="902">
                  <c:v>9.6205731693910224E-3</c:v>
                </c:pt>
                <c:pt idx="903">
                  <c:v>9.6277051491711063E-3</c:v>
                </c:pt>
                <c:pt idx="904">
                  <c:v>9.6347451653411298E-3</c:v>
                </c:pt>
                <c:pt idx="905">
                  <c:v>9.6416932178478021E-3</c:v>
                </c:pt>
                <c:pt idx="906">
                  <c:v>9.6485493067444139E-3</c:v>
                </c:pt>
                <c:pt idx="907">
                  <c:v>9.6553134319510292E-3</c:v>
                </c:pt>
                <c:pt idx="908">
                  <c:v>9.661985593467648E-3</c:v>
                </c:pt>
                <c:pt idx="909">
                  <c:v>9.6685657912942702E-3</c:v>
                </c:pt>
                <c:pt idx="910">
                  <c:v>9.6750540254042505E-3</c:v>
                </c:pt>
                <c:pt idx="911">
                  <c:v>9.6844840739196414E-3</c:v>
                </c:pt>
                <c:pt idx="912">
                  <c:v>9.6901680876193552E-3</c:v>
                </c:pt>
                <c:pt idx="913">
                  <c:v>9.6963406850125722E-3</c:v>
                </c:pt>
                <c:pt idx="914">
                  <c:v>9.7024213234853107E-3</c:v>
                </c:pt>
                <c:pt idx="915">
                  <c:v>9.7084100027977627E-3</c:v>
                </c:pt>
                <c:pt idx="916">
                  <c:v>9.7143067231897362E-3</c:v>
                </c:pt>
                <c:pt idx="917">
                  <c:v>9.7201114843414871E-3</c:v>
                </c:pt>
                <c:pt idx="918">
                  <c:v>9.7258242865727595E-3</c:v>
                </c:pt>
                <c:pt idx="919">
                  <c:v>9.7314451297236815E-3</c:v>
                </c:pt>
                <c:pt idx="920">
                  <c:v>9.7369740137942529E-3</c:v>
                </c:pt>
                <c:pt idx="921">
                  <c:v>9.7424109388644098E-3</c:v>
                </c:pt>
                <c:pt idx="922">
                  <c:v>9.7477559047742801E-3</c:v>
                </c:pt>
                <c:pt idx="923">
                  <c:v>9.753008911683736E-3</c:v>
                </c:pt>
                <c:pt idx="924">
                  <c:v>9.7581699595128413E-3</c:v>
                </c:pt>
                <c:pt idx="925">
                  <c:v>9.7632390482615961E-3</c:v>
                </c:pt>
                <c:pt idx="926">
                  <c:v>9.7682161778500642E-3</c:v>
                </c:pt>
                <c:pt idx="927">
                  <c:v>9.7744802209742687E-3</c:v>
                </c:pt>
                <c:pt idx="928">
                  <c:v>9.7813247947819981E-3</c:v>
                </c:pt>
                <c:pt idx="929">
                  <c:v>9.7839221367035378E-3</c:v>
                </c:pt>
                <c:pt idx="930">
                  <c:v>9.7885052689772323E-3</c:v>
                </c:pt>
                <c:pt idx="931">
                  <c:v>9.7930153189107472E-3</c:v>
                </c:pt>
                <c:pt idx="932">
                  <c:v>9.7989939734421938E-3</c:v>
                </c:pt>
                <c:pt idx="933">
                  <c:v>9.8018592381876601E-3</c:v>
                </c:pt>
                <c:pt idx="934">
                  <c:v>9.8061931075310582E-3</c:v>
                </c:pt>
                <c:pt idx="935">
                  <c:v>9.810468249931148E-3</c:v>
                </c:pt>
                <c:pt idx="936">
                  <c:v>9.8146846653879294E-3</c:v>
                </c:pt>
                <c:pt idx="937">
                  <c:v>9.8188423540612746E-3</c:v>
                </c:pt>
                <c:pt idx="938">
                  <c:v>9.8229413157913115E-3</c:v>
                </c:pt>
                <c:pt idx="939">
                  <c:v>9.82698155057804E-3</c:v>
                </c:pt>
                <c:pt idx="940">
                  <c:v>9.8309630585013963E-3</c:v>
                </c:pt>
                <c:pt idx="941">
                  <c:v>9.8348858395613803E-3</c:v>
                </c:pt>
                <c:pt idx="942">
                  <c:v>9.838749893678056E-3</c:v>
                </c:pt>
                <c:pt idx="943">
                  <c:v>9.8425552208514233E-3</c:v>
                </c:pt>
                <c:pt idx="944">
                  <c:v>9.8463018211614184E-3</c:v>
                </c:pt>
                <c:pt idx="945">
                  <c:v>9.8499896945281051E-3</c:v>
                </c:pt>
                <c:pt idx="946">
                  <c:v>9.8536188409514835E-3</c:v>
                </c:pt>
                <c:pt idx="947">
                  <c:v>9.8571892605114897E-3</c:v>
                </c:pt>
                <c:pt idx="948">
                  <c:v>9.8607009532081236E-3</c:v>
                </c:pt>
                <c:pt idx="949">
                  <c:v>9.8641539188815131E-3</c:v>
                </c:pt>
                <c:pt idx="950">
                  <c:v>9.8675481576915303E-3</c:v>
                </c:pt>
                <c:pt idx="951">
                  <c:v>9.8708836695582391E-3</c:v>
                </c:pt>
                <c:pt idx="952">
                  <c:v>9.8741604544816397E-3</c:v>
                </c:pt>
                <c:pt idx="953">
                  <c:v>9.877378512541668E-3</c:v>
                </c:pt>
                <c:pt idx="954">
                  <c:v>9.8805378436583879E-3</c:v>
                </c:pt>
                <c:pt idx="955">
                  <c:v>9.8836384478317996E-3</c:v>
                </c:pt>
                <c:pt idx="956">
                  <c:v>9.8866803250619029E-3</c:v>
                </c:pt>
                <c:pt idx="957">
                  <c:v>9.8896634753486978E-3</c:v>
                </c:pt>
                <c:pt idx="958">
                  <c:v>9.8925878987721205E-3</c:v>
                </c:pt>
                <c:pt idx="959">
                  <c:v>9.8954535951722988E-3</c:v>
                </c:pt>
                <c:pt idx="960">
                  <c:v>9.8982605647091049E-3</c:v>
                </c:pt>
                <c:pt idx="961">
                  <c:v>9.9010088072226665E-3</c:v>
                </c:pt>
                <c:pt idx="962">
                  <c:v>9.9052088217987944E-3</c:v>
                </c:pt>
                <c:pt idx="963">
                  <c:v>9.9078060521495814E-3</c:v>
                </c:pt>
                <c:pt idx="964">
                  <c:v>9.9089011733433097E-3</c:v>
                </c:pt>
                <c:pt idx="965">
                  <c:v>9.9114145081635741E-3</c:v>
                </c:pt>
                <c:pt idx="966">
                  <c:v>9.9138691159605941E-3</c:v>
                </c:pt>
                <c:pt idx="967">
                  <c:v>9.9162649968942418E-3</c:v>
                </c:pt>
                <c:pt idx="968">
                  <c:v>9.9186021509645173E-3</c:v>
                </c:pt>
                <c:pt idx="969">
                  <c:v>9.9208805779316123E-3</c:v>
                </c:pt>
                <c:pt idx="970">
                  <c:v>9.923100278035335E-3</c:v>
                </c:pt>
                <c:pt idx="971">
                  <c:v>9.9252612511158134E-3</c:v>
                </c:pt>
                <c:pt idx="972">
                  <c:v>9.9273634973329195E-3</c:v>
                </c:pt>
                <c:pt idx="973">
                  <c:v>9.9294070165267811E-3</c:v>
                </c:pt>
                <c:pt idx="974">
                  <c:v>9.9313918088572706E-3</c:v>
                </c:pt>
                <c:pt idx="975">
                  <c:v>9.9333178741645156E-3</c:v>
                </c:pt>
                <c:pt idx="976">
                  <c:v>9.9362552026729389E-3</c:v>
                </c:pt>
                <c:pt idx="977">
                  <c:v>9.9369938239490807E-3</c:v>
                </c:pt>
                <c:pt idx="978">
                  <c:v>9.9387437084264008E-3</c:v>
                </c:pt>
                <c:pt idx="979">
                  <c:v>9.9404348659604125E-3</c:v>
                </c:pt>
                <c:pt idx="980">
                  <c:v>9.9420672964711798E-3</c:v>
                </c:pt>
                <c:pt idx="981">
                  <c:v>9.9436410001185749E-3</c:v>
                </c:pt>
                <c:pt idx="982">
                  <c:v>9.9458565551380218E-3</c:v>
                </c:pt>
                <c:pt idx="983">
                  <c:v>9.9466707699935597E-3</c:v>
                </c:pt>
                <c:pt idx="984">
                  <c:v>9.9482619016200147E-3</c:v>
                </c:pt>
                <c:pt idx="985">
                  <c:v>9.9499298326133356E-3</c:v>
                </c:pt>
                <c:pt idx="986">
                  <c:v>9.9516745628136505E-3</c:v>
                </c:pt>
                <c:pt idx="987">
                  <c:v>9.9534960923808313E-3</c:v>
                </c:pt>
                <c:pt idx="988">
                  <c:v>9.9553944211550061E-3</c:v>
                </c:pt>
                <c:pt idx="989">
                  <c:v>9.9573695492161107E-3</c:v>
                </c:pt>
                <c:pt idx="990">
                  <c:v>9.9594214766440814E-3</c:v>
                </c:pt>
                <c:pt idx="991">
                  <c:v>9.961550203358982E-3</c:v>
                </c:pt>
                <c:pt idx="992">
                  <c:v>9.9637557293608126E-3</c:v>
                </c:pt>
                <c:pt idx="993">
                  <c:v>9.9660380547295091E-3</c:v>
                </c:pt>
                <c:pt idx="994">
                  <c:v>9.9683971793051995E-3</c:v>
                </c:pt>
                <c:pt idx="995">
                  <c:v>9.970833103247756E-3</c:v>
                </c:pt>
                <c:pt idx="996">
                  <c:v>9.9733458264772423E-3</c:v>
                </c:pt>
                <c:pt idx="997">
                  <c:v>9.9759353489936586E-3</c:v>
                </c:pt>
                <c:pt idx="998">
                  <c:v>9.9786016707970049E-3</c:v>
                </c:pt>
                <c:pt idx="999">
                  <c:v>9.9813447919672171E-3</c:v>
                </c:pt>
                <c:pt idx="1000">
                  <c:v>9.9841647124243593E-3</c:v>
                </c:pt>
                <c:pt idx="1001">
                  <c:v>9.9870614322483675E-3</c:v>
                </c:pt>
                <c:pt idx="1002">
                  <c:v>9.9900349512793696E-3</c:v>
                </c:pt>
                <c:pt idx="1003">
                  <c:v>9.9930852697571737E-3</c:v>
                </c:pt>
                <c:pt idx="1004">
                  <c:v>9.9962123874419717E-3</c:v>
                </c:pt>
                <c:pt idx="1005">
                  <c:v>9.9994163044936357E-3</c:v>
                </c:pt>
                <c:pt idx="1006">
                  <c:v>1.0002697020912166E-2</c:v>
                </c:pt>
                <c:pt idx="1007">
                  <c:v>1.0006054536617626E-2</c:v>
                </c:pt>
                <c:pt idx="1008">
                  <c:v>1.0009488851610016E-2</c:v>
                </c:pt>
                <c:pt idx="1009">
                  <c:v>1.0012999966049208E-2</c:v>
                </c:pt>
                <c:pt idx="1010">
                  <c:v>1.0016587879695393E-2</c:v>
                </c:pt>
                <c:pt idx="1011">
                  <c:v>1.0020252592708445E-2</c:v>
                </c:pt>
                <c:pt idx="1012">
                  <c:v>1.0023994105088363E-2</c:v>
                </c:pt>
                <c:pt idx="1013">
                  <c:v>1.0027812416835147E-2</c:v>
                </c:pt>
                <c:pt idx="1014">
                  <c:v>1.003339531568237E-2</c:v>
                </c:pt>
                <c:pt idx="1015">
                  <c:v>1.0036961258459431E-2</c:v>
                </c:pt>
                <c:pt idx="1016">
                  <c:v>1.0039728148036886E-2</c:v>
                </c:pt>
                <c:pt idx="1017">
                  <c:v>1.0043853657171198E-2</c:v>
                </c:pt>
                <c:pt idx="1018">
                  <c:v>1.004805596559244E-2</c:v>
                </c:pt>
                <c:pt idx="1019">
                  <c:v>1.0052335073460483E-2</c:v>
                </c:pt>
                <c:pt idx="1020">
                  <c:v>1.0056690980535521E-2</c:v>
                </c:pt>
                <c:pt idx="1021">
                  <c:v>1.0061123687137297E-2</c:v>
                </c:pt>
                <c:pt idx="1022">
                  <c:v>1.0065633193026002E-2</c:v>
                </c:pt>
                <c:pt idx="1023">
                  <c:v>1.0070219498281574E-2</c:v>
                </c:pt>
                <c:pt idx="1024">
                  <c:v>1.0074882602904012E-2</c:v>
                </c:pt>
                <c:pt idx="1025">
                  <c:v>1.0079622506893315E-2</c:v>
                </c:pt>
                <c:pt idx="1026">
                  <c:v>1.0084439210249485E-2</c:v>
                </c:pt>
                <c:pt idx="1027">
                  <c:v>1.0091312230130711E-2</c:v>
                </c:pt>
                <c:pt idx="1028">
                  <c:v>1.0094303015142359E-2</c:v>
                </c:pt>
                <c:pt idx="1029">
                  <c:v>1.0099350116758998E-2</c:v>
                </c:pt>
                <c:pt idx="1030">
                  <c:v>1.0104474017582632E-2</c:v>
                </c:pt>
                <c:pt idx="1031">
                  <c:v>1.0109674717933004E-2</c:v>
                </c:pt>
                <c:pt idx="1032">
                  <c:v>1.0114952217650242E-2</c:v>
                </c:pt>
                <c:pt idx="1033">
                  <c:v>1.0122135536123622E-2</c:v>
                </c:pt>
                <c:pt idx="1034">
                  <c:v>1.0125737615185315E-2</c:v>
                </c:pt>
                <c:pt idx="1035">
                  <c:v>1.0131230870316088E-2</c:v>
                </c:pt>
                <c:pt idx="1036">
                  <c:v>1.0136699216651834E-2</c:v>
                </c:pt>
                <c:pt idx="1037">
                  <c:v>1.0142128011425555E-2</c:v>
                </c:pt>
                <c:pt idx="1038">
                  <c:v>1.0147517254557314E-2</c:v>
                </c:pt>
                <c:pt idx="1039">
                  <c:v>1.0152866946206984E-2</c:v>
                </c:pt>
                <c:pt idx="1040">
                  <c:v>1.0158177086214693E-2</c:v>
                </c:pt>
                <c:pt idx="1041">
                  <c:v>1.0163447674660375E-2</c:v>
                </c:pt>
                <c:pt idx="1042">
                  <c:v>1.0168678711464096E-2</c:v>
                </c:pt>
                <c:pt idx="1043">
                  <c:v>1.0173870196785728E-2</c:v>
                </c:pt>
                <c:pt idx="1044">
                  <c:v>1.0179022130465398E-2</c:v>
                </c:pt>
                <c:pt idx="1045">
                  <c:v>1.0184134512503107E-2</c:v>
                </c:pt>
                <c:pt idx="1046">
                  <c:v>1.0189207343058726E-2</c:v>
                </c:pt>
                <c:pt idx="1047">
                  <c:v>1.0194240621972384E-2</c:v>
                </c:pt>
                <c:pt idx="1048">
                  <c:v>1.019923434924408E-2</c:v>
                </c:pt>
                <c:pt idx="1049">
                  <c:v>1.020418852495375E-2</c:v>
                </c:pt>
                <c:pt idx="1050">
                  <c:v>1.0209103149101395E-2</c:v>
                </c:pt>
                <c:pt idx="1051">
                  <c:v>1.0213978221607078E-2</c:v>
                </c:pt>
                <c:pt idx="1052">
                  <c:v>1.0218813742550736E-2</c:v>
                </c:pt>
                <c:pt idx="1053">
                  <c:v>1.0223609711852433E-2</c:v>
                </c:pt>
                <c:pt idx="1054">
                  <c:v>1.0228366129512168E-2</c:v>
                </c:pt>
                <c:pt idx="1055">
                  <c:v>1.0233082995689813E-2</c:v>
                </c:pt>
                <c:pt idx="1056">
                  <c:v>1.0237760310145561E-2</c:v>
                </c:pt>
                <c:pt idx="1057">
                  <c:v>1.0242398073039283E-2</c:v>
                </c:pt>
                <c:pt idx="1058">
                  <c:v>1.0246996284291043E-2</c:v>
                </c:pt>
                <c:pt idx="1059">
                  <c:v>1.0251554943980778E-2</c:v>
                </c:pt>
                <c:pt idx="1060">
                  <c:v>1.0256074052028552E-2</c:v>
                </c:pt>
                <c:pt idx="1061">
                  <c:v>1.0260553608434364E-2</c:v>
                </c:pt>
                <c:pt idx="1062">
                  <c:v>1.0264993613278151E-2</c:v>
                </c:pt>
                <c:pt idx="1063">
                  <c:v>1.0269394066479975E-2</c:v>
                </c:pt>
                <c:pt idx="1064">
                  <c:v>1.0273754968039839E-2</c:v>
                </c:pt>
                <c:pt idx="1065">
                  <c:v>1.0278076318037677E-2</c:v>
                </c:pt>
                <c:pt idx="1066">
                  <c:v>1.0282358116393553E-2</c:v>
                </c:pt>
                <c:pt idx="1067">
                  <c:v>1.0288546391186149E-2</c:v>
                </c:pt>
                <c:pt idx="1068">
                  <c:v>1.029229053397529E-2</c:v>
                </c:pt>
                <c:pt idx="1069">
                  <c:v>1.0296442614414758E-2</c:v>
                </c:pt>
                <c:pt idx="1070">
                  <c:v>1.0300555141080636E-2</c:v>
                </c:pt>
                <c:pt idx="1071">
                  <c:v>1.0304628113919634E-2</c:v>
                </c:pt>
                <c:pt idx="1072">
                  <c:v>1.0308661532958396E-2</c:v>
                </c:pt>
                <c:pt idx="1073">
                  <c:v>1.0312655398196924E-2</c:v>
                </c:pt>
                <c:pt idx="1074">
                  <c:v>1.0316609709608571E-2</c:v>
                </c:pt>
                <c:pt idx="1075">
                  <c:v>1.0320524467219983E-2</c:v>
                </c:pt>
                <c:pt idx="1076">
                  <c:v>1.0324399671031159E-2</c:v>
                </c:pt>
                <c:pt idx="1077">
                  <c:v>1.0328235320962165E-2</c:v>
                </c:pt>
                <c:pt idx="1078">
                  <c:v>1.033203141711958E-2</c:v>
                </c:pt>
                <c:pt idx="1079">
                  <c:v>1.033578795942347E-2</c:v>
                </c:pt>
                <c:pt idx="1080">
                  <c:v>1.033950494790048E-2</c:v>
                </c:pt>
                <c:pt idx="1081">
                  <c:v>1.0343182382523963E-2</c:v>
                </c:pt>
                <c:pt idx="1082">
                  <c:v>1.0348070061478865E-2</c:v>
                </c:pt>
                <c:pt idx="1083">
                  <c:v>1.0350418590263644E-2</c:v>
                </c:pt>
                <c:pt idx="1084">
                  <c:v>1.0354378712500445E-2</c:v>
                </c:pt>
                <c:pt idx="1085">
                  <c:v>1.0357496582615866E-2</c:v>
                </c:pt>
                <c:pt idx="1086">
                  <c:v>1.0360976248025011E-2</c:v>
                </c:pt>
                <c:pt idx="1087">
                  <c:v>1.0364416359553985E-2</c:v>
                </c:pt>
                <c:pt idx="1088">
                  <c:v>1.0368207363204984E-2</c:v>
                </c:pt>
                <c:pt idx="1089">
                  <c:v>1.0371177920998065E-2</c:v>
                </c:pt>
                <c:pt idx="1090">
                  <c:v>1.0374499370939816E-2</c:v>
                </c:pt>
                <c:pt idx="1091">
                  <c:v>1.0377781267001396E-2</c:v>
                </c:pt>
                <c:pt idx="1092">
                  <c:v>1.0381023609182805E-2</c:v>
                </c:pt>
                <c:pt idx="1093">
                  <c:v>1.0384226397484042E-2</c:v>
                </c:pt>
                <c:pt idx="1094">
                  <c:v>1.0387389631905108E-2</c:v>
                </c:pt>
                <c:pt idx="1095">
                  <c:v>1.0390513312446004E-2</c:v>
                </c:pt>
                <c:pt idx="1096">
                  <c:v>1.0393597439080082E-2</c:v>
                </c:pt>
                <c:pt idx="1097">
                  <c:v>1.039664201183399E-2</c:v>
                </c:pt>
                <c:pt idx="1098">
                  <c:v>1.0399647030681081E-2</c:v>
                </c:pt>
                <c:pt idx="1099">
                  <c:v>1.0402612495674646E-2</c:v>
                </c:pt>
                <c:pt idx="1100">
                  <c:v>1.0405538406734749E-2</c:v>
                </c:pt>
                <c:pt idx="1101">
                  <c:v>1.0408779651973621E-2</c:v>
                </c:pt>
                <c:pt idx="1102">
                  <c:v>1.0411271567134506E-2</c:v>
                </c:pt>
                <c:pt idx="1103">
                  <c:v>1.0414078816474159E-2</c:v>
                </c:pt>
                <c:pt idx="1104">
                  <c:v>1.0416846511906996E-2</c:v>
                </c:pt>
                <c:pt idx="1105">
                  <c:v>1.0419574653406372E-2</c:v>
                </c:pt>
                <c:pt idx="1106">
                  <c:v>1.042226324099893E-2</c:v>
                </c:pt>
                <c:pt idx="1107">
                  <c:v>1.0424912274684672E-2</c:v>
                </c:pt>
                <c:pt idx="1108">
                  <c:v>1.0427521754436953E-2</c:v>
                </c:pt>
                <c:pt idx="1109">
                  <c:v>1.0430091680255771E-2</c:v>
                </c:pt>
                <c:pt idx="1110">
                  <c:v>1.0432622052167773E-2</c:v>
                </c:pt>
                <c:pt idx="1111">
                  <c:v>1.0435112870146313E-2</c:v>
                </c:pt>
                <c:pt idx="1112">
                  <c:v>1.0437564134191391E-2</c:v>
                </c:pt>
                <c:pt idx="1113">
                  <c:v>1.0439975844276361E-2</c:v>
                </c:pt>
                <c:pt idx="1114">
                  <c:v>1.0442348000454515E-2</c:v>
                </c:pt>
                <c:pt idx="1115">
                  <c:v>1.0444680602672562E-2</c:v>
                </c:pt>
                <c:pt idx="1116">
                  <c:v>1.0446973650957148E-2</c:v>
                </c:pt>
                <c:pt idx="1117">
                  <c:v>1.0449227145308271E-2</c:v>
                </c:pt>
                <c:pt idx="1118">
                  <c:v>1.0452057034990858E-2</c:v>
                </c:pt>
                <c:pt idx="1119">
                  <c:v>1.0453920813082718E-2</c:v>
                </c:pt>
                <c:pt idx="1120">
                  <c:v>1.0455750304600997E-2</c:v>
                </c:pt>
                <c:pt idx="1121">
                  <c:v>1.0457845583164982E-2</c:v>
                </c:pt>
                <c:pt idx="1122">
                  <c:v>1.0459901307742214E-2</c:v>
                </c:pt>
                <c:pt idx="1123">
                  <c:v>1.0461917478359339E-2</c:v>
                </c:pt>
                <c:pt idx="1124">
                  <c:v>1.0463894095016357E-2</c:v>
                </c:pt>
                <c:pt idx="1125">
                  <c:v>1.0465831157739913E-2</c:v>
                </c:pt>
                <c:pt idx="1126">
                  <c:v>1.0467728666476717E-2</c:v>
                </c:pt>
                <c:pt idx="1127">
                  <c:v>1.0469586621253413E-2</c:v>
                </c:pt>
                <c:pt idx="1128">
                  <c:v>1.0471405022043356E-2</c:v>
                </c:pt>
                <c:pt idx="1129">
                  <c:v>1.0473183868899838E-2</c:v>
                </c:pt>
                <c:pt idx="1130">
                  <c:v>1.0474923161769567E-2</c:v>
                </c:pt>
                <c:pt idx="1131">
                  <c:v>1.0476622900679189E-2</c:v>
                </c:pt>
                <c:pt idx="1132">
                  <c:v>1.0478677743748221E-2</c:v>
                </c:pt>
                <c:pt idx="1133">
                  <c:v>1.0479903716538175E-2</c:v>
                </c:pt>
                <c:pt idx="1134">
                  <c:v>1.0481484793514184E-2</c:v>
                </c:pt>
                <c:pt idx="1135">
                  <c:v>1.0483026316503441E-2</c:v>
                </c:pt>
                <c:pt idx="1136">
                  <c:v>1.0484528285505945E-2</c:v>
                </c:pt>
                <c:pt idx="1137">
                  <c:v>1.0486246126468757E-2</c:v>
                </c:pt>
                <c:pt idx="1138">
                  <c:v>1.0487413561603987E-2</c:v>
                </c:pt>
                <c:pt idx="1139">
                  <c:v>1.0488796868646233E-2</c:v>
                </c:pt>
                <c:pt idx="1140">
                  <c:v>1.0490387692458913E-2</c:v>
                </c:pt>
                <c:pt idx="1141">
                  <c:v>1.0491444820823759E-2</c:v>
                </c:pt>
                <c:pt idx="1142">
                  <c:v>1.0492709465932393E-2</c:v>
                </c:pt>
                <c:pt idx="1143">
                  <c:v>1.0493934557054274E-2</c:v>
                </c:pt>
                <c:pt idx="1144">
                  <c:v>1.0495120094162758E-2</c:v>
                </c:pt>
                <c:pt idx="1145">
                  <c:v>1.0496266077311134E-2</c:v>
                </c:pt>
                <c:pt idx="1146">
                  <c:v>1.0497372506419467E-2</c:v>
                </c:pt>
                <c:pt idx="1147">
                  <c:v>1.0498439381567692E-2</c:v>
                </c:pt>
                <c:pt idx="1148">
                  <c:v>1.049946670270252E-2</c:v>
                </c:pt>
                <c:pt idx="1149">
                  <c:v>1.0500454469850595E-2</c:v>
                </c:pt>
                <c:pt idx="1150">
                  <c:v>1.0501402683011918E-2</c:v>
                </c:pt>
                <c:pt idx="1151">
                  <c:v>1.0502311342159842E-2</c:v>
                </c:pt>
                <c:pt idx="1152">
                  <c:v>1.0503180447321014E-2</c:v>
                </c:pt>
                <c:pt idx="1153">
                  <c:v>1.0504220743823289E-2</c:v>
                </c:pt>
                <c:pt idx="1154">
                  <c:v>1.050479999562981E-2</c:v>
                </c:pt>
                <c:pt idx="1155">
                  <c:v>1.0505550438777433E-2</c:v>
                </c:pt>
                <c:pt idx="1156">
                  <c:v>1.0506261327911659E-2</c:v>
                </c:pt>
                <c:pt idx="1157">
                  <c:v>1.0506932663059132E-2</c:v>
                </c:pt>
                <c:pt idx="1158">
                  <c:v>1.0507564444219852E-2</c:v>
                </c:pt>
                <c:pt idx="1159">
                  <c:v>1.0508156671340529E-2</c:v>
                </c:pt>
                <c:pt idx="1160">
                  <c:v>1.0508709344474454E-2</c:v>
                </c:pt>
                <c:pt idx="1161">
                  <c:v>1.050922246359498E-2</c:v>
                </c:pt>
                <c:pt idx="1162">
                  <c:v>1.0509696028728754E-2</c:v>
                </c:pt>
                <c:pt idx="1163">
                  <c:v>1.051013003984913E-2</c:v>
                </c:pt>
                <c:pt idx="1164">
                  <c:v>1.0510524496956108E-2</c:v>
                </c:pt>
                <c:pt idx="1165">
                  <c:v>1.0510879400049689E-2</c:v>
                </c:pt>
                <c:pt idx="1166">
                  <c:v>1.0511194749129871E-2</c:v>
                </c:pt>
                <c:pt idx="1167">
                  <c:v>1.05114705442233E-2</c:v>
                </c:pt>
                <c:pt idx="1168">
                  <c:v>1.0511706785303332E-2</c:v>
                </c:pt>
                <c:pt idx="1169">
                  <c:v>1.0511903472369966E-2</c:v>
                </c:pt>
                <c:pt idx="1170">
                  <c:v>1.0512060605423201E-2</c:v>
                </c:pt>
                <c:pt idx="1171">
                  <c:v>1.0512057283960097E-2</c:v>
                </c:pt>
                <c:pt idx="1172">
                  <c:v>1.0511964555135478E-2</c:v>
                </c:pt>
                <c:pt idx="1173">
                  <c:v>1.0511991723403113E-2</c:v>
                </c:pt>
                <c:pt idx="1174">
                  <c:v>1.0511979340028788E-2</c:v>
                </c:pt>
                <c:pt idx="1175">
                  <c:v>1.0511927404852628E-2</c:v>
                </c:pt>
                <c:pt idx="1176">
                  <c:v>1.0511835918114443E-2</c:v>
                </c:pt>
                <c:pt idx="1177">
                  <c:v>1.051170487965436E-2</c:v>
                </c:pt>
                <c:pt idx="1178">
                  <c:v>1.0511534289392443E-2</c:v>
                </c:pt>
                <c:pt idx="1179">
                  <c:v>1.0511324147568502E-2</c:v>
                </c:pt>
                <c:pt idx="1180">
                  <c:v>1.0511074453942726E-2</c:v>
                </c:pt>
                <c:pt idx="1181">
                  <c:v>1.0510785208595053E-2</c:v>
                </c:pt>
                <c:pt idx="1182">
                  <c:v>1.0510456411605418E-2</c:v>
                </c:pt>
                <c:pt idx="1183">
                  <c:v>1.0510088062893885E-2</c:v>
                </c:pt>
                <c:pt idx="1184">
                  <c:v>1.0509680162540391E-2</c:v>
                </c:pt>
                <c:pt idx="1185">
                  <c:v>1.0509232710465E-2</c:v>
                </c:pt>
                <c:pt idx="1186">
                  <c:v>1.050874570666771E-2</c:v>
                </c:pt>
                <c:pt idx="1187">
                  <c:v>1.0508061442182637E-2</c:v>
                </c:pt>
                <c:pt idx="1188">
                  <c:v>1.0507653043987375E-2</c:v>
                </c:pt>
                <c:pt idx="1189">
                  <c:v>1.0506957633698022E-2</c:v>
                </c:pt>
                <c:pt idx="1190">
                  <c:v>1.0506402174579321E-2</c:v>
                </c:pt>
                <c:pt idx="1191">
                  <c:v>1.0505732930798928E-2</c:v>
                </c:pt>
                <c:pt idx="1192">
                  <c:v>1.0504979678138682E-2</c:v>
                </c:pt>
                <c:pt idx="1193">
                  <c:v>1.0504423811745767E-2</c:v>
                </c:pt>
                <c:pt idx="1194">
                  <c:v>1.0503694753891679E-2</c:v>
                </c:pt>
                <c:pt idx="1195">
                  <c:v>1.0503157033543431E-2</c:v>
                </c:pt>
                <c:pt idx="1196">
                  <c:v>1.0502539522301291E-2</c:v>
                </c:pt>
                <c:pt idx="1197">
                  <c:v>1.0501932596351793E-2</c:v>
                </c:pt>
                <c:pt idx="1198">
                  <c:v>1.0501336255694937E-2</c:v>
                </c:pt>
                <c:pt idx="1199">
                  <c:v>1.0500750500250788E-2</c:v>
                </c:pt>
                <c:pt idx="1200">
                  <c:v>1.0500175330019346E-2</c:v>
                </c:pt>
                <c:pt idx="1201">
                  <c:v>1.0499610745080545E-2</c:v>
                </c:pt>
                <c:pt idx="1202">
                  <c:v>1.0499056745354451E-2</c:v>
                </c:pt>
                <c:pt idx="1203">
                  <c:v>1.0498513330921E-2</c:v>
                </c:pt>
                <c:pt idx="1204">
                  <c:v>1.0497980501700255E-2</c:v>
                </c:pt>
                <c:pt idx="1205">
                  <c:v>1.0497384515479879E-2</c:v>
                </c:pt>
                <c:pt idx="1206">
                  <c:v>1.0496946598896884E-2</c:v>
                </c:pt>
                <c:pt idx="1207">
                  <c:v>1.049644552547413E-2</c:v>
                </c:pt>
                <c:pt idx="1208">
                  <c:v>1.0495955037184146E-2</c:v>
                </c:pt>
                <c:pt idx="1209">
                  <c:v>1.0495475134186805E-2</c:v>
                </c:pt>
                <c:pt idx="1210">
                  <c:v>1.0495005816482106E-2</c:v>
                </c:pt>
                <c:pt idx="1211">
                  <c:v>1.0494547083990113E-2</c:v>
                </c:pt>
                <c:pt idx="1212">
                  <c:v>1.0494098936710827E-2</c:v>
                </c:pt>
                <c:pt idx="1213">
                  <c:v>1.0493661374724184E-2</c:v>
                </c:pt>
                <c:pt idx="1214">
                  <c:v>1.0493234397950246E-2</c:v>
                </c:pt>
                <c:pt idx="1215">
                  <c:v>1.0492818006389015E-2</c:v>
                </c:pt>
                <c:pt idx="1216">
                  <c:v>1.0492412200200363E-2</c:v>
                </c:pt>
                <c:pt idx="1217">
                  <c:v>1.0492016979144481E-2</c:v>
                </c:pt>
                <c:pt idx="1218">
                  <c:v>1.0491632343381241E-2</c:v>
                </c:pt>
                <c:pt idx="1219">
                  <c:v>1.0491258292830707E-2</c:v>
                </c:pt>
                <c:pt idx="1220">
                  <c:v>1.0490894827572816E-2</c:v>
                </c:pt>
                <c:pt idx="1221">
                  <c:v>1.0490541947527632E-2</c:v>
                </c:pt>
                <c:pt idx="1222">
                  <c:v>1.049019965277509E-2</c:v>
                </c:pt>
                <c:pt idx="1223">
                  <c:v>1.048995109432127E-2</c:v>
                </c:pt>
                <c:pt idx="1224">
                  <c:v>1.0489501808033097E-2</c:v>
                </c:pt>
                <c:pt idx="1225">
                  <c:v>1.0489192781228951E-2</c:v>
                </c:pt>
                <c:pt idx="1226">
                  <c:v>1.0488894339557575E-2</c:v>
                </c:pt>
                <c:pt idx="1227">
                  <c:v>1.0488606483178842E-2</c:v>
                </c:pt>
                <c:pt idx="1228">
                  <c:v>1.0488329212012815E-2</c:v>
                </c:pt>
                <c:pt idx="1229">
                  <c:v>1.048806252613943E-2</c:v>
                </c:pt>
                <c:pt idx="1230">
                  <c:v>1.0487806425478752E-2</c:v>
                </c:pt>
                <c:pt idx="1231">
                  <c:v>1.0487560910110716E-2</c:v>
                </c:pt>
                <c:pt idx="1232">
                  <c:v>1.0487325979955386E-2</c:v>
                </c:pt>
                <c:pt idx="1233">
                  <c:v>1.0487101635092699E-2</c:v>
                </c:pt>
                <c:pt idx="1234">
                  <c:v>1.0486887875362783E-2</c:v>
                </c:pt>
                <c:pt idx="1235">
                  <c:v>1.0486684700925508E-2</c:v>
                </c:pt>
                <c:pt idx="1236">
                  <c:v>1.0486492111780876E-2</c:v>
                </c:pt>
                <c:pt idx="1237">
                  <c:v>1.0486310107848951E-2</c:v>
                </c:pt>
                <c:pt idx="1238">
                  <c:v>1.0486091656671803E-2</c:v>
                </c:pt>
                <c:pt idx="1239">
                  <c:v>1.0485933847546036E-2</c:v>
                </c:pt>
                <c:pt idx="1240">
                  <c:v>1.0486194880801047E-2</c:v>
                </c:pt>
                <c:pt idx="1241">
                  <c:v>1.0485649985092493E-2</c:v>
                </c:pt>
                <c:pt idx="1242">
                  <c:v>1.0485523931764718E-2</c:v>
                </c:pt>
                <c:pt idx="1243">
                  <c:v>1.048582803005127E-2</c:v>
                </c:pt>
                <c:pt idx="1244">
                  <c:v>1.0485303580827221E-2</c:v>
                </c:pt>
                <c:pt idx="1245">
                  <c:v>1.04852092832175E-2</c:v>
                </c:pt>
                <c:pt idx="1246">
                  <c:v>1.0485125570820486E-2</c:v>
                </c:pt>
                <c:pt idx="1247">
                  <c:v>1.048505244379605E-2</c:v>
                </c:pt>
                <c:pt idx="1248">
                  <c:v>1.0484989901904385E-2</c:v>
                </c:pt>
                <c:pt idx="1249">
                  <c:v>1.0484937945225425E-2</c:v>
                </c:pt>
                <c:pt idx="1250">
                  <c:v>1.0484896573839109E-2</c:v>
                </c:pt>
                <c:pt idx="1251">
                  <c:v>1.0484865787665498E-2</c:v>
                </c:pt>
                <c:pt idx="1252">
                  <c:v>1.0484845586864466E-2</c:v>
                </c:pt>
                <c:pt idx="1253">
                  <c:v>1.0484835971196205E-2</c:v>
                </c:pt>
                <c:pt idx="1254">
                  <c:v>1.0484836940740649E-2</c:v>
                </c:pt>
                <c:pt idx="1255">
                  <c:v>1.0484848495577737E-2</c:v>
                </c:pt>
                <c:pt idx="1256">
                  <c:v>1.0484870635707466E-2</c:v>
                </c:pt>
                <c:pt idx="1257">
                  <c:v>1.0484903361129838E-2</c:v>
                </c:pt>
                <c:pt idx="1258">
                  <c:v>1.048494667168498E-2</c:v>
                </c:pt>
                <c:pt idx="1259">
                  <c:v>1.0485000567532765E-2</c:v>
                </c:pt>
                <c:pt idx="1260">
                  <c:v>1.048506504851332E-2</c:v>
                </c:pt>
                <c:pt idx="1261">
                  <c:v>1.0485140114866454E-2</c:v>
                </c:pt>
                <c:pt idx="1262">
                  <c:v>1.0485225766432293E-2</c:v>
                </c:pt>
                <c:pt idx="1263">
                  <c:v>1.0485322003290776E-2</c:v>
                </c:pt>
                <c:pt idx="1264">
                  <c:v>1.0485428825282028E-2</c:v>
                </c:pt>
                <c:pt idx="1265">
                  <c:v>1.0485546232645859E-2</c:v>
                </c:pt>
                <c:pt idx="1266">
                  <c:v>1.0485674225142461E-2</c:v>
                </c:pt>
                <c:pt idx="1267">
                  <c:v>1.048581280301164E-2</c:v>
                </c:pt>
                <c:pt idx="1268">
                  <c:v>1.0485961966013591E-2</c:v>
                </c:pt>
                <c:pt idx="1269">
                  <c:v>1.0486121714228247E-2</c:v>
                </c:pt>
                <c:pt idx="1270">
                  <c:v>1.0486292047815482E-2</c:v>
                </c:pt>
                <c:pt idx="1271">
                  <c:v>1.0486472966615423E-2</c:v>
                </c:pt>
                <c:pt idx="1272">
                  <c:v>1.0486664470628071E-2</c:v>
                </c:pt>
                <c:pt idx="1273">
                  <c:v>1.0486866559853425E-2</c:v>
                </c:pt>
                <c:pt idx="1274">
                  <c:v>1.0487205515197218E-2</c:v>
                </c:pt>
                <c:pt idx="1275">
                  <c:v>1.0487434823689412E-2</c:v>
                </c:pt>
                <c:pt idx="1276">
                  <c:v>1.0487536339205406E-2</c:v>
                </c:pt>
                <c:pt idx="1277">
                  <c:v>1.0487780769361521E-2</c:v>
                </c:pt>
                <c:pt idx="1278">
                  <c:v>1.0488035784890215E-2</c:v>
                </c:pt>
                <c:pt idx="1279">
                  <c:v>1.0488301385631615E-2</c:v>
                </c:pt>
                <c:pt idx="1280">
                  <c:v>1.0488577571665658E-2</c:v>
                </c:pt>
                <c:pt idx="1281">
                  <c:v>1.0488864342832471E-2</c:v>
                </c:pt>
                <c:pt idx="1282">
                  <c:v>1.0489161699371863E-2</c:v>
                </c:pt>
                <c:pt idx="1283">
                  <c:v>1.0489469641044025E-2</c:v>
                </c:pt>
                <c:pt idx="1284">
                  <c:v>1.0489788168008829E-2</c:v>
                </c:pt>
                <c:pt idx="1285">
                  <c:v>1.0490117280266276E-2</c:v>
                </c:pt>
                <c:pt idx="1286">
                  <c:v>1.0490456977736429E-2</c:v>
                </c:pt>
                <c:pt idx="1287">
                  <c:v>1.0491520959183376E-2</c:v>
                </c:pt>
                <c:pt idx="1288">
                  <c:v>1.049116812839479E-2</c:v>
                </c:pt>
                <c:pt idx="1289">
                  <c:v>1.0491539581582998E-2</c:v>
                </c:pt>
                <c:pt idx="1290">
                  <c:v>1.0491921620063849E-2</c:v>
                </c:pt>
                <c:pt idx="1291">
                  <c:v>1.049231424367747E-2</c:v>
                </c:pt>
                <c:pt idx="1292">
                  <c:v>1.0492717452663669E-2</c:v>
                </c:pt>
                <c:pt idx="1293">
                  <c:v>1.0493557349429139E-2</c:v>
                </c:pt>
                <c:pt idx="1294">
                  <c:v>1.0493555626274187E-2</c:v>
                </c:pt>
                <c:pt idx="1295">
                  <c:v>1.0493990590978441E-2</c:v>
                </c:pt>
                <c:pt idx="1296">
                  <c:v>1.0494436140895402E-2</c:v>
                </c:pt>
                <c:pt idx="1297">
                  <c:v>1.0494892276105006E-2</c:v>
                </c:pt>
                <c:pt idx="1298">
                  <c:v>1.0495358996527315E-2</c:v>
                </c:pt>
                <c:pt idx="1299">
                  <c:v>1.0495836302162331E-2</c:v>
                </c:pt>
                <c:pt idx="1300">
                  <c:v>1.049632419308999E-2</c:v>
                </c:pt>
                <c:pt idx="1301">
                  <c:v>1.0496822669230355E-2</c:v>
                </c:pt>
                <c:pt idx="1302">
                  <c:v>1.0497331730663362E-2</c:v>
                </c:pt>
                <c:pt idx="1303">
                  <c:v>1.0497851377229139E-2</c:v>
                </c:pt>
                <c:pt idx="1304">
                  <c:v>1.0498381609167495E-2</c:v>
                </c:pt>
                <c:pt idx="1305">
                  <c:v>1.0498922426238622E-2</c:v>
                </c:pt>
                <c:pt idx="1306">
                  <c:v>1.0499473828682326E-2</c:v>
                </c:pt>
                <c:pt idx="1307">
                  <c:v>1.0500035816338738E-2</c:v>
                </c:pt>
                <c:pt idx="1308">
                  <c:v>1.0500608389207855E-2</c:v>
                </c:pt>
                <c:pt idx="1309">
                  <c:v>1.0501191547369615E-2</c:v>
                </c:pt>
                <c:pt idx="1310">
                  <c:v>1.0501785290664145E-2</c:v>
                </c:pt>
                <c:pt idx="1311">
                  <c:v>1.0502389619251318E-2</c:v>
                </c:pt>
                <c:pt idx="1312">
                  <c:v>1.0503004533131133E-2</c:v>
                </c:pt>
                <c:pt idx="1313">
                  <c:v>1.050363003230359E-2</c:v>
                </c:pt>
                <c:pt idx="1314">
                  <c:v>1.0504266116688754E-2</c:v>
                </c:pt>
                <c:pt idx="1315">
                  <c:v>1.0504912786286624E-2</c:v>
                </c:pt>
                <c:pt idx="1316">
                  <c:v>1.0505570041177137E-2</c:v>
                </c:pt>
                <c:pt idx="1317">
                  <c:v>1.0506237881280356E-2</c:v>
                </c:pt>
                <c:pt idx="1318">
                  <c:v>1.0506916306596281E-2</c:v>
                </c:pt>
                <c:pt idx="1319">
                  <c:v>1.0507605317204849E-2</c:v>
                </c:pt>
                <c:pt idx="1320">
                  <c:v>1.0508304913106059E-2</c:v>
                </c:pt>
                <c:pt idx="1321">
                  <c:v>1.050901509414004E-2</c:v>
                </c:pt>
                <c:pt idx="1322">
                  <c:v>1.0509735860546598E-2</c:v>
                </c:pt>
                <c:pt idx="1323">
                  <c:v>1.0510467212085928E-2</c:v>
                </c:pt>
                <c:pt idx="1324">
                  <c:v>1.0511209148917899E-2</c:v>
                </c:pt>
                <c:pt idx="1325">
                  <c:v>1.0511961671042513E-2</c:v>
                </c:pt>
                <c:pt idx="1326">
                  <c:v>1.0512724778379834E-2</c:v>
                </c:pt>
                <c:pt idx="1327">
                  <c:v>1.051423808032359E-2</c:v>
                </c:pt>
                <c:pt idx="1328">
                  <c:v>1.0514815944313582E-2</c:v>
                </c:pt>
                <c:pt idx="1329">
                  <c:v>1.0515613878352426E-2</c:v>
                </c:pt>
                <c:pt idx="1330">
                  <c:v>1.0516422398243463E-2</c:v>
                </c:pt>
                <c:pt idx="1331">
                  <c:v>1.0517241504066632E-2</c:v>
                </c:pt>
                <c:pt idx="1332">
                  <c:v>1.0518071195715351E-2</c:v>
                </c:pt>
                <c:pt idx="1333">
                  <c:v>1.0518911473242909E-2</c:v>
                </c:pt>
                <c:pt idx="1334">
                  <c:v>1.0519762336649308E-2</c:v>
                </c:pt>
                <c:pt idx="1335">
                  <c:v>1.0520623785907901E-2</c:v>
                </c:pt>
                <c:pt idx="1336">
                  <c:v>1.052149582107198E-2</c:v>
                </c:pt>
                <c:pt idx="1337">
                  <c:v>1.0522378442061608E-2</c:v>
                </c:pt>
                <c:pt idx="1338">
                  <c:v>1.0523271648956722E-2</c:v>
                </c:pt>
                <c:pt idx="1339">
                  <c:v>1.0524175441704031E-2</c:v>
                </c:pt>
                <c:pt idx="1340">
                  <c:v>1.0525089820356825E-2</c:v>
                </c:pt>
                <c:pt idx="1341">
                  <c:v>1.0526014784835169E-2</c:v>
                </c:pt>
                <c:pt idx="1342">
                  <c:v>1.0527046621211511E-2</c:v>
                </c:pt>
                <c:pt idx="1343">
                  <c:v>1.0527896471455023E-2</c:v>
                </c:pt>
                <c:pt idx="1344">
                  <c:v>1.0529075965663992E-2</c:v>
                </c:pt>
                <c:pt idx="1345">
                  <c:v>1.0529820501563592E-2</c:v>
                </c:pt>
                <c:pt idx="1346">
                  <c:v>1.0530798395462782E-2</c:v>
                </c:pt>
                <c:pt idx="1347">
                  <c:v>1.0531786875187521E-2</c:v>
                </c:pt>
                <c:pt idx="1348">
                  <c:v>1.0533011852560392E-2</c:v>
                </c:pt>
                <c:pt idx="1349">
                  <c:v>1.0533795592326811E-2</c:v>
                </c:pt>
                <c:pt idx="1350">
                  <c:v>1.0534815829661426E-2</c:v>
                </c:pt>
                <c:pt idx="1351">
                  <c:v>1.0535846652901526E-2</c:v>
                </c:pt>
                <c:pt idx="1352">
                  <c:v>1.0536888062020466E-2</c:v>
                </c:pt>
                <c:pt idx="1353">
                  <c:v>1.0537940057018247E-2</c:v>
                </c:pt>
                <c:pt idx="1354">
                  <c:v>1.0539002637894868E-2</c:v>
                </c:pt>
                <c:pt idx="1355">
                  <c:v>1.0540075804623683E-2</c:v>
                </c:pt>
                <c:pt idx="1356">
                  <c:v>1.0541159557257984E-2</c:v>
                </c:pt>
                <c:pt idx="1357">
                  <c:v>1.0542253895771125E-2</c:v>
                </c:pt>
                <c:pt idx="1358">
                  <c:v>1.0543358820136461E-2</c:v>
                </c:pt>
                <c:pt idx="1359">
                  <c:v>1.0544474330407283E-2</c:v>
                </c:pt>
                <c:pt idx="1360">
                  <c:v>1.0545600426530299E-2</c:v>
                </c:pt>
                <c:pt idx="1361">
                  <c:v>1.0546973258771519E-2</c:v>
                </c:pt>
                <c:pt idx="1362">
                  <c:v>1.0547884376412853E-2</c:v>
                </c:pt>
                <c:pt idx="1363">
                  <c:v>1.0549042230199035E-2</c:v>
                </c:pt>
                <c:pt idx="1364">
                  <c:v>1.0550210669837412E-2</c:v>
                </c:pt>
                <c:pt idx="1365">
                  <c:v>1.0551389695381275E-2</c:v>
                </c:pt>
                <c:pt idx="1366">
                  <c:v>1.0552579306777332E-2</c:v>
                </c:pt>
                <c:pt idx="1367">
                  <c:v>1.055377950405223E-2</c:v>
                </c:pt>
                <c:pt idx="1368">
                  <c:v>1.0554990287232613E-2</c:v>
                </c:pt>
                <c:pt idx="1369">
                  <c:v>1.0556211656265191E-2</c:v>
                </c:pt>
                <c:pt idx="1370">
                  <c:v>1.0557443611203254E-2</c:v>
                </c:pt>
                <c:pt idx="1371">
                  <c:v>1.0558686151993513E-2</c:v>
                </c:pt>
                <c:pt idx="1372">
                  <c:v>1.0559939278689257E-2</c:v>
                </c:pt>
                <c:pt idx="1373">
                  <c:v>1.0561202991263841E-2</c:v>
                </c:pt>
                <c:pt idx="1374">
                  <c:v>1.0562477289717265E-2</c:v>
                </c:pt>
                <c:pt idx="1375">
                  <c:v>1.0563762174049529E-2</c:v>
                </c:pt>
                <c:pt idx="1376">
                  <c:v>1.0565057644260634E-2</c:v>
                </c:pt>
                <c:pt idx="1377">
                  <c:v>1.0566363700350578E-2</c:v>
                </c:pt>
                <c:pt idx="1378">
                  <c:v>1.0568179661065713E-2</c:v>
                </c:pt>
                <c:pt idx="1379">
                  <c:v>1.0569257984396341E-2</c:v>
                </c:pt>
                <c:pt idx="1380">
                  <c:v>1.057034538397339E-2</c:v>
                </c:pt>
                <c:pt idx="1381">
                  <c:v>1.0571693783631986E-2</c:v>
                </c:pt>
                <c:pt idx="1382">
                  <c:v>1.0573052769142777E-2</c:v>
                </c:pt>
                <c:pt idx="1383">
                  <c:v>1.0574422340559053E-2</c:v>
                </c:pt>
                <c:pt idx="1384">
                  <c:v>1.057580249785417E-2</c:v>
                </c:pt>
                <c:pt idx="1385">
                  <c:v>1.0577193241028127E-2</c:v>
                </c:pt>
                <c:pt idx="1386">
                  <c:v>1.0578594570107569E-2</c:v>
                </c:pt>
                <c:pt idx="1387">
                  <c:v>1.0580006485039206E-2</c:v>
                </c:pt>
                <c:pt idx="1388">
                  <c:v>1.0581428985902974E-2</c:v>
                </c:pt>
                <c:pt idx="1389">
                  <c:v>1.0582862072618937E-2</c:v>
                </c:pt>
                <c:pt idx="1390">
                  <c:v>1.0584305745240385E-2</c:v>
                </c:pt>
                <c:pt idx="1391">
                  <c:v>1.0585760003740674E-2</c:v>
                </c:pt>
                <c:pt idx="1392">
                  <c:v>1.0587224848119803E-2</c:v>
                </c:pt>
                <c:pt idx="1393">
                  <c:v>1.0589024306115746E-2</c:v>
                </c:pt>
                <c:pt idx="1394">
                  <c:v>1.0590186294594517E-2</c:v>
                </c:pt>
                <c:pt idx="1395">
                  <c:v>1.0591682896636812E-2</c:v>
                </c:pt>
                <c:pt idx="1396">
                  <c:v>1.0593454064196095E-2</c:v>
                </c:pt>
                <c:pt idx="1397">
                  <c:v>1.0594707858437857E-2</c:v>
                </c:pt>
                <c:pt idx="1398">
                  <c:v>1.0596236218196609E-2</c:v>
                </c:pt>
                <c:pt idx="1399">
                  <c:v>1.0597775163807555E-2</c:v>
                </c:pt>
                <c:pt idx="1400">
                  <c:v>1.0599591880111614E-2</c:v>
                </c:pt>
                <c:pt idx="1401">
                  <c:v>1.0600884812719258E-2</c:v>
                </c:pt>
                <c:pt idx="1402">
                  <c:v>1.0602455516020015E-2</c:v>
                </c:pt>
                <c:pt idx="1403">
                  <c:v>1.0604036805226258E-2</c:v>
                </c:pt>
                <c:pt idx="1404">
                  <c:v>1.0605628680311341E-2</c:v>
                </c:pt>
                <c:pt idx="1405">
                  <c:v>1.0607231141301909E-2</c:v>
                </c:pt>
                <c:pt idx="1406">
                  <c:v>1.0608844188197963E-2</c:v>
                </c:pt>
                <c:pt idx="1407">
                  <c:v>1.0610467820946212E-2</c:v>
                </c:pt>
                <c:pt idx="1408">
                  <c:v>1.0612102039626592E-2</c:v>
                </c:pt>
                <c:pt idx="1409">
                  <c:v>1.0613746844185812E-2</c:v>
                </c:pt>
                <c:pt idx="1410">
                  <c:v>1.0615402234650517E-2</c:v>
                </c:pt>
                <c:pt idx="1411">
                  <c:v>1.0617068210994063E-2</c:v>
                </c:pt>
                <c:pt idx="1412">
                  <c:v>1.0618744773243094E-2</c:v>
                </c:pt>
                <c:pt idx="1413">
                  <c:v>1.0620709558297747E-2</c:v>
                </c:pt>
                <c:pt idx="1414">
                  <c:v>1.0622129655457613E-2</c:v>
                </c:pt>
                <c:pt idx="1415">
                  <c:v>1.0623837975396455E-2</c:v>
                </c:pt>
                <c:pt idx="1416">
                  <c:v>1.0625556881240783E-2</c:v>
                </c:pt>
                <c:pt idx="1417">
                  <c:v>1.0627286372963951E-2</c:v>
                </c:pt>
                <c:pt idx="1418">
                  <c:v>1.062902645061925E-2</c:v>
                </c:pt>
                <c:pt idx="1419">
                  <c:v>1.0630777114180034E-2</c:v>
                </c:pt>
                <c:pt idx="1420">
                  <c:v>1.0632538363619659E-2</c:v>
                </c:pt>
                <c:pt idx="1421">
                  <c:v>1.0634310198964769E-2</c:v>
                </c:pt>
                <c:pt idx="1422">
                  <c:v>1.063609262018872E-2</c:v>
                </c:pt>
                <c:pt idx="1423">
                  <c:v>1.0637885627344801E-2</c:v>
                </c:pt>
                <c:pt idx="1424">
                  <c:v>1.0639689220406368E-2</c:v>
                </c:pt>
                <c:pt idx="1425">
                  <c:v>1.064150339937342E-2</c:v>
                </c:pt>
                <c:pt idx="1426">
                  <c:v>1.0643328164219312E-2</c:v>
                </c:pt>
                <c:pt idx="1427">
                  <c:v>1.0645163514997336E-2</c:v>
                </c:pt>
                <c:pt idx="1428">
                  <c:v>1.0647009451627554E-2</c:v>
                </c:pt>
                <c:pt idx="1429">
                  <c:v>1.0648865974216548E-2</c:v>
                </c:pt>
                <c:pt idx="1430">
                  <c:v>1.0651315939279371E-2</c:v>
                </c:pt>
                <c:pt idx="1431">
                  <c:v>1.0652902975549772E-2</c:v>
                </c:pt>
                <c:pt idx="1432">
                  <c:v>1.0654499057363154E-2</c:v>
                </c:pt>
                <c:pt idx="1433">
                  <c:v>1.065639792357409E-2</c:v>
                </c:pt>
                <c:pt idx="1434">
                  <c:v>1.0658307375663867E-2</c:v>
                </c:pt>
                <c:pt idx="1435">
                  <c:v>1.0660227413685774E-2</c:v>
                </c:pt>
                <c:pt idx="1436">
                  <c:v>1.0662158037586522E-2</c:v>
                </c:pt>
                <c:pt idx="1437">
                  <c:v>1.0664099247419401E-2</c:v>
                </c:pt>
                <c:pt idx="1438">
                  <c:v>1.0666051043157765E-2</c:v>
                </c:pt>
                <c:pt idx="1439">
                  <c:v>1.066801342482826E-2</c:v>
                </c:pt>
                <c:pt idx="1440">
                  <c:v>1.0669986392377595E-2</c:v>
                </c:pt>
                <c:pt idx="1441">
                  <c:v>1.0671969945832416E-2</c:v>
                </c:pt>
                <c:pt idx="1442">
                  <c:v>1.0673964085219367E-2</c:v>
                </c:pt>
                <c:pt idx="1443">
                  <c:v>1.0676514510716828E-2</c:v>
                </c:pt>
                <c:pt idx="1444">
                  <c:v>1.0677984121736372E-2</c:v>
                </c:pt>
                <c:pt idx="1445">
                  <c:v>1.0680010018839781E-2</c:v>
                </c:pt>
                <c:pt idx="1446">
                  <c:v>1.068204650187532E-2</c:v>
                </c:pt>
                <c:pt idx="1447">
                  <c:v>1.0684093570816344E-2</c:v>
                </c:pt>
                <c:pt idx="1448">
                  <c:v>1.06861512256895E-2</c:v>
                </c:pt>
                <c:pt idx="1449">
                  <c:v>1.0688526331235071E-2</c:v>
                </c:pt>
                <c:pt idx="1450">
                  <c:v>1.0690298293152267E-2</c:v>
                </c:pt>
                <c:pt idx="1451">
                  <c:v>1.069237947810997E-2</c:v>
                </c:pt>
                <c:pt idx="1452">
                  <c:v>1.0694740081449439E-2</c:v>
                </c:pt>
                <c:pt idx="1453">
                  <c:v>1.0696463903840936E-2</c:v>
                </c:pt>
                <c:pt idx="1454">
                  <c:v>1.0698464402061347E-2</c:v>
                </c:pt>
                <c:pt idx="1455">
                  <c:v>1.0700437090500614E-2</c:v>
                </c:pt>
                <c:pt idx="1456">
                  <c:v>1.0702381969185382E-2</c:v>
                </c:pt>
                <c:pt idx="1457">
                  <c:v>1.070429903811565E-2</c:v>
                </c:pt>
                <c:pt idx="1458">
                  <c:v>1.0706188297238128E-2</c:v>
                </c:pt>
                <c:pt idx="1459">
                  <c:v>1.0708049746632753E-2</c:v>
                </c:pt>
                <c:pt idx="1460">
                  <c:v>1.0709883386192942E-2</c:v>
                </c:pt>
                <c:pt idx="1461">
                  <c:v>1.0711689216025277E-2</c:v>
                </c:pt>
                <c:pt idx="1462">
                  <c:v>1.0713467236076468E-2</c:v>
                </c:pt>
                <c:pt idx="1463">
                  <c:v>1.0715217446346514E-2</c:v>
                </c:pt>
                <c:pt idx="1464">
                  <c:v>1.0716939846835416E-2</c:v>
                </c:pt>
                <c:pt idx="1465">
                  <c:v>1.0718913818661413E-2</c:v>
                </c:pt>
                <c:pt idx="1466">
                  <c:v>1.0720301218469785E-2</c:v>
                </c:pt>
                <c:pt idx="1467">
                  <c:v>1.0721940189588608E-2</c:v>
                </c:pt>
                <c:pt idx="1468">
                  <c:v>1.0723551350952931E-2</c:v>
                </c:pt>
                <c:pt idx="1469">
                  <c:v>1.0725134702509465E-2</c:v>
                </c:pt>
                <c:pt idx="1470">
                  <c:v>1.0726690244311499E-2</c:v>
                </c:pt>
                <c:pt idx="1471">
                  <c:v>1.0728217976305743E-2</c:v>
                </c:pt>
                <c:pt idx="1472">
                  <c:v>1.0729717898518842E-2</c:v>
                </c:pt>
                <c:pt idx="1473">
                  <c:v>1.0731190010924152E-2</c:v>
                </c:pt>
                <c:pt idx="1474">
                  <c:v>1.0732634313574962E-2</c:v>
                </c:pt>
                <c:pt idx="1475">
                  <c:v>1.0734050806417983E-2</c:v>
                </c:pt>
                <c:pt idx="1476">
                  <c:v>1.0735439489453213E-2</c:v>
                </c:pt>
                <c:pt idx="1477">
                  <c:v>1.0736800362733945E-2</c:v>
                </c:pt>
                <c:pt idx="1478">
                  <c:v>1.0738133426153595E-2</c:v>
                </c:pt>
                <c:pt idx="1479">
                  <c:v>1.0739438679845392E-2</c:v>
                </c:pt>
                <c:pt idx="1480">
                  <c:v>1.0740716123702754E-2</c:v>
                </c:pt>
                <c:pt idx="1481">
                  <c:v>1.0741965757805616E-2</c:v>
                </c:pt>
                <c:pt idx="1482">
                  <c:v>1.0743187582074043E-2</c:v>
                </c:pt>
                <c:pt idx="1483">
                  <c:v>1.0744641066993132E-2</c:v>
                </c:pt>
                <c:pt idx="1484">
                  <c:v>1.0745555339051194E-2</c:v>
                </c:pt>
                <c:pt idx="1485">
                  <c:v>1.0746685720839366E-2</c:v>
                </c:pt>
                <c:pt idx="1486">
                  <c:v>1.0747788294391825E-2</c:v>
                </c:pt>
                <c:pt idx="1487">
                  <c:v>1.0748863059868441E-2</c:v>
                </c:pt>
                <c:pt idx="1488">
                  <c:v>1.0749910017109343E-2</c:v>
                </c:pt>
                <c:pt idx="1489">
                  <c:v>1.0750929166274403E-2</c:v>
                </c:pt>
                <c:pt idx="1490">
                  <c:v>1.0751920507283685E-2</c:v>
                </c:pt>
                <c:pt idx="1491">
                  <c:v>1.0752884040137189E-2</c:v>
                </c:pt>
                <c:pt idx="1492">
                  <c:v>1.0753819764834915E-2</c:v>
                </c:pt>
                <c:pt idx="1493">
                  <c:v>1.0754727681376863E-2</c:v>
                </c:pt>
                <c:pt idx="1494">
                  <c:v>1.0755607789763033E-2</c:v>
                </c:pt>
                <c:pt idx="1495">
                  <c:v>1.0756460089993425E-2</c:v>
                </c:pt>
                <c:pt idx="1496">
                  <c:v>1.0757284582147975E-2</c:v>
                </c:pt>
                <c:pt idx="1497">
                  <c:v>1.075808126606681E-2</c:v>
                </c:pt>
                <c:pt idx="1498">
                  <c:v>1.0759064712990707E-2</c:v>
                </c:pt>
                <c:pt idx="1499">
                  <c:v>1.0759591209517083E-2</c:v>
                </c:pt>
                <c:pt idx="1500">
                  <c:v>1.0760304468968585E-2</c:v>
                </c:pt>
                <c:pt idx="1501">
                  <c:v>1.0761085571910911E-2</c:v>
                </c:pt>
                <c:pt idx="1502">
                  <c:v>1.0761647563564125E-2</c:v>
                </c:pt>
                <c:pt idx="1503">
                  <c:v>1.0762277398548292E-2</c:v>
                </c:pt>
                <c:pt idx="1504">
                  <c:v>1.0762963159276495E-2</c:v>
                </c:pt>
                <c:pt idx="1505">
                  <c:v>1.0763533405366843E-2</c:v>
                </c:pt>
                <c:pt idx="1506">
                  <c:v>1.0764000054805933E-2</c:v>
                </c:pt>
                <c:pt idx="1507">
                  <c:v>1.0764518657246924E-2</c:v>
                </c:pt>
                <c:pt idx="1508">
                  <c:v>1.0765009451452201E-2</c:v>
                </c:pt>
                <c:pt idx="1509">
                  <c:v>1.0765472437661572E-2</c:v>
                </c:pt>
                <c:pt idx="1510">
                  <c:v>1.0765907615635228E-2</c:v>
                </c:pt>
                <c:pt idx="1511">
                  <c:v>1.0766314985453107E-2</c:v>
                </c:pt>
                <c:pt idx="1512">
                  <c:v>1.0766694547195144E-2</c:v>
                </c:pt>
                <c:pt idx="1513">
                  <c:v>1.076704630062153E-2</c:v>
                </c:pt>
                <c:pt idx="1514">
                  <c:v>1.076737024605201E-2</c:v>
                </c:pt>
                <c:pt idx="1515">
                  <c:v>1.0767666383246777E-2</c:v>
                </c:pt>
                <c:pt idx="1516">
                  <c:v>1.0767934712365701E-2</c:v>
                </c:pt>
                <c:pt idx="1517">
                  <c:v>1.0768207323339496E-2</c:v>
                </c:pt>
                <c:pt idx="1518">
                  <c:v>1.0768387945976343E-2</c:v>
                </c:pt>
                <c:pt idx="1519">
                  <c:v>1.0768572850627933E-2</c:v>
                </c:pt>
                <c:pt idx="1520">
                  <c:v>1.0768729947043809E-2</c:v>
                </c:pt>
                <c:pt idx="1521">
                  <c:v>1.0768859235383843E-2</c:v>
                </c:pt>
                <c:pt idx="1522">
                  <c:v>1.0768960715488163E-2</c:v>
                </c:pt>
                <c:pt idx="1523">
                  <c:v>1.0769034387516641E-2</c:v>
                </c:pt>
                <c:pt idx="1524">
                  <c:v>1.0769080251309404E-2</c:v>
                </c:pt>
                <c:pt idx="1525">
                  <c:v>1.0769098307026326E-2</c:v>
                </c:pt>
                <c:pt idx="1526">
                  <c:v>1.0769088554587469E-2</c:v>
                </c:pt>
                <c:pt idx="1527">
                  <c:v>1.0769050993992835E-2</c:v>
                </c:pt>
                <c:pt idx="1528">
                  <c:v>1.0768985625162486E-2</c:v>
                </c:pt>
                <c:pt idx="1529">
                  <c:v>1.0768892448256295E-2</c:v>
                </c:pt>
                <c:pt idx="1530">
                  <c:v>1.0768771463194327E-2</c:v>
                </c:pt>
                <c:pt idx="1531">
                  <c:v>1.076862266997658E-2</c:v>
                </c:pt>
                <c:pt idx="1532">
                  <c:v>1.0768446068603055E-2</c:v>
                </c:pt>
                <c:pt idx="1533">
                  <c:v>1.0768241659073752E-2</c:v>
                </c:pt>
                <c:pt idx="1534">
                  <c:v>1.0768009441388671E-2</c:v>
                </c:pt>
                <c:pt idx="1535">
                  <c:v>1.0767810769949371E-2</c:v>
                </c:pt>
                <c:pt idx="1536">
                  <c:v>1.0767374235660654E-2</c:v>
                </c:pt>
                <c:pt idx="1537">
                  <c:v>1.0767050648343712E-2</c:v>
                </c:pt>
                <c:pt idx="1538">
                  <c:v>1.0766699252870993E-2</c:v>
                </c:pt>
                <c:pt idx="1539">
                  <c:v>1.0766320049162559E-2</c:v>
                </c:pt>
                <c:pt idx="1540">
                  <c:v>1.0765913037378283E-2</c:v>
                </c:pt>
                <c:pt idx="1541">
                  <c:v>1.0765478217518165E-2</c:v>
                </c:pt>
                <c:pt idx="1542">
                  <c:v>1.0765015589342397E-2</c:v>
                </c:pt>
                <c:pt idx="1543">
                  <c:v>1.0764525153170723E-2</c:v>
                </c:pt>
                <c:pt idx="1544">
                  <c:v>1.0764006908763335E-2</c:v>
                </c:pt>
                <c:pt idx="1545">
                  <c:v>1.0763460856200169E-2</c:v>
                </c:pt>
                <c:pt idx="1546">
                  <c:v>1.0762886995481225E-2</c:v>
                </c:pt>
                <c:pt idx="1547">
                  <c:v>1.0762285326606502E-2</c:v>
                </c:pt>
                <c:pt idx="1548">
                  <c:v>1.0761655849576002E-2</c:v>
                </c:pt>
                <c:pt idx="1549">
                  <c:v>1.0760902396595995E-2</c:v>
                </c:pt>
                <c:pt idx="1550">
                  <c:v>1.0760213330671675E-2</c:v>
                </c:pt>
                <c:pt idx="1551">
                  <c:v>1.0759496456671513E-2</c:v>
                </c:pt>
                <c:pt idx="1552">
                  <c:v>1.0758751774355702E-2</c:v>
                </c:pt>
                <c:pt idx="1553">
                  <c:v>1.0757979284043984E-2</c:v>
                </c:pt>
                <c:pt idx="1554">
                  <c:v>1.0757266457126491E-2</c:v>
                </c:pt>
                <c:pt idx="1555">
                  <c:v>1.0756350878953214E-2</c:v>
                </c:pt>
                <c:pt idx="1556">
                  <c:v>1.0755494964174162E-2</c:v>
                </c:pt>
                <c:pt idx="1557">
                  <c:v>1.0754611241159395E-2</c:v>
                </c:pt>
                <c:pt idx="1558">
                  <c:v>1.0753699710148723E-2</c:v>
                </c:pt>
                <c:pt idx="1559">
                  <c:v>1.0752760370822401E-2</c:v>
                </c:pt>
                <c:pt idx="1560">
                  <c:v>1.0751793223500172E-2</c:v>
                </c:pt>
                <c:pt idx="1561">
                  <c:v>1.0750798267862294E-2</c:v>
                </c:pt>
                <c:pt idx="1562">
                  <c:v>1.0749775504228509E-2</c:v>
                </c:pt>
                <c:pt idx="1563">
                  <c:v>1.0748724932359011E-2</c:v>
                </c:pt>
                <c:pt idx="1564">
                  <c:v>1.074764655241367E-2</c:v>
                </c:pt>
                <c:pt idx="1565">
                  <c:v>1.0746540364232615E-2</c:v>
                </c:pt>
                <c:pt idx="1566">
                  <c:v>1.0745406367895782E-2</c:v>
                </c:pt>
                <c:pt idx="1567">
                  <c:v>1.0744244563563043E-2</c:v>
                </c:pt>
                <c:pt idx="1568">
                  <c:v>1.0743054950914654E-2</c:v>
                </c:pt>
                <c:pt idx="1569">
                  <c:v>1.0741837530270359E-2</c:v>
                </c:pt>
                <c:pt idx="1570">
                  <c:v>1.0740592301310414E-2</c:v>
                </c:pt>
                <c:pt idx="1571">
                  <c:v>1.0739319264274627E-2</c:v>
                </c:pt>
                <c:pt idx="1572">
                  <c:v>1.0738018419162998E-2</c:v>
                </c:pt>
                <c:pt idx="1573">
                  <c:v>1.0736689765815655E-2</c:v>
                </c:pt>
                <c:pt idx="1574">
                  <c:v>1.0735333304312533E-2</c:v>
                </c:pt>
                <c:pt idx="1575">
                  <c:v>1.0733949034813506E-2</c:v>
                </c:pt>
                <c:pt idx="1576">
                  <c:v>1.0732536956998828E-2</c:v>
                </c:pt>
                <c:pt idx="1577">
                  <c:v>1.0731097071108309E-2</c:v>
                </c:pt>
                <c:pt idx="1578">
                  <c:v>1.0729629377062011E-2</c:v>
                </c:pt>
                <c:pt idx="1579">
                  <c:v>1.0728133874859935E-2</c:v>
                </c:pt>
                <c:pt idx="1580">
                  <c:v>1.0726610564582018E-2</c:v>
                </c:pt>
                <c:pt idx="1581">
                  <c:v>1.0725059446148322E-2</c:v>
                </c:pt>
                <c:pt idx="1582">
                  <c:v>1.0723480519558848E-2</c:v>
                </c:pt>
                <c:pt idx="1583">
                  <c:v>1.072187378473366E-2</c:v>
                </c:pt>
                <c:pt idx="1584">
                  <c:v>1.072023924183263E-2</c:v>
                </c:pt>
                <c:pt idx="1585">
                  <c:v>1.0718576890775822E-2</c:v>
                </c:pt>
                <c:pt idx="1586">
                  <c:v>1.0717036179473283E-2</c:v>
                </c:pt>
                <c:pt idx="1587">
                  <c:v>1.0715275027313176E-2</c:v>
                </c:pt>
                <c:pt idx="1588">
                  <c:v>1.0713422988830601E-2</c:v>
                </c:pt>
                <c:pt idx="1589">
                  <c:v>1.0711649405310553E-2</c:v>
                </c:pt>
                <c:pt idx="1590">
                  <c:v>1.070984801355479E-2</c:v>
                </c:pt>
                <c:pt idx="1591">
                  <c:v>1.070801881364325E-2</c:v>
                </c:pt>
                <c:pt idx="1592">
                  <c:v>1.0706161805575931E-2</c:v>
                </c:pt>
                <c:pt idx="1593">
                  <c:v>1.0704276989512707E-2</c:v>
                </c:pt>
                <c:pt idx="1594">
                  <c:v>1.0702364365133832E-2</c:v>
                </c:pt>
                <c:pt idx="1595">
                  <c:v>1.0700423932759051E-2</c:v>
                </c:pt>
                <c:pt idx="1596">
                  <c:v>1.0698455692148556E-2</c:v>
                </c:pt>
                <c:pt idx="1597">
                  <c:v>1.0696459643462219E-2</c:v>
                </c:pt>
                <c:pt idx="1598">
                  <c:v>1.0694435786700041E-2</c:v>
                </c:pt>
                <c:pt idx="1599">
                  <c:v>1.0692384121702148E-2</c:v>
                </c:pt>
                <c:pt idx="1600">
                  <c:v>1.0690304648548477E-2</c:v>
                </c:pt>
                <c:pt idx="1601">
                  <c:v>1.0688197367318963E-2</c:v>
                </c:pt>
                <c:pt idx="1602">
                  <c:v>1.0686062277933672E-2</c:v>
                </c:pt>
                <c:pt idx="1603">
                  <c:v>1.0683909822184035E-2</c:v>
                </c:pt>
                <c:pt idx="1604">
                  <c:v>1.0681708674775692E-2</c:v>
                </c:pt>
                <c:pt idx="1605">
                  <c:v>1.0679490161003002E-2</c:v>
                </c:pt>
                <c:pt idx="1606">
                  <c:v>1.0677243839074535E-2</c:v>
                </c:pt>
                <c:pt idx="1607">
                  <c:v>1.0674969709070226E-2</c:v>
                </c:pt>
                <c:pt idx="1608">
                  <c:v>1.0672667770910138E-2</c:v>
                </c:pt>
                <c:pt idx="1609">
                  <c:v>1.0669983316304865E-2</c:v>
                </c:pt>
                <c:pt idx="1610">
                  <c:v>1.0667980470122629E-2</c:v>
                </c:pt>
                <c:pt idx="1611">
                  <c:v>1.0665595107575143E-2</c:v>
                </c:pt>
                <c:pt idx="1612">
                  <c:v>1.0663181936871879E-2</c:v>
                </c:pt>
                <c:pt idx="1613">
                  <c:v>1.0660740958012838E-2</c:v>
                </c:pt>
                <c:pt idx="1614">
                  <c:v>1.0658272171077954E-2</c:v>
                </c:pt>
                <c:pt idx="1615">
                  <c:v>1.0655775575987292E-2</c:v>
                </c:pt>
                <c:pt idx="1616">
                  <c:v>1.0653251172820788E-2</c:v>
                </c:pt>
                <c:pt idx="1617">
                  <c:v>1.0650698961498506E-2</c:v>
                </c:pt>
                <c:pt idx="1618">
                  <c:v>1.0648118942020446E-2</c:v>
                </c:pt>
                <c:pt idx="1619">
                  <c:v>1.0645511114466544E-2</c:v>
                </c:pt>
                <c:pt idx="1620">
                  <c:v>1.0642875478756864E-2</c:v>
                </c:pt>
                <c:pt idx="1621">
                  <c:v>1.0640212034891405E-2</c:v>
                </c:pt>
                <c:pt idx="1622">
                  <c:v>1.0637520782950105E-2</c:v>
                </c:pt>
                <c:pt idx="1623">
                  <c:v>1.0634801722932963E-2</c:v>
                </c:pt>
                <c:pt idx="1624">
                  <c:v>1.0632054854760042E-2</c:v>
                </c:pt>
                <c:pt idx="1625">
                  <c:v>1.0629280178431344E-2</c:v>
                </c:pt>
                <c:pt idx="1626">
                  <c:v>1.0626477693946867E-2</c:v>
                </c:pt>
                <c:pt idx="1627">
                  <c:v>1.0623647401386549E-2</c:v>
                </c:pt>
                <c:pt idx="1628">
                  <c:v>1.0620789300750388E-2</c:v>
                </c:pt>
                <c:pt idx="1629">
                  <c:v>1.061790339195845E-2</c:v>
                </c:pt>
                <c:pt idx="1630">
                  <c:v>1.0614989675010733E-2</c:v>
                </c:pt>
                <c:pt idx="1631">
                  <c:v>1.0612048149987174E-2</c:v>
                </c:pt>
                <c:pt idx="1632">
                  <c:v>1.0609078816807838E-2</c:v>
                </c:pt>
                <c:pt idx="1633">
                  <c:v>1.0606081675552659E-2</c:v>
                </c:pt>
                <c:pt idx="1634">
                  <c:v>1.0603056726221638E-2</c:v>
                </c:pt>
                <c:pt idx="1635">
                  <c:v>1.0600003968734839E-2</c:v>
                </c:pt>
                <c:pt idx="1636">
                  <c:v>1.0596923403092262E-2</c:v>
                </c:pt>
                <c:pt idx="1637">
                  <c:v>1.0593815029373843E-2</c:v>
                </c:pt>
                <c:pt idx="1638">
                  <c:v>1.0590678847579582E-2</c:v>
                </c:pt>
                <c:pt idx="1639">
                  <c:v>1.058684474060767E-2</c:v>
                </c:pt>
                <c:pt idx="1640">
                  <c:v>1.05837169581946E-2</c:v>
                </c:pt>
                <c:pt idx="1641">
                  <c:v>1.0580489217106859E-2</c:v>
                </c:pt>
                <c:pt idx="1642">
                  <c:v>1.0577233666344554E-2</c:v>
                </c:pt>
                <c:pt idx="1643">
                  <c:v>1.0573950305907687E-2</c:v>
                </c:pt>
                <c:pt idx="1644">
                  <c:v>1.0570639135769611E-2</c:v>
                </c:pt>
                <c:pt idx="1645">
                  <c:v>1.0567300155956971E-2</c:v>
                </c:pt>
                <c:pt idx="1646">
                  <c:v>1.0563933366469769E-2</c:v>
                </c:pt>
                <c:pt idx="1647">
                  <c:v>1.0560538767334648E-2</c:v>
                </c:pt>
                <c:pt idx="1648">
                  <c:v>1.0557116358471674E-2</c:v>
                </c:pt>
                <c:pt idx="1649">
                  <c:v>1.0553666139987428E-2</c:v>
                </c:pt>
                <c:pt idx="1650">
                  <c:v>1.0550188111828618E-2</c:v>
                </c:pt>
                <c:pt idx="1651">
                  <c:v>1.0546682273995245E-2</c:v>
                </c:pt>
                <c:pt idx="1652">
                  <c:v>1.0543148626487309E-2</c:v>
                </c:pt>
                <c:pt idx="1653">
                  <c:v>1.0537744047915965E-2</c:v>
                </c:pt>
                <c:pt idx="1654">
                  <c:v>1.0535997902554328E-2</c:v>
                </c:pt>
                <c:pt idx="1655">
                  <c:v>1.0532380826075993E-2</c:v>
                </c:pt>
                <c:pt idx="1656">
                  <c:v>1.0528628314907529E-2</c:v>
                </c:pt>
                <c:pt idx="1657">
                  <c:v>1.0525063244202215E-2</c:v>
                </c:pt>
                <c:pt idx="1658">
                  <c:v>1.0521362738806772E-2</c:v>
                </c:pt>
                <c:pt idx="1659">
                  <c:v>1.0517634423736766E-2</c:v>
                </c:pt>
                <c:pt idx="1660">
                  <c:v>1.0513762293933304E-2</c:v>
                </c:pt>
                <c:pt idx="1661">
                  <c:v>1.0510094364706291E-2</c:v>
                </c:pt>
                <c:pt idx="1662">
                  <c:v>1.0506282620745822E-2</c:v>
                </c:pt>
                <c:pt idx="1663">
                  <c:v>1.0502443067110789E-2</c:v>
                </c:pt>
                <c:pt idx="1664">
                  <c:v>1.0498575703907775E-2</c:v>
                </c:pt>
                <c:pt idx="1665">
                  <c:v>1.0494680531030198E-2</c:v>
                </c:pt>
                <c:pt idx="1666">
                  <c:v>1.0490757548531349E-2</c:v>
                </c:pt>
                <c:pt idx="1667">
                  <c:v>1.0486806756411227E-2</c:v>
                </c:pt>
                <c:pt idx="1668">
                  <c:v>1.0482828154696477E-2</c:v>
                </c:pt>
                <c:pt idx="1669">
                  <c:v>1.047882174333381E-2</c:v>
                </c:pt>
                <c:pt idx="1670">
                  <c:v>1.0474787522376516E-2</c:v>
                </c:pt>
                <c:pt idx="1671">
                  <c:v>1.047072549179795E-2</c:v>
                </c:pt>
                <c:pt idx="1672">
                  <c:v>1.0466635651598111E-2</c:v>
                </c:pt>
                <c:pt idx="1673">
                  <c:v>1.0462374676492026E-2</c:v>
                </c:pt>
                <c:pt idx="1674">
                  <c:v>1.0458372542414551E-2</c:v>
                </c:pt>
                <c:pt idx="1675">
                  <c:v>1.0454199273430831E-2</c:v>
                </c:pt>
                <c:pt idx="1676">
                  <c:v>1.0449998194825838E-2</c:v>
                </c:pt>
                <c:pt idx="1677">
                  <c:v>1.0445769306652863E-2</c:v>
                </c:pt>
                <c:pt idx="1678">
                  <c:v>1.0441512608858616E-2</c:v>
                </c:pt>
                <c:pt idx="1679">
                  <c:v>1.0437228101469742E-2</c:v>
                </c:pt>
                <c:pt idx="1680">
                  <c:v>1.0432915784539532E-2</c:v>
                </c:pt>
                <c:pt idx="1681">
                  <c:v>1.0428575657988048E-2</c:v>
                </c:pt>
                <c:pt idx="1682">
                  <c:v>1.0424207721868584E-2</c:v>
                </c:pt>
                <c:pt idx="1683">
                  <c:v>1.0419811976181137E-2</c:v>
                </c:pt>
                <c:pt idx="1684">
                  <c:v>1.0415388420925709E-2</c:v>
                </c:pt>
                <c:pt idx="1685">
                  <c:v>1.0410937056075653E-2</c:v>
                </c:pt>
                <c:pt idx="1686">
                  <c:v>1.0406457881684261E-2</c:v>
                </c:pt>
                <c:pt idx="1687">
                  <c:v>1.0401950897698242E-2</c:v>
                </c:pt>
                <c:pt idx="1688">
                  <c:v>1.0397416104170887E-2</c:v>
                </c:pt>
                <c:pt idx="1689">
                  <c:v>1.039285350107555E-2</c:v>
                </c:pt>
                <c:pt idx="1690">
                  <c:v>1.0387904392480607E-2</c:v>
                </c:pt>
                <c:pt idx="1691">
                  <c:v>1.0383463501237866E-2</c:v>
                </c:pt>
                <c:pt idx="1692">
                  <c:v>1.0378998834488229E-2</c:v>
                </c:pt>
                <c:pt idx="1693">
                  <c:v>1.0374324993200901E-2</c:v>
                </c:pt>
                <c:pt idx="1694">
                  <c:v>1.0369623342372236E-2</c:v>
                </c:pt>
                <c:pt idx="1695">
                  <c:v>1.0364893882002235E-2</c:v>
                </c:pt>
                <c:pt idx="1696">
                  <c:v>1.0360136612090898E-2</c:v>
                </c:pt>
                <c:pt idx="1697">
                  <c:v>1.0355351532638224E-2</c:v>
                </c:pt>
                <c:pt idx="1698">
                  <c:v>1.0350538643697504E-2</c:v>
                </c:pt>
                <c:pt idx="1699">
                  <c:v>1.0345697945188803E-2</c:v>
                </c:pt>
                <c:pt idx="1700">
                  <c:v>1.0340829437192056E-2</c:v>
                </c:pt>
                <c:pt idx="1701">
                  <c:v>1.0335933119653973E-2</c:v>
                </c:pt>
                <c:pt idx="1702">
                  <c:v>1.0331008992601198E-2</c:v>
                </c:pt>
                <c:pt idx="1703">
                  <c:v>1.0326057056033733E-2</c:v>
                </c:pt>
                <c:pt idx="1704">
                  <c:v>1.0318639044335498E-2</c:v>
                </c:pt>
                <c:pt idx="1705">
                  <c:v>1.0316069754408019E-2</c:v>
                </c:pt>
                <c:pt idx="1706">
                  <c:v>1.0311034389323126E-2</c:v>
                </c:pt>
                <c:pt idx="1707">
                  <c:v>1.0305971214750187E-2</c:v>
                </c:pt>
                <c:pt idx="1708">
                  <c:v>1.0300880230662557E-2</c:v>
                </c:pt>
                <c:pt idx="1709">
                  <c:v>1.0295541792004759E-2</c:v>
                </c:pt>
                <c:pt idx="1710">
                  <c:v>1.029061483407645E-2</c:v>
                </c:pt>
                <c:pt idx="1711">
                  <c:v>1.0285450628106929E-2</c:v>
                </c:pt>
                <c:pt idx="1712">
                  <c:v>1.0280082789466682E-2</c:v>
                </c:pt>
                <c:pt idx="1713">
                  <c:v>1.0275174875351567E-2</c:v>
                </c:pt>
                <c:pt idx="1714">
                  <c:v>1.0270066730750926E-2</c:v>
                </c:pt>
                <c:pt idx="1715">
                  <c:v>1.0264978407334979E-2</c:v>
                </c:pt>
                <c:pt idx="1716">
                  <c:v>1.025990990507708E-2</c:v>
                </c:pt>
                <c:pt idx="1717">
                  <c:v>1.025486122397723E-2</c:v>
                </c:pt>
                <c:pt idx="1718">
                  <c:v>1.0249832364088718E-2</c:v>
                </c:pt>
                <c:pt idx="1719">
                  <c:v>1.0244823325331609E-2</c:v>
                </c:pt>
                <c:pt idx="1720">
                  <c:v>1.0239834107732548E-2</c:v>
                </c:pt>
                <c:pt idx="1721">
                  <c:v>1.0234864711318181E-2</c:v>
                </c:pt>
                <c:pt idx="1722">
                  <c:v>1.0229915136061862E-2</c:v>
                </c:pt>
                <c:pt idx="1723">
                  <c:v>1.0224985381936946E-2</c:v>
                </c:pt>
                <c:pt idx="1724">
                  <c:v>1.0220075448996724E-2</c:v>
                </c:pt>
                <c:pt idx="1725">
                  <c:v>1.0214981837877168E-2</c:v>
                </c:pt>
                <c:pt idx="1726">
                  <c:v>1.0210315046537133E-2</c:v>
                </c:pt>
                <c:pt idx="1727">
                  <c:v>1.0205464577017764E-2</c:v>
                </c:pt>
                <c:pt idx="1728">
                  <c:v>1.0200633928683089E-2</c:v>
                </c:pt>
                <c:pt idx="1729">
                  <c:v>1.0195823101453172E-2</c:v>
                </c:pt>
                <c:pt idx="1730">
                  <c:v>1.0191032095354657E-2</c:v>
                </c:pt>
                <c:pt idx="1731">
                  <c:v>1.0186260910414191E-2</c:v>
                </c:pt>
                <c:pt idx="1732">
                  <c:v>1.0181509546605128E-2</c:v>
                </c:pt>
                <c:pt idx="1733">
                  <c:v>1.0176778003927467E-2</c:v>
                </c:pt>
                <c:pt idx="1734">
                  <c:v>1.0172066282407854E-2</c:v>
                </c:pt>
                <c:pt idx="1735">
                  <c:v>1.0167374381966354E-2</c:v>
                </c:pt>
                <c:pt idx="1736">
                  <c:v>1.0162702302682902E-2</c:v>
                </c:pt>
                <c:pt idx="1737">
                  <c:v>1.0158050044504208E-2</c:v>
                </c:pt>
                <c:pt idx="1738">
                  <c:v>1.0153417607483561E-2</c:v>
                </c:pt>
                <c:pt idx="1739">
                  <c:v>1.0148804991541027E-2</c:v>
                </c:pt>
                <c:pt idx="1740">
                  <c:v>1.0144212196729896E-2</c:v>
                </c:pt>
                <c:pt idx="1741">
                  <c:v>1.0139639223023522E-2</c:v>
                </c:pt>
                <c:pt idx="1742">
                  <c:v>1.0135086070448551E-2</c:v>
                </c:pt>
                <c:pt idx="1743">
                  <c:v>1.0128795923072254E-2</c:v>
                </c:pt>
                <c:pt idx="1744">
                  <c:v>1.0124468421555122E-2</c:v>
                </c:pt>
                <c:pt idx="1745">
                  <c:v>1.0119980647802507E-2</c:v>
                </c:pt>
                <c:pt idx="1746">
                  <c:v>1.0115512693955608E-2</c:v>
                </c:pt>
                <c:pt idx="1747">
                  <c:v>1.0111064560014427E-2</c:v>
                </c:pt>
                <c:pt idx="1748">
                  <c:v>1.0106636245978962E-2</c:v>
                </c:pt>
                <c:pt idx="1749">
                  <c:v>1.0102227751689341E-2</c:v>
                </c:pt>
                <c:pt idx="1750">
                  <c:v>1.0097839077385373E-2</c:v>
                </c:pt>
                <c:pt idx="1751">
                  <c:v>1.0093470222907186E-2</c:v>
                </c:pt>
                <c:pt idx="1752">
                  <c:v>1.0089121188254779E-2</c:v>
                </c:pt>
                <c:pt idx="1753">
                  <c:v>1.0084791973588025E-2</c:v>
                </c:pt>
                <c:pt idx="1754">
                  <c:v>1.0080482578667116E-2</c:v>
                </c:pt>
                <c:pt idx="1755">
                  <c:v>1.0076193003731859E-2</c:v>
                </c:pt>
                <c:pt idx="1756">
                  <c:v>1.0071923248622383E-2</c:v>
                </c:pt>
                <c:pt idx="1757">
                  <c:v>1.0067673313338688E-2</c:v>
                </c:pt>
                <c:pt idx="1758">
                  <c:v>1.0063443197960709E-2</c:v>
                </c:pt>
                <c:pt idx="1759">
                  <c:v>1.0058033601270111E-2</c:v>
                </c:pt>
                <c:pt idx="1760">
                  <c:v>1.0055042426841965E-2</c:v>
                </c:pt>
                <c:pt idx="1761">
                  <c:v>1.0050277581044043E-2</c:v>
                </c:pt>
                <c:pt idx="1762">
                  <c:v>1.0046720935106279E-2</c:v>
                </c:pt>
                <c:pt idx="1763">
                  <c:v>1.0042589919017075E-2</c:v>
                </c:pt>
                <c:pt idx="1764">
                  <c:v>1.0037893027021738E-2</c:v>
                </c:pt>
                <c:pt idx="1765">
                  <c:v>1.0034387346475881E-2</c:v>
                </c:pt>
                <c:pt idx="1766">
                  <c:v>1.0029735757042246E-2</c:v>
                </c:pt>
                <c:pt idx="1767">
                  <c:v>1.0026264053397682E-2</c:v>
                </c:pt>
                <c:pt idx="1768">
                  <c:v>1.0022232136757125E-2</c:v>
                </c:pt>
                <c:pt idx="1769">
                  <c:v>1.0018220039862413E-2</c:v>
                </c:pt>
                <c:pt idx="1770">
                  <c:v>1.0014227762793482E-2</c:v>
                </c:pt>
                <c:pt idx="1771">
                  <c:v>1.0010255305630267E-2</c:v>
                </c:pt>
                <c:pt idx="1772">
                  <c:v>1.0006302668292832E-2</c:v>
                </c:pt>
                <c:pt idx="1773">
                  <c:v>1.0002369850861115E-2</c:v>
                </c:pt>
                <c:pt idx="1774">
                  <c:v>9.9984568532551776E-3</c:v>
                </c:pt>
                <c:pt idx="1775">
                  <c:v>9.9945636755549572E-3</c:v>
                </c:pt>
                <c:pt idx="1776">
                  <c:v>9.9906903176805173E-3</c:v>
                </c:pt>
                <c:pt idx="1777">
                  <c:v>9.9862878921364029E-3</c:v>
                </c:pt>
                <c:pt idx="1778">
                  <c:v>9.9830030614889154E-3</c:v>
                </c:pt>
                <c:pt idx="1779">
                  <c:v>9.9791891631717533E-3</c:v>
                </c:pt>
                <c:pt idx="1780">
                  <c:v>9.9753950846803718E-3</c:v>
                </c:pt>
                <c:pt idx="1781">
                  <c:v>9.971620826094707E-3</c:v>
                </c:pt>
                <c:pt idx="1782">
                  <c:v>9.9678663872548867E-3</c:v>
                </c:pt>
                <c:pt idx="1783">
                  <c:v>9.9641317684007191E-3</c:v>
                </c:pt>
                <c:pt idx="1784">
                  <c:v>9.9604169693723321E-3</c:v>
                </c:pt>
                <c:pt idx="1785">
                  <c:v>9.9567219901697257E-3</c:v>
                </c:pt>
                <c:pt idx="1786">
                  <c:v>9.9530468307928999E-3</c:v>
                </c:pt>
                <c:pt idx="1787">
                  <c:v>9.9493914912418546E-3</c:v>
                </c:pt>
                <c:pt idx="1788">
                  <c:v>9.945755971596526E-3</c:v>
                </c:pt>
                <c:pt idx="1789">
                  <c:v>9.942140271776978E-3</c:v>
                </c:pt>
                <c:pt idx="1790">
                  <c:v>9.9385443917832106E-3</c:v>
                </c:pt>
                <c:pt idx="1791">
                  <c:v>9.9349683316951598E-3</c:v>
                </c:pt>
                <c:pt idx="1792">
                  <c:v>9.9314120914328896E-3</c:v>
                </c:pt>
                <c:pt idx="1793">
                  <c:v>9.9278756709964E-3</c:v>
                </c:pt>
                <c:pt idx="1794">
                  <c:v>9.924359070385691E-3</c:v>
                </c:pt>
                <c:pt idx="1795">
                  <c:v>9.9202522874319854E-3</c:v>
                </c:pt>
                <c:pt idx="1796">
                  <c:v>9.9168902380331048E-3</c:v>
                </c:pt>
                <c:pt idx="1797">
                  <c:v>9.9134359283947759E-3</c:v>
                </c:pt>
                <c:pt idx="1798">
                  <c:v>9.9100014385022916E-3</c:v>
                </c:pt>
                <c:pt idx="1799">
                  <c:v>9.9065867685954601E-3</c:v>
                </c:pt>
                <c:pt idx="1800">
                  <c:v>9.9031919185144091E-3</c:v>
                </c:pt>
                <c:pt idx="1801">
                  <c:v>9.8998168881792026E-3</c:v>
                </c:pt>
                <c:pt idx="1802">
                  <c:v>9.8964616777497127E-3</c:v>
                </c:pt>
                <c:pt idx="1803">
                  <c:v>9.8931262871460035E-3</c:v>
                </c:pt>
                <c:pt idx="1804">
                  <c:v>9.8898107163680748E-3</c:v>
                </c:pt>
                <c:pt idx="1805">
                  <c:v>9.8865149654958628E-3</c:v>
                </c:pt>
                <c:pt idx="1806">
                  <c:v>9.8832390343694954E-3</c:v>
                </c:pt>
                <c:pt idx="1807">
                  <c:v>9.8799829231488445E-3</c:v>
                </c:pt>
                <c:pt idx="1808">
                  <c:v>9.8767466317539743E-3</c:v>
                </c:pt>
                <c:pt idx="1809">
                  <c:v>9.8726148086303311E-3</c:v>
                </c:pt>
                <c:pt idx="1810">
                  <c:v>9.8694238197172268E-3</c:v>
                </c:pt>
                <c:pt idx="1811">
                  <c:v>9.8662526506299031E-3</c:v>
                </c:pt>
                <c:pt idx="1812">
                  <c:v>9.8623861274083069E-3</c:v>
                </c:pt>
                <c:pt idx="1813">
                  <c:v>9.8599697720125334E-3</c:v>
                </c:pt>
                <c:pt idx="1814">
                  <c:v>9.8562426140169634E-3</c:v>
                </c:pt>
                <c:pt idx="1815">
                  <c:v>9.853766172538414E-3</c:v>
                </c:pt>
                <c:pt idx="1816">
                  <c:v>9.8506941025799932E-3</c:v>
                </c:pt>
                <c:pt idx="1817">
                  <c:v>9.8476418525272891E-3</c:v>
                </c:pt>
                <c:pt idx="1818">
                  <c:v>9.8446094223003655E-3</c:v>
                </c:pt>
                <c:pt idx="1819">
                  <c:v>9.8415968118992225E-3</c:v>
                </c:pt>
                <c:pt idx="1820">
                  <c:v>9.8386040212439241E-3</c:v>
                </c:pt>
                <c:pt idx="1821">
                  <c:v>9.8356310504943423E-3</c:v>
                </c:pt>
                <c:pt idx="1822">
                  <c:v>9.832677899490605E-3</c:v>
                </c:pt>
                <c:pt idx="1823">
                  <c:v>9.8297445684725204E-3</c:v>
                </c:pt>
                <c:pt idx="1824">
                  <c:v>9.8268310571203443E-3</c:v>
                </c:pt>
                <c:pt idx="1825">
                  <c:v>9.8239373656738849E-3</c:v>
                </c:pt>
                <c:pt idx="1826">
                  <c:v>9.821063494053206E-3</c:v>
                </c:pt>
                <c:pt idx="1827">
                  <c:v>9.8182094422583077E-3</c:v>
                </c:pt>
                <c:pt idx="1828">
                  <c:v>9.81537521028919E-3</c:v>
                </c:pt>
                <c:pt idx="1829">
                  <c:v>9.8125607980659169E-3</c:v>
                </c:pt>
                <c:pt idx="1830">
                  <c:v>9.8097662057483603E-3</c:v>
                </c:pt>
                <c:pt idx="1831">
                  <c:v>9.8069914333365205E-3</c:v>
                </c:pt>
                <c:pt idx="1832">
                  <c:v>9.8042364805905891E-3</c:v>
                </c:pt>
                <c:pt idx="1833">
                  <c:v>9.8015013477503743E-3</c:v>
                </c:pt>
                <c:pt idx="1834">
                  <c:v>9.7987860347359401E-3</c:v>
                </c:pt>
                <c:pt idx="1835">
                  <c:v>9.7960905415472865E-3</c:v>
                </c:pt>
                <c:pt idx="1836">
                  <c:v>9.7934148681844135E-3</c:v>
                </c:pt>
                <c:pt idx="1837">
                  <c:v>9.7907590146473211E-3</c:v>
                </c:pt>
                <c:pt idx="1838">
                  <c:v>9.7881229807761372E-3</c:v>
                </c:pt>
                <c:pt idx="1839">
                  <c:v>9.7855067668906059E-3</c:v>
                </c:pt>
                <c:pt idx="1840">
                  <c:v>9.7829103728308553E-3</c:v>
                </c:pt>
                <c:pt idx="1841">
                  <c:v>9.7803337985169492E-3</c:v>
                </c:pt>
                <c:pt idx="1842">
                  <c:v>9.7777770441087597E-3</c:v>
                </c:pt>
                <c:pt idx="1843">
                  <c:v>9.7752401095263508E-3</c:v>
                </c:pt>
                <c:pt idx="1844">
                  <c:v>9.7727229946897864E-3</c:v>
                </c:pt>
                <c:pt idx="1845">
                  <c:v>9.7702256996790027E-3</c:v>
                </c:pt>
                <c:pt idx="1846">
                  <c:v>9.7663414230986234E-3</c:v>
                </c:pt>
                <c:pt idx="1847">
                  <c:v>9.7638950933198743E-3</c:v>
                </c:pt>
                <c:pt idx="1848">
                  <c:v>9.7628527336013349E-3</c:v>
                </c:pt>
                <c:pt idx="1849">
                  <c:v>9.7604347178936735E-3</c:v>
                </c:pt>
                <c:pt idx="1850">
                  <c:v>9.7580365220117926E-3</c:v>
                </c:pt>
                <c:pt idx="1851">
                  <c:v>9.7556581458757563E-3</c:v>
                </c:pt>
                <c:pt idx="1852">
                  <c:v>9.7532995896454366E-3</c:v>
                </c:pt>
                <c:pt idx="1853">
                  <c:v>9.7509608531609615E-3</c:v>
                </c:pt>
                <c:pt idx="1854">
                  <c:v>9.748641936502267E-3</c:v>
                </c:pt>
                <c:pt idx="1855">
                  <c:v>9.746342839669353E-3</c:v>
                </c:pt>
                <c:pt idx="1856">
                  <c:v>9.7440635626622196E-3</c:v>
                </c:pt>
                <c:pt idx="1857">
                  <c:v>9.7418041054808668E-3</c:v>
                </c:pt>
                <c:pt idx="1858">
                  <c:v>9.7395644681252946E-3</c:v>
                </c:pt>
                <c:pt idx="1859">
                  <c:v>9.7372411627691946E-3</c:v>
                </c:pt>
                <c:pt idx="1860">
                  <c:v>9.7351446527316199E-3</c:v>
                </c:pt>
                <c:pt idx="1861">
                  <c:v>9.7329644747734534E-3</c:v>
                </c:pt>
                <c:pt idx="1862">
                  <c:v>9.7308041167210035E-3</c:v>
                </c:pt>
                <c:pt idx="1863">
                  <c:v>9.7286635784143982E-3</c:v>
                </c:pt>
                <c:pt idx="1864">
                  <c:v>9.7265428598536374E-3</c:v>
                </c:pt>
                <c:pt idx="1865">
                  <c:v>9.7241081296761678E-3</c:v>
                </c:pt>
                <c:pt idx="1866">
                  <c:v>9.7223608822893937E-3</c:v>
                </c:pt>
                <c:pt idx="1867">
                  <c:v>9.7202996232059746E-3</c:v>
                </c:pt>
                <c:pt idx="1868">
                  <c:v>9.7182581839483362E-3</c:v>
                </c:pt>
                <c:pt idx="1869">
                  <c:v>9.7162365645164783E-3</c:v>
                </c:pt>
                <c:pt idx="1870">
                  <c:v>9.7142347649104011E-3</c:v>
                </c:pt>
                <c:pt idx="1871">
                  <c:v>9.7122527849702323E-3</c:v>
                </c:pt>
                <c:pt idx="1872">
                  <c:v>9.7102906250157162E-3</c:v>
                </c:pt>
                <c:pt idx="1873">
                  <c:v>9.7083482848070446E-3</c:v>
                </c:pt>
                <c:pt idx="1874">
                  <c:v>9.7064257644241536E-3</c:v>
                </c:pt>
                <c:pt idx="1875">
                  <c:v>9.7045230638670432E-3</c:v>
                </c:pt>
                <c:pt idx="1876">
                  <c:v>9.7026401830557774E-3</c:v>
                </c:pt>
                <c:pt idx="1877">
                  <c:v>9.7007771220702921E-3</c:v>
                </c:pt>
                <c:pt idx="1878">
                  <c:v>9.6989338809105874E-3</c:v>
                </c:pt>
                <c:pt idx="1879">
                  <c:v>9.6971104594967272E-3</c:v>
                </c:pt>
                <c:pt idx="1880">
                  <c:v>9.6953068579086477E-3</c:v>
                </c:pt>
                <c:pt idx="1881">
                  <c:v>9.6935230761463487E-3</c:v>
                </c:pt>
                <c:pt idx="1882">
                  <c:v>9.6917591141298942E-3</c:v>
                </c:pt>
                <c:pt idx="1883">
                  <c:v>9.6900149720191564E-3</c:v>
                </c:pt>
                <c:pt idx="1884">
                  <c:v>9.6882906497341992E-3</c:v>
                </c:pt>
                <c:pt idx="1885">
                  <c:v>9.6865861471950865E-3</c:v>
                </c:pt>
                <c:pt idx="1886">
                  <c:v>9.6849014644817544E-3</c:v>
                </c:pt>
                <c:pt idx="1887">
                  <c:v>9.6832366015142668E-3</c:v>
                </c:pt>
                <c:pt idx="1888">
                  <c:v>9.6815915583725598E-3</c:v>
                </c:pt>
                <c:pt idx="1889">
                  <c:v>9.6799663351365695E-3</c:v>
                </c:pt>
                <c:pt idx="1890">
                  <c:v>9.6783609315664876E-3</c:v>
                </c:pt>
                <c:pt idx="1891">
                  <c:v>9.6767753479021223E-3</c:v>
                </c:pt>
                <c:pt idx="1892">
                  <c:v>9.6752095839036656E-3</c:v>
                </c:pt>
                <c:pt idx="1893">
                  <c:v>9.6736636398908615E-3</c:v>
                </c:pt>
                <c:pt idx="1894">
                  <c:v>9.6721375155439659E-3</c:v>
                </c:pt>
                <c:pt idx="1895">
                  <c:v>9.670631211102787E-3</c:v>
                </c:pt>
                <c:pt idx="1896">
                  <c:v>9.6691447263275165E-3</c:v>
                </c:pt>
                <c:pt idx="1897">
                  <c:v>9.6676780614579627E-3</c:v>
                </c:pt>
                <c:pt idx="1898">
                  <c:v>9.666340935911677E-3</c:v>
                </c:pt>
                <c:pt idx="1899">
                  <c:v>9.6648904157436988E-3</c:v>
                </c:pt>
                <c:pt idx="1900">
                  <c:v>9.6633969856441126E-3</c:v>
                </c:pt>
                <c:pt idx="1901">
                  <c:v>9.6620095999178091E-3</c:v>
                </c:pt>
                <c:pt idx="1902">
                  <c:v>9.6606420340172861E-3</c:v>
                </c:pt>
                <c:pt idx="1903">
                  <c:v>9.6592942879425436E-3</c:v>
                </c:pt>
                <c:pt idx="1904">
                  <c:v>9.6579663616136457E-3</c:v>
                </c:pt>
                <c:pt idx="1905">
                  <c:v>9.6566582551105284E-3</c:v>
                </c:pt>
                <c:pt idx="1906">
                  <c:v>9.6553699684331917E-3</c:v>
                </c:pt>
                <c:pt idx="1907">
                  <c:v>9.6541015015816356E-3</c:v>
                </c:pt>
                <c:pt idx="1908">
                  <c:v>9.652852854475924E-3</c:v>
                </c:pt>
                <c:pt idx="1909">
                  <c:v>9.651624027195993E-3</c:v>
                </c:pt>
                <c:pt idx="1910">
                  <c:v>9.6504150197418426E-3</c:v>
                </c:pt>
                <c:pt idx="1911">
                  <c:v>9.6492258320335367E-3</c:v>
                </c:pt>
                <c:pt idx="1912">
                  <c:v>9.6480564641510114E-3</c:v>
                </c:pt>
                <c:pt idx="1913">
                  <c:v>9.6469069160143306E-3</c:v>
                </c:pt>
                <c:pt idx="1914">
                  <c:v>9.6459753273201443E-3</c:v>
                </c:pt>
                <c:pt idx="1915">
                  <c:v>9.6446672792183108E-3</c:v>
                </c:pt>
                <c:pt idx="1916">
                  <c:v>9.6435771905589718E-3</c:v>
                </c:pt>
                <c:pt idx="1917">
                  <c:v>9.6425069216454773E-3</c:v>
                </c:pt>
                <c:pt idx="1918">
                  <c:v>9.6414564725577634E-3</c:v>
                </c:pt>
                <c:pt idx="1919">
                  <c:v>9.640425843215894E-3</c:v>
                </c:pt>
                <c:pt idx="1920">
                  <c:v>9.639446224389836E-3</c:v>
                </c:pt>
                <c:pt idx="1921">
                  <c:v>9.638424044009497E-3</c:v>
                </c:pt>
                <c:pt idx="1922">
                  <c:v>9.6374528740650334E-3</c:v>
                </c:pt>
                <c:pt idx="1923">
                  <c:v>9.6365015239463503E-3</c:v>
                </c:pt>
                <c:pt idx="1924">
                  <c:v>9.6355699936534478E-3</c:v>
                </c:pt>
                <c:pt idx="1925">
                  <c:v>9.6346582831063898E-3</c:v>
                </c:pt>
                <c:pt idx="1926">
                  <c:v>9.6337663923851125E-3</c:v>
                </c:pt>
                <c:pt idx="1927">
                  <c:v>9.6328943214896157E-3</c:v>
                </c:pt>
                <c:pt idx="1928">
                  <c:v>9.6320420703399634E-3</c:v>
                </c:pt>
                <c:pt idx="1929">
                  <c:v>9.6312096390160917E-3</c:v>
                </c:pt>
                <c:pt idx="1930">
                  <c:v>9.6303970274380646E-3</c:v>
                </c:pt>
                <c:pt idx="1931">
                  <c:v>9.629604235685818E-3</c:v>
                </c:pt>
                <c:pt idx="1932">
                  <c:v>9.6288312637593521E-3</c:v>
                </c:pt>
                <c:pt idx="1933">
                  <c:v>9.6280781115787306E-3</c:v>
                </c:pt>
                <c:pt idx="1934">
                  <c:v>9.6273447792238898E-3</c:v>
                </c:pt>
                <c:pt idx="1935">
                  <c:v>9.6266312666148934E-3</c:v>
                </c:pt>
                <c:pt idx="1936">
                  <c:v>9.6259375738316777E-3</c:v>
                </c:pt>
                <c:pt idx="1937">
                  <c:v>9.6252637008742425E-3</c:v>
                </c:pt>
                <c:pt idx="1938">
                  <c:v>9.624609647742588E-3</c:v>
                </c:pt>
                <c:pt idx="1939">
                  <c:v>9.6239754142768419E-3</c:v>
                </c:pt>
                <c:pt idx="1940">
                  <c:v>9.6233610007168124E-3</c:v>
                </c:pt>
                <c:pt idx="1941">
                  <c:v>9.6227664069026275E-3</c:v>
                </c:pt>
                <c:pt idx="1942">
                  <c:v>9.6221916329142232E-3</c:v>
                </c:pt>
                <c:pt idx="1943">
                  <c:v>9.6216366786716634E-3</c:v>
                </c:pt>
                <c:pt idx="1944">
                  <c:v>9.6211015443348202E-3</c:v>
                </c:pt>
                <c:pt idx="1945">
                  <c:v>9.6205862296638855E-3</c:v>
                </c:pt>
                <c:pt idx="1946">
                  <c:v>9.6200907348187314E-3</c:v>
                </c:pt>
                <c:pt idx="1947">
                  <c:v>9.6196150597993579E-3</c:v>
                </c:pt>
                <c:pt idx="1948">
                  <c:v>9.619159204525829E-3</c:v>
                </c:pt>
                <c:pt idx="1949">
                  <c:v>9.6187231690780806E-3</c:v>
                </c:pt>
                <c:pt idx="1950">
                  <c:v>9.6183069534561128E-3</c:v>
                </c:pt>
                <c:pt idx="1951">
                  <c:v>9.6181594737876352E-3</c:v>
                </c:pt>
                <c:pt idx="1952">
                  <c:v>9.6176870962771943E-3</c:v>
                </c:pt>
                <c:pt idx="1953">
                  <c:v>9.6173359840445727E-3</c:v>
                </c:pt>
                <c:pt idx="1954">
                  <c:v>9.6170046926769004E-3</c:v>
                </c:pt>
                <c:pt idx="1955">
                  <c:v>9.6166932221475321E-3</c:v>
                </c:pt>
                <c:pt idx="1956">
                  <c:v>9.6164015724564678E-3</c:v>
                </c:pt>
                <c:pt idx="1957">
                  <c:v>9.6161297436303528E-3</c:v>
                </c:pt>
                <c:pt idx="1958">
                  <c:v>9.6158777356691871E-3</c:v>
                </c:pt>
                <c:pt idx="1959">
                  <c:v>9.6156455485463255E-3</c:v>
                </c:pt>
                <c:pt idx="1960">
                  <c:v>9.6154331822617678E-3</c:v>
                </c:pt>
                <c:pt idx="1961">
                  <c:v>9.6152406368421595E-3</c:v>
                </c:pt>
                <c:pt idx="1962">
                  <c:v>9.6150679123141458E-3</c:v>
                </c:pt>
                <c:pt idx="1963">
                  <c:v>9.6149150085977908E-3</c:v>
                </c:pt>
                <c:pt idx="1964">
                  <c:v>9.6147819257197398E-3</c:v>
                </c:pt>
                <c:pt idx="1965">
                  <c:v>9.614369286383706E-3</c:v>
                </c:pt>
                <c:pt idx="1966">
                  <c:v>9.6145752225318404E-3</c:v>
                </c:pt>
                <c:pt idx="1967">
                  <c:v>9.6145016022486374E-3</c:v>
                </c:pt>
                <c:pt idx="1968">
                  <c:v>9.6145732196140088E-3</c:v>
                </c:pt>
                <c:pt idx="1969">
                  <c:v>9.6144138241971433E-3</c:v>
                </c:pt>
                <c:pt idx="1970">
                  <c:v>9.6143996664288522E-3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332992"/>
        <c:axId val="435978240"/>
      </c:lineChart>
      <c:dateAx>
        <c:axId val="435332992"/>
        <c:scaling>
          <c:orientation val="minMax"/>
          <c:max val="42505"/>
          <c:min val="42124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978240"/>
        <c:crosses val="autoZero"/>
        <c:auto val="1"/>
        <c:lblOffset val="100"/>
        <c:baseTimeUnit val="days"/>
        <c:majorUnit val="1"/>
        <c:majorTimeUnit val="months"/>
      </c:dateAx>
      <c:valAx>
        <c:axId val="435978240"/>
        <c:scaling>
          <c:orientation val="minMax"/>
          <c:max val="-4.0000000000000001E-3"/>
          <c:min val="-8.6999999999999994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35332992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J$48" lockText="1" noThreeD="1"/>
</file>

<file path=xl/ctrlProps/ctrlProp10.xml><?xml version="1.0" encoding="utf-8"?>
<formControlPr xmlns="http://schemas.microsoft.com/office/spreadsheetml/2009/9/main" objectType="CheckBox" checked="Checked" fmlaLink="$J$5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72390</xdr:colOff>
      <xdr:row>37</xdr:row>
      <xdr:rowOff>28575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29</xdr:row>
          <xdr:rowOff>38100</xdr:rowOff>
        </xdr:from>
        <xdr:to>
          <xdr:col>10</xdr:col>
          <xdr:colOff>228600</xdr:colOff>
          <xdr:row>31</xdr:row>
          <xdr:rowOff>28575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26</xdr:row>
          <xdr:rowOff>104775</xdr:rowOff>
        </xdr:from>
        <xdr:to>
          <xdr:col>10</xdr:col>
          <xdr:colOff>228600</xdr:colOff>
          <xdr:row>28</xdr:row>
          <xdr:rowOff>95250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31</xdr:row>
          <xdr:rowOff>104775</xdr:rowOff>
        </xdr:from>
        <xdr:to>
          <xdr:col>10</xdr:col>
          <xdr:colOff>228600</xdr:colOff>
          <xdr:row>33</xdr:row>
          <xdr:rowOff>95250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72390</xdr:colOff>
      <xdr:row>60</xdr:row>
      <xdr:rowOff>142874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24</xdr:row>
          <xdr:rowOff>19050</xdr:rowOff>
        </xdr:from>
        <xdr:to>
          <xdr:col>10</xdr:col>
          <xdr:colOff>228600</xdr:colOff>
          <xdr:row>26</xdr:row>
          <xdr:rowOff>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34</xdr:row>
          <xdr:rowOff>76200</xdr:rowOff>
        </xdr:from>
        <xdr:to>
          <xdr:col>10</xdr:col>
          <xdr:colOff>228600</xdr:colOff>
          <xdr:row>36</xdr:row>
          <xdr:rowOff>66675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37</xdr:row>
          <xdr:rowOff>38100</xdr:rowOff>
        </xdr:from>
        <xdr:to>
          <xdr:col>10</xdr:col>
          <xdr:colOff>228600</xdr:colOff>
          <xdr:row>39</xdr:row>
          <xdr:rowOff>28575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40</xdr:row>
          <xdr:rowOff>0</xdr:rowOff>
        </xdr:from>
        <xdr:to>
          <xdr:col>10</xdr:col>
          <xdr:colOff>228600</xdr:colOff>
          <xdr:row>41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42</xdr:row>
          <xdr:rowOff>123825</xdr:rowOff>
        </xdr:from>
        <xdr:to>
          <xdr:col>10</xdr:col>
          <xdr:colOff>228600</xdr:colOff>
          <xdr:row>44</xdr:row>
          <xdr:rowOff>114300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50</xdr:row>
          <xdr:rowOff>66675</xdr:rowOff>
        </xdr:from>
        <xdr:to>
          <xdr:col>10</xdr:col>
          <xdr:colOff>180975</xdr:colOff>
          <xdr:row>52</xdr:row>
          <xdr:rowOff>47625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IMM Futures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F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Deposits"/>
      <sheetName val="FRA"/>
      <sheetName val="OIS"/>
      <sheetName val="Futures3M"/>
      <sheetName val="Swap1M (&lt;1Y)"/>
      <sheetName val="Swap1M"/>
      <sheetName val="Swap3M"/>
      <sheetName val="Swap6M"/>
      <sheetName val="SwapIMM"/>
      <sheetName val="BasisSwap1M3M"/>
      <sheetName val="BasisSwap1M6M"/>
      <sheetName val="BasisSwap3M6M"/>
      <sheetName val="BasisSwap3M12M"/>
      <sheetName val="LiborSwapForBasisCalc"/>
      <sheetName val="FuturesHWConvAdj"/>
    </sheetNames>
    <sheetDataSet>
      <sheetData sheetId="0"/>
      <sheetData sheetId="1">
        <row r="11">
          <cell r="D11" t="str">
            <v>CHF3M#0000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workbookViewId="0">
      <selection activeCell="D11" sqref="D11"/>
    </sheetView>
  </sheetViews>
  <sheetFormatPr defaultColWidth="8" defaultRowHeight="11.25" outlineLevelCol="1" x14ac:dyDescent="0.2"/>
  <cols>
    <col min="1" max="2" width="2.7109375" style="51" customWidth="1"/>
    <col min="3" max="3" width="18" style="51" bestFit="1" customWidth="1"/>
    <col min="4" max="4" width="23.85546875" style="51" bestFit="1" customWidth="1"/>
    <col min="5" max="5" width="22" style="51" bestFit="1" customWidth="1"/>
    <col min="6" max="7" width="2.7109375" style="51" customWidth="1"/>
    <col min="8" max="8" width="4" style="51" hidden="1" customWidth="1" outlineLevel="1"/>
    <col min="9" max="9" width="3.28515625" style="51" hidden="1" customWidth="1" outlineLevel="1"/>
    <col min="10" max="10" width="2.7109375" style="51" customWidth="1" collapsed="1"/>
    <col min="11" max="11" width="2.7109375" style="51" customWidth="1"/>
    <col min="12" max="12" width="18.5703125" style="51" bestFit="1" customWidth="1"/>
    <col min="13" max="13" width="45.7109375" style="51" customWidth="1"/>
    <col min="14" max="14" width="2.7109375" style="51" customWidth="1"/>
    <col min="15" max="16384" width="8" style="51"/>
  </cols>
  <sheetData>
    <row r="1" spans="2:14" ht="12" thickBot="1" x14ac:dyDescent="0.25">
      <c r="B1" s="51" t="str">
        <f>_xll.qlxlVersion(TRUE,Trigger)</f>
        <v>QuantLibXL 1.6.0 - MS VC++ (version unknown) - Multithreaded Dynamic Runtime library - Release Configuration - May  5 2015 15:27:06</v>
      </c>
    </row>
    <row r="2" spans="2:14" ht="19.5" thickBot="1" x14ac:dyDescent="0.3">
      <c r="B2" s="93" t="s">
        <v>85</v>
      </c>
      <c r="C2" s="90"/>
      <c r="D2" s="90"/>
      <c r="E2" s="90"/>
      <c r="F2" s="90"/>
      <c r="G2" s="92"/>
      <c r="K2" s="93" t="s">
        <v>100</v>
      </c>
      <c r="L2" s="90"/>
      <c r="M2" s="90"/>
      <c r="N2" s="91"/>
    </row>
    <row r="3" spans="2:14" ht="12" thickBot="1" x14ac:dyDescent="0.25">
      <c r="B3" s="2"/>
      <c r="C3" s="31"/>
      <c r="D3" s="1"/>
      <c r="E3" s="1"/>
      <c r="F3" s="1"/>
      <c r="G3" s="92"/>
      <c r="K3" s="46"/>
      <c r="L3" s="49"/>
      <c r="M3" s="49"/>
      <c r="N3" s="48"/>
    </row>
    <row r="4" spans="2:14" x14ac:dyDescent="0.2">
      <c r="B4" s="2"/>
      <c r="C4" s="30" t="s">
        <v>84</v>
      </c>
      <c r="D4" s="17" t="s">
        <v>83</v>
      </c>
      <c r="E4" s="1"/>
      <c r="F4" s="1"/>
      <c r="G4" s="92"/>
      <c r="H4" s="53" t="s">
        <v>83</v>
      </c>
      <c r="I4" s="54" t="s">
        <v>80</v>
      </c>
      <c r="K4" s="46"/>
      <c r="L4" s="45" t="s">
        <v>99</v>
      </c>
      <c r="M4" s="39" t="b">
        <v>0</v>
      </c>
      <c r="N4" s="44"/>
    </row>
    <row r="5" spans="2:14" x14ac:dyDescent="0.2">
      <c r="B5" s="2"/>
      <c r="C5" s="29" t="s">
        <v>82</v>
      </c>
      <c r="D5" s="3">
        <v>3</v>
      </c>
      <c r="E5" s="1"/>
      <c r="F5" s="1"/>
      <c r="G5" s="92"/>
      <c r="H5" s="55" t="s">
        <v>81</v>
      </c>
      <c r="I5" s="56" t="s">
        <v>80</v>
      </c>
      <c r="K5" s="46"/>
      <c r="L5" s="45" t="s">
        <v>98</v>
      </c>
      <c r="M5" s="47"/>
      <c r="N5" s="44"/>
    </row>
    <row r="6" spans="2:14" x14ac:dyDescent="0.2">
      <c r="B6" s="2"/>
      <c r="C6" s="29" t="s">
        <v>79</v>
      </c>
      <c r="D6" s="3" t="str">
        <f>_xll.qlPeriodEquivalent(D5&amp;"M")</f>
        <v>3M</v>
      </c>
      <c r="E6" s="1"/>
      <c r="F6" s="1"/>
      <c r="G6" s="92"/>
      <c r="H6" s="55" t="s">
        <v>78</v>
      </c>
      <c r="I6" s="56" t="s">
        <v>77</v>
      </c>
      <c r="K6" s="46"/>
      <c r="L6" s="45" t="s">
        <v>97</v>
      </c>
      <c r="M6" s="36" t="b">
        <v>1</v>
      </c>
      <c r="N6" s="44"/>
    </row>
    <row r="7" spans="2:14" ht="12" thickBot="1" x14ac:dyDescent="0.25">
      <c r="B7" s="2"/>
      <c r="C7" s="29" t="s">
        <v>76</v>
      </c>
      <c r="D7" s="3" t="str">
        <f>Months&amp;IF(UPPER(Currency)="EUR","E","L")</f>
        <v>3L</v>
      </c>
      <c r="E7" s="1"/>
      <c r="F7" s="1"/>
      <c r="G7" s="92"/>
      <c r="H7" s="55" t="s">
        <v>75</v>
      </c>
      <c r="I7" s="56"/>
      <c r="K7" s="43"/>
      <c r="L7" s="42"/>
      <c r="M7" s="42"/>
      <c r="N7" s="41"/>
    </row>
    <row r="8" spans="2:14" ht="12" thickBot="1" x14ac:dyDescent="0.25">
      <c r="B8" s="2"/>
      <c r="C8" s="29" t="s">
        <v>74</v>
      </c>
      <c r="D8" s="3" t="str">
        <f>VLOOKUP(Currency,H4:I8,2)</f>
        <v>AB</v>
      </c>
      <c r="E8" s="1"/>
      <c r="F8" s="1"/>
      <c r="G8" s="92"/>
      <c r="H8" s="57" t="s">
        <v>73</v>
      </c>
      <c r="I8" s="58" t="s">
        <v>72</v>
      </c>
      <c r="K8" s="52"/>
      <c r="L8" s="52"/>
      <c r="M8" s="52"/>
      <c r="N8" s="52"/>
    </row>
    <row r="9" spans="2:14" ht="19.5" customHeight="1" thickBot="1" x14ac:dyDescent="0.3">
      <c r="B9" s="2"/>
      <c r="C9" s="29" t="s">
        <v>71</v>
      </c>
      <c r="D9" s="3" t="str">
        <f>Currency&amp;"_YC"&amp;IndexTenor&amp;"RH"</f>
        <v>CHF_YC3MRH</v>
      </c>
      <c r="E9" s="1"/>
      <c r="F9" s="1"/>
      <c r="G9" s="92"/>
      <c r="K9" s="93" t="s">
        <v>96</v>
      </c>
      <c r="L9" s="90"/>
      <c r="M9" s="90"/>
      <c r="N9" s="91"/>
    </row>
    <row r="10" spans="2:14" ht="12.75" x14ac:dyDescent="0.2">
      <c r="B10" s="2"/>
      <c r="C10" s="28" t="s">
        <v>70</v>
      </c>
      <c r="D10" s="3" t="b">
        <v>1</v>
      </c>
      <c r="E10" s="1"/>
      <c r="F10" s="1"/>
      <c r="G10" s="92"/>
      <c r="K10" s="38"/>
      <c r="L10" s="40"/>
      <c r="M10" s="40"/>
      <c r="N10" s="35"/>
    </row>
    <row r="11" spans="2:14" ht="12.75" x14ac:dyDescent="0.2">
      <c r="B11" s="2"/>
      <c r="C11" s="28" t="s">
        <v>69</v>
      </c>
      <c r="D11" s="27"/>
      <c r="E11" s="1"/>
      <c r="F11" s="1"/>
      <c r="G11" s="92"/>
      <c r="K11" s="38"/>
      <c r="L11" s="37" t="s">
        <v>95</v>
      </c>
      <c r="M11" s="39" t="s">
        <v>94</v>
      </c>
      <c r="N11" s="35"/>
    </row>
    <row r="12" spans="2:14" ht="12.75" x14ac:dyDescent="0.2">
      <c r="B12" s="2"/>
      <c r="C12" s="26" t="s">
        <v>68</v>
      </c>
      <c r="D12" s="25" t="b">
        <v>1</v>
      </c>
      <c r="E12" s="1"/>
      <c r="F12" s="1"/>
      <c r="G12" s="92"/>
      <c r="K12" s="38"/>
      <c r="L12" s="37" t="s">
        <v>93</v>
      </c>
      <c r="M12" s="36" t="s">
        <v>92</v>
      </c>
      <c r="N12" s="35"/>
    </row>
    <row r="13" spans="2:14" ht="12.75" x14ac:dyDescent="0.2">
      <c r="B13" s="2"/>
      <c r="C13" s="7"/>
      <c r="D13" s="7"/>
      <c r="E13" s="1"/>
      <c r="F13" s="1"/>
      <c r="G13" s="92"/>
      <c r="K13" s="38"/>
      <c r="L13" s="37" t="s">
        <v>117</v>
      </c>
      <c r="M13" s="39" t="s">
        <v>116</v>
      </c>
      <c r="N13" s="35"/>
    </row>
    <row r="14" spans="2:14" ht="12.75" x14ac:dyDescent="0.2">
      <c r="B14" s="2"/>
      <c r="C14" s="22" t="s">
        <v>67</v>
      </c>
      <c r="D14" s="24" t="str">
        <f>_xll.qlPiecewiseYieldCurve(D16,NDays,Calendar,_xll.ohPack(Selected!D2:D126),DayCounter,IF(ISERROR(D22),NA(),D20:E20),IF(ISERROR(D22),NA(),D21:E21),Accuracy,TraitsID,InterpolatorID,Permanent,,ObjectOverwrite)</f>
        <v>_CHFYC3M#0002</v>
      </c>
      <c r="E14" s="1"/>
      <c r="F14" s="1"/>
      <c r="G14" s="92"/>
      <c r="K14" s="38"/>
      <c r="L14" s="37" t="s">
        <v>115</v>
      </c>
      <c r="M14" s="39" t="s">
        <v>105</v>
      </c>
      <c r="N14" s="35"/>
    </row>
    <row r="15" spans="2:14" ht="12.75" x14ac:dyDescent="0.2">
      <c r="B15" s="2"/>
      <c r="C15" s="9" t="s">
        <v>45</v>
      </c>
      <c r="D15" s="23" t="str">
        <f>_xll.ohRangeRetrieveError(YieldCurve)</f>
        <v/>
      </c>
      <c r="E15" s="1"/>
      <c r="F15" s="1"/>
      <c r="G15" s="92"/>
      <c r="K15" s="38"/>
      <c r="L15" s="37" t="s">
        <v>114</v>
      </c>
      <c r="M15" s="39" t="str">
        <f>PROPER(Currency)&amp;"ON"</f>
        <v>ChfON</v>
      </c>
      <c r="N15" s="35"/>
    </row>
    <row r="16" spans="2:14" ht="12.75" x14ac:dyDescent="0.2">
      <c r="B16" s="2"/>
      <c r="C16" s="22" t="s">
        <v>66</v>
      </c>
      <c r="D16" s="21" t="str">
        <f>"_"&amp;Currency&amp;"YC"&amp;IndexTenor</f>
        <v>_CHFYC3M</v>
      </c>
      <c r="E16" s="1"/>
      <c r="F16" s="1"/>
      <c r="G16" s="92"/>
      <c r="K16" s="38"/>
      <c r="L16" s="37" t="s">
        <v>113</v>
      </c>
      <c r="M16" s="39" t="str">
        <f>PROPER(Currency)&amp;"STD"</f>
        <v>ChfSTD</v>
      </c>
      <c r="N16" s="35"/>
    </row>
    <row r="17" spans="1:14" ht="13.5" thickBot="1" x14ac:dyDescent="0.25">
      <c r="B17" s="2"/>
      <c r="C17" s="11" t="s">
        <v>65</v>
      </c>
      <c r="D17" s="20">
        <v>2</v>
      </c>
      <c r="E17" s="1"/>
      <c r="F17" s="1"/>
      <c r="G17" s="92"/>
      <c r="K17" s="34"/>
      <c r="L17" s="33"/>
      <c r="M17" s="33"/>
      <c r="N17" s="32"/>
    </row>
    <row r="18" spans="1:14" ht="12" thickBot="1" x14ac:dyDescent="0.25">
      <c r="B18" s="2"/>
      <c r="C18" s="11" t="s">
        <v>64</v>
      </c>
      <c r="D18" s="20" t="str">
        <f>IF(HolidayCheck,JoinCalendar,LiborCalendar)</f>
        <v>UnitedKingdom::Exchange</v>
      </c>
      <c r="E18" s="1"/>
      <c r="F18" s="1"/>
      <c r="G18" s="92"/>
    </row>
    <row r="19" spans="1:14" ht="19.5" thickBot="1" x14ac:dyDescent="0.3">
      <c r="B19" s="2"/>
      <c r="C19" s="11" t="s">
        <v>62</v>
      </c>
      <c r="D19" s="19"/>
      <c r="E19" s="1"/>
      <c r="F19" s="1"/>
      <c r="G19" s="92"/>
      <c r="K19" s="93" t="s">
        <v>152</v>
      </c>
      <c r="L19" s="90"/>
      <c r="M19" s="90"/>
      <c r="N19" s="91"/>
    </row>
    <row r="20" spans="1:14" x14ac:dyDescent="0.2">
      <c r="B20" s="2"/>
      <c r="C20" s="11" t="s">
        <v>61</v>
      </c>
      <c r="D20" s="18" t="str">
        <f>Currency&amp;"TOY_SYNTH"&amp;IndexTenor&amp;"_Quote"</f>
        <v>CHFTOY_SYNTH3M_Quote</v>
      </c>
      <c r="E20" s="17" t="str">
        <f>Currency&amp;"TOY2_SYNTH"&amp;IndexTenor&amp;"_Quote"</f>
        <v>CHFTOY2_SYNTH3M_Quote</v>
      </c>
      <c r="F20" s="1"/>
      <c r="G20" s="92"/>
      <c r="K20" s="46"/>
      <c r="L20" s="49"/>
      <c r="M20" s="49"/>
      <c r="N20" s="48"/>
    </row>
    <row r="21" spans="1:14" x14ac:dyDescent="0.2">
      <c r="B21" s="2"/>
      <c r="C21" s="11" t="s">
        <v>60</v>
      </c>
      <c r="D21" s="16">
        <f>DATE(YEAR(_xll.qlCalendarAdvance(Calendar,_xll.qlSettingsEvaluationDate(Trigger),NDays&amp;"D")),12,31)</f>
        <v>42369</v>
      </c>
      <c r="E21" s="15">
        <f>DATE(YEAR(D21+1),12,31)</f>
        <v>42735</v>
      </c>
      <c r="F21" s="1"/>
      <c r="G21" s="92"/>
      <c r="K21" s="46"/>
      <c r="L21" s="45" t="s">
        <v>153</v>
      </c>
      <c r="M21" s="39" t="s">
        <v>160</v>
      </c>
      <c r="N21" s="44"/>
    </row>
    <row r="22" spans="1:14" x14ac:dyDescent="0.2">
      <c r="B22" s="2"/>
      <c r="C22" s="11" t="s">
        <v>59</v>
      </c>
      <c r="D22" s="14" t="e">
        <f>NA()</f>
        <v>#N/A</v>
      </c>
      <c r="E22" s="13" t="e">
        <f>NA()</f>
        <v>#N/A</v>
      </c>
      <c r="F22" s="1"/>
      <c r="G22" s="92"/>
      <c r="K22" s="46"/>
      <c r="L22" s="45" t="s">
        <v>156</v>
      </c>
      <c r="M22" s="39" t="s">
        <v>63</v>
      </c>
      <c r="N22" s="44"/>
    </row>
    <row r="23" spans="1:14" x14ac:dyDescent="0.2">
      <c r="B23" s="2"/>
      <c r="C23" s="11" t="s">
        <v>58</v>
      </c>
      <c r="D23" s="12"/>
      <c r="E23" s="1"/>
      <c r="F23" s="1"/>
      <c r="G23" s="92"/>
      <c r="K23" s="46"/>
      <c r="L23" s="45" t="s">
        <v>154</v>
      </c>
      <c r="M23" s="39" t="b">
        <f>_xll.qlCalendarIsHoliday(LocalCalendar,_xll.qlCalendarAdvance(LiborCalendar,_xll.qlSettingsEvaluationDate(Trigger),NDays&amp;"D","f",FALSE,Trigger))</f>
        <v>0</v>
      </c>
      <c r="N23" s="44"/>
    </row>
    <row r="24" spans="1:14" x14ac:dyDescent="0.2">
      <c r="B24" s="2"/>
      <c r="C24" s="11" t="s">
        <v>57</v>
      </c>
      <c r="D24" s="10" t="s">
        <v>56</v>
      </c>
      <c r="E24" s="1"/>
      <c r="F24" s="1"/>
      <c r="G24" s="92"/>
      <c r="K24" s="46"/>
      <c r="L24" s="45" t="s">
        <v>157</v>
      </c>
      <c r="M24" s="39" t="s">
        <v>159</v>
      </c>
      <c r="N24" s="44"/>
    </row>
    <row r="25" spans="1:14" x14ac:dyDescent="0.2">
      <c r="B25" s="2"/>
      <c r="C25" s="9" t="s">
        <v>55</v>
      </c>
      <c r="D25" s="8" t="s">
        <v>54</v>
      </c>
      <c r="E25" s="1"/>
      <c r="F25" s="1"/>
      <c r="G25" s="92"/>
      <c r="K25" s="46"/>
      <c r="L25" s="45" t="s">
        <v>158</v>
      </c>
      <c r="M25" s="36" t="str">
        <f>M24&amp;"("&amp;LocalCalendar&amp;","&amp;LiborCalendar&amp;")"</f>
        <v>JoinHolidays(Switzerland,UnitedKingdom::Exchange)</v>
      </c>
      <c r="N25" s="44"/>
    </row>
    <row r="26" spans="1:14" ht="12" thickBot="1" x14ac:dyDescent="0.25">
      <c r="B26" s="2"/>
      <c r="C26" s="7"/>
      <c r="D26" s="7"/>
      <c r="E26" s="1"/>
      <c r="F26" s="1"/>
      <c r="G26" s="92"/>
      <c r="K26" s="43"/>
      <c r="L26" s="42"/>
      <c r="M26" s="42"/>
      <c r="N26" s="41"/>
    </row>
    <row r="27" spans="1:14" x14ac:dyDescent="0.2">
      <c r="B27" s="2"/>
      <c r="C27" s="6">
        <f>_xll.qlTermStructureReferenceDate(YieldCurve)</f>
        <v>42139</v>
      </c>
      <c r="D27" s="5">
        <f>MAX(_xll.ohPack(Selected!J1:J126))</f>
        <v>1.0192596197749144</v>
      </c>
      <c r="E27" s="1"/>
      <c r="F27" s="1"/>
      <c r="G27" s="92"/>
    </row>
    <row r="28" spans="1:14" x14ac:dyDescent="0.2">
      <c r="B28" s="2"/>
      <c r="C28" s="4">
        <f>MAX(_xll.ohPack(Selected!I2:I126))</f>
        <v>53097</v>
      </c>
      <c r="D28" s="3">
        <f>MIN(_xll.ohPack(Selected!J1:J126))</f>
        <v>0.79169697759761182</v>
      </c>
      <c r="E28" s="1"/>
      <c r="F28" s="1"/>
      <c r="G28" s="92"/>
    </row>
    <row r="29" spans="1:14" x14ac:dyDescent="0.2">
      <c r="A29" s="86"/>
      <c r="B29" s="1"/>
      <c r="C29" s="4" t="s">
        <v>45</v>
      </c>
      <c r="D29" s="3" t="str">
        <f>_xll.ohRangeRetrieveError(Selected!J1)</f>
        <v/>
      </c>
      <c r="E29" s="1"/>
      <c r="F29" s="1"/>
      <c r="G29" s="92"/>
    </row>
    <row r="30" spans="1:14" ht="11.25" customHeight="1" x14ac:dyDescent="0.2">
      <c r="A30" s="86"/>
      <c r="B30" s="1"/>
      <c r="C30" s="4" t="str">
        <f>[1]Libor!$D$11</f>
        <v>CHF3M#0000</v>
      </c>
      <c r="D30" s="3" t="b">
        <f>_xll.qlRelinkableHandleLinkTo(C30,YieldCurve)</f>
        <v>1</v>
      </c>
      <c r="E30" s="1"/>
      <c r="F30" s="1"/>
      <c r="G30" s="92"/>
    </row>
    <row r="31" spans="1:14" x14ac:dyDescent="0.2">
      <c r="A31" s="86"/>
      <c r="B31" s="1"/>
      <c r="C31" s="85" t="s">
        <v>118</v>
      </c>
      <c r="D31" s="50" t="b">
        <v>0</v>
      </c>
      <c r="E31" s="1"/>
      <c r="F31" s="1"/>
      <c r="G31" s="92"/>
    </row>
    <row r="32" spans="1:14" ht="12" thickBot="1" x14ac:dyDescent="0.25">
      <c r="A32" s="86"/>
      <c r="B32" s="1"/>
      <c r="C32" s="87"/>
      <c r="D32" s="88"/>
      <c r="E32" s="1"/>
      <c r="F32" s="1"/>
      <c r="G32" s="92"/>
    </row>
    <row r="33" spans="2:6" x14ac:dyDescent="0.2">
      <c r="B33" s="89"/>
      <c r="C33" s="89"/>
      <c r="D33" s="89"/>
      <c r="E33" s="89"/>
      <c r="F33" s="89"/>
    </row>
  </sheetData>
  <dataValidations disablePrompts="1" count="9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:M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M21:M22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M24">
      <formula1>"JoinBusinessDays,JoinHolidays"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O98"/>
  <sheetViews>
    <sheetView topLeftCell="C1" workbookViewId="0">
      <selection activeCell="C1" sqref="C1"/>
    </sheetView>
  </sheetViews>
  <sheetFormatPr defaultRowHeight="11.25" outlineLevelCol="1" x14ac:dyDescent="0.2"/>
  <cols>
    <col min="1" max="1" width="6" style="59" hidden="1" customWidth="1" outlineLevel="1"/>
    <col min="2" max="2" width="15.140625" style="75" hidden="1" customWidth="1" outlineLevel="1"/>
    <col min="3" max="3" width="27.5703125" style="75" bestFit="1" customWidth="1" collapsed="1"/>
    <col min="4" max="4" width="9" style="75" bestFit="1" customWidth="1"/>
    <col min="5" max="5" width="8.42578125" style="75" customWidth="1"/>
    <col min="6" max="6" width="8" style="75" bestFit="1" customWidth="1"/>
    <col min="7" max="8" width="9" style="75" bestFit="1" customWidth="1"/>
    <col min="9" max="10" width="17.28515625" style="75" bestFit="1" customWidth="1"/>
    <col min="11" max="11" width="3" style="59" bestFit="1" customWidth="1"/>
    <col min="12" max="12" width="13.7109375" style="59" bestFit="1" customWidth="1"/>
    <col min="13" max="13" width="6" style="59" hidden="1" customWidth="1" outlineLevel="1"/>
    <col min="14" max="14" width="7" style="59" hidden="1" customWidth="1" outlineLevel="1"/>
    <col min="15" max="15" width="9.140625" style="59" collapsed="1"/>
    <col min="16" max="16384" width="9.140625" style="59"/>
  </cols>
  <sheetData>
    <row r="1" spans="2:14" ht="33.75" customHeight="1" x14ac:dyDescent="0.2">
      <c r="B1" s="237" t="s">
        <v>44</v>
      </c>
      <c r="C1" s="237" t="s">
        <v>119</v>
      </c>
      <c r="D1" s="237" t="s">
        <v>43</v>
      </c>
      <c r="E1" s="237" t="s">
        <v>42</v>
      </c>
      <c r="F1" s="237" t="s">
        <v>41</v>
      </c>
      <c r="G1" s="237" t="s">
        <v>40</v>
      </c>
      <c r="H1" s="237" t="s">
        <v>39</v>
      </c>
      <c r="I1" s="237" t="s">
        <v>38</v>
      </c>
      <c r="J1" s="237" t="s">
        <v>37</v>
      </c>
    </row>
    <row r="2" spans="2:14" x14ac:dyDescent="0.2">
      <c r="B2" s="221" t="str">
        <f>Deposits!E3</f>
        <v>obj_0031b#0001</v>
      </c>
      <c r="C2" s="146" t="str">
        <f>_xll.qlRateHelperQuoteName(B2)</f>
        <v>CHFOND_Quote</v>
      </c>
      <c r="D2" s="219">
        <f>_xll.qlRateHelperQuoteValue($B2,Trigger)</f>
        <v>-7.000000000000001E-3</v>
      </c>
      <c r="E2" s="145"/>
      <c r="F2" s="144" t="b">
        <v>1</v>
      </c>
      <c r="G2" s="144">
        <v>10</v>
      </c>
      <c r="H2" s="144">
        <v>1</v>
      </c>
      <c r="I2" s="143">
        <f>_xll.qlRateHelperEarliestDate($B2,Trigger)</f>
        <v>42137</v>
      </c>
      <c r="J2" s="142">
        <f>_xll.qlRateHelperLatestDate($B2,Trigger)</f>
        <v>42139</v>
      </c>
    </row>
    <row r="3" spans="2:14" x14ac:dyDescent="0.2">
      <c r="B3" s="220" t="str">
        <f>Deposits!E4</f>
        <v>obj_00319#0001</v>
      </c>
      <c r="C3" s="141" t="str">
        <f>_xll.qlRateHelperQuoteName(B3)</f>
        <v>CHFTND_Quote</v>
      </c>
      <c r="D3" s="147">
        <f>_xll.qlRateHelperQuoteValue($B3,Trigger)</f>
        <v>-3.8E-3</v>
      </c>
      <c r="E3" s="140"/>
      <c r="F3" s="139" t="b">
        <v>0</v>
      </c>
      <c r="G3" s="139">
        <v>10</v>
      </c>
      <c r="H3" s="139">
        <v>1</v>
      </c>
      <c r="I3" s="138">
        <f>_xll.qlRateHelperEarliestDate($B3,Trigger)</f>
        <v>42139</v>
      </c>
      <c r="J3" s="137">
        <f>_xll.qlRateHelperLatestDate($B3,Trigger)</f>
        <v>42142</v>
      </c>
    </row>
    <row r="4" spans="2:14" x14ac:dyDescent="0.2">
      <c r="B4" s="220" t="str">
        <f>Deposits!E5</f>
        <v>obj_00317#0001</v>
      </c>
      <c r="C4" s="141" t="str">
        <f>_xll.qlRateHelperQuoteName(B4)</f>
        <v>CHFSND_SYNTH3M_Quote</v>
      </c>
      <c r="D4" s="147">
        <f>_xll.qlRateHelperQuoteValue($B4,Trigger)</f>
        <v>-7.0540000000000004E-3</v>
      </c>
      <c r="E4" s="140"/>
      <c r="F4" s="139" t="b">
        <v>1</v>
      </c>
      <c r="G4" s="139">
        <v>10</v>
      </c>
      <c r="H4" s="139">
        <v>1</v>
      </c>
      <c r="I4" s="138">
        <f>_xll.qlRateHelperEarliestDate($B4,Trigger)</f>
        <v>42142</v>
      </c>
      <c r="J4" s="137">
        <f>_xll.qlRateHelperLatestDate($B4,Trigger)</f>
        <v>42143</v>
      </c>
    </row>
    <row r="5" spans="2:14" x14ac:dyDescent="0.2">
      <c r="B5" s="220" t="str">
        <f>Deposits!E6</f>
        <v>obj_00314#0001</v>
      </c>
      <c r="C5" s="141" t="str">
        <f>_xll.qlRateHelperQuoteName(B5)</f>
        <v>CHFSWD_SYNTH3M_Quote</v>
      </c>
      <c r="D5" s="147">
        <f>_xll.qlRateHelperQuoteValue($B5,Trigger)</f>
        <v>-7.1300000000000001E-3</v>
      </c>
      <c r="E5" s="140"/>
      <c r="F5" s="139" t="b">
        <v>1</v>
      </c>
      <c r="G5" s="139">
        <v>10</v>
      </c>
      <c r="H5" s="139">
        <v>1</v>
      </c>
      <c r="I5" s="138">
        <f>_xll.qlRateHelperEarliestDate($B5,Trigger)</f>
        <v>42139</v>
      </c>
      <c r="J5" s="137">
        <f>_xll.qlRateHelperLatestDate($B5,Trigger)</f>
        <v>42146</v>
      </c>
    </row>
    <row r="6" spans="2:14" x14ac:dyDescent="0.2">
      <c r="B6" s="220" t="str">
        <f>Deposits!E7</f>
        <v>obj_00316#0001</v>
      </c>
      <c r="C6" s="141" t="str">
        <f>_xll.qlRateHelperQuoteName(B6)</f>
        <v>CHF1MD_SYNTH3M_Quote</v>
      </c>
      <c r="D6" s="147">
        <f>_xll.qlRateHelperQuoteValue($B6,Trigger)</f>
        <v>-7.3769999999999999E-3</v>
      </c>
      <c r="E6" s="140"/>
      <c r="F6" s="139" t="b">
        <v>1</v>
      </c>
      <c r="G6" s="139">
        <v>10</v>
      </c>
      <c r="H6" s="139">
        <v>1</v>
      </c>
      <c r="I6" s="138">
        <f>_xll.qlRateHelperEarliestDate($B6,Trigger)</f>
        <v>42139</v>
      </c>
      <c r="J6" s="137">
        <f>_xll.qlRateHelperLatestDate($B6,Trigger)</f>
        <v>42170</v>
      </c>
    </row>
    <row r="7" spans="2:14" x14ac:dyDescent="0.2">
      <c r="B7" s="220" t="str">
        <f>Deposits!E8</f>
        <v>obj_0031a#0001</v>
      </c>
      <c r="C7" s="141" t="str">
        <f>_xll.qlRateHelperQuoteName(B7)</f>
        <v>CHF2MD_SYNTH3M_Quote</v>
      </c>
      <c r="D7" s="147">
        <f>_xll.qlRateHelperQuoteValue($B7,Trigger)</f>
        <v>-7.633E-3</v>
      </c>
      <c r="E7" s="140"/>
      <c r="F7" s="139" t="b">
        <v>1</v>
      </c>
      <c r="G7" s="139">
        <v>10</v>
      </c>
      <c r="H7" s="139">
        <v>1</v>
      </c>
      <c r="I7" s="138">
        <f>_xll.qlRateHelperEarliestDate($B7,Trigger)</f>
        <v>42139</v>
      </c>
      <c r="J7" s="137">
        <f>_xll.qlRateHelperLatestDate($B7,Trigger)</f>
        <v>42200</v>
      </c>
    </row>
    <row r="8" spans="2:14" x14ac:dyDescent="0.2">
      <c r="B8" s="220" t="str">
        <f>Deposits!E9</f>
        <v>obj_00315#0001</v>
      </c>
      <c r="C8" s="141" t="str">
        <f>_xll.qlRateHelperQuoteName(B8)</f>
        <v>CHF3MD_SYNTH3M_Quote</v>
      </c>
      <c r="D8" s="147">
        <f>_xll.qlRateHelperQuoteValue($B8,Trigger)</f>
        <v>-7.7429999999999999E-3</v>
      </c>
      <c r="E8" s="140"/>
      <c r="F8" s="139" t="b">
        <v>1</v>
      </c>
      <c r="G8" s="139">
        <v>10</v>
      </c>
      <c r="H8" s="139">
        <v>1</v>
      </c>
      <c r="I8" s="138">
        <f>_xll.qlRateHelperEarliestDate($B8,Trigger)</f>
        <v>42139</v>
      </c>
      <c r="J8" s="137">
        <f>_xll.qlRateHelperLatestDate($B8,Trigger)</f>
        <v>42233</v>
      </c>
    </row>
    <row r="9" spans="2:14" s="130" customFormat="1" x14ac:dyDescent="0.2">
      <c r="B9" s="220" t="str">
        <f>Deposits!E10</f>
        <v>obj_00312#0001</v>
      </c>
      <c r="C9" s="141" t="str">
        <f>_xll.qlRateHelperQuoteName(B9)</f>
        <v>CHF6MD_Quote</v>
      </c>
      <c r="D9" s="147">
        <f>_xll.qlRateHelperQuoteValue($B9,Trigger)</f>
        <v>-7.0160000000000014E-3</v>
      </c>
      <c r="E9" s="140"/>
      <c r="F9" s="139" t="b">
        <v>0</v>
      </c>
      <c r="G9" s="139">
        <v>10</v>
      </c>
      <c r="H9" s="139">
        <v>1</v>
      </c>
      <c r="I9" s="138">
        <f>_xll.qlRateHelperEarliestDate($B9,Trigger)</f>
        <v>42139</v>
      </c>
      <c r="J9" s="137">
        <f>_xll.qlRateHelperLatestDate($B9,Trigger)</f>
        <v>42324</v>
      </c>
    </row>
    <row r="10" spans="2:14" x14ac:dyDescent="0.2">
      <c r="B10" s="101" t="str">
        <f>Deposits!E11</f>
        <v>obj_00313#0001</v>
      </c>
      <c r="C10" s="136" t="str">
        <f>_xll.qlRateHelperQuoteName(B10)</f>
        <v>CHF1YD_Quote</v>
      </c>
      <c r="D10" s="238">
        <f>_xll.qlRateHelperQuoteValue($B10,Trigger)</f>
        <v>-5.836E-3</v>
      </c>
      <c r="E10" s="135"/>
      <c r="F10" s="134" t="b">
        <v>0</v>
      </c>
      <c r="G10" s="134">
        <v>10</v>
      </c>
      <c r="H10" s="134">
        <v>1</v>
      </c>
      <c r="I10" s="133">
        <f>_xll.qlRateHelperEarliestDate($B10,Trigger)</f>
        <v>42139</v>
      </c>
      <c r="J10" s="132">
        <f>_xll.qlRateHelperLatestDate($B10,Trigger)</f>
        <v>42506</v>
      </c>
      <c r="M10" s="148" t="s">
        <v>150</v>
      </c>
      <c r="N10" s="148" t="s">
        <v>151</v>
      </c>
    </row>
    <row r="11" spans="2:14" s="130" customFormat="1" x14ac:dyDescent="0.2">
      <c r="B11" s="221" t="str">
        <f>FRAs!G3</f>
        <v>obj_00307#0001</v>
      </c>
      <c r="C11" s="146" t="str">
        <f>_xll.qlRateHelperQuoteName(B11)</f>
        <v>CHF1x4F_Quote</v>
      </c>
      <c r="D11" s="219">
        <f>_xll.qlRateHelperQuoteValue($B11,Trigger)</f>
        <v>-8.1000000000000013E-3</v>
      </c>
      <c r="E11" s="145"/>
      <c r="F11" s="144" t="b">
        <v>0</v>
      </c>
      <c r="G11" s="144">
        <v>10</v>
      </c>
      <c r="H11" s="144">
        <v>1</v>
      </c>
      <c r="I11" s="143">
        <f>_xll.qlRateHelperEarliestDate($B11,Trigger)</f>
        <v>42170</v>
      </c>
      <c r="J11" s="142">
        <f>_xll.qlRateHelperLatestDate($B11,Trigger)</f>
        <v>42262</v>
      </c>
      <c r="M11" s="256"/>
      <c r="N11" s="256"/>
    </row>
    <row r="12" spans="2:14" s="130" customFormat="1" x14ac:dyDescent="0.2">
      <c r="B12" s="220" t="str">
        <f>FRAs!G4</f>
        <v>obj_00304#0001</v>
      </c>
      <c r="C12" s="141" t="str">
        <f>_xll.qlRateHelperQuoteName(B12)</f>
        <v>CHF2x5F_Quote</v>
      </c>
      <c r="D12" s="147">
        <f>_xll.qlRateHelperQuoteValue($B12,Trigger)</f>
        <v>-8.2500000000000004E-3</v>
      </c>
      <c r="E12" s="140"/>
      <c r="F12" s="139" t="b">
        <v>0</v>
      </c>
      <c r="G12" s="139">
        <v>10</v>
      </c>
      <c r="H12" s="139">
        <v>1</v>
      </c>
      <c r="I12" s="138">
        <f>_xll.qlRateHelperEarliestDate($B12,Trigger)</f>
        <v>42200</v>
      </c>
      <c r="J12" s="137">
        <f>_xll.qlRateHelperLatestDate($B12,Trigger)</f>
        <v>42292</v>
      </c>
      <c r="M12" s="256"/>
      <c r="N12" s="256"/>
    </row>
    <row r="13" spans="2:14" s="130" customFormat="1" x14ac:dyDescent="0.2">
      <c r="B13" s="220" t="str">
        <f>FRAs!G5</f>
        <v>obj_00303#0001</v>
      </c>
      <c r="C13" s="141" t="str">
        <f>_xll.qlRateHelperQuoteName(B13)</f>
        <v>CHF3x6F_Quote</v>
      </c>
      <c r="D13" s="147">
        <f>_xll.qlRateHelperQuoteValue($B13,Trigger)</f>
        <v>-8.3499999999999998E-3</v>
      </c>
      <c r="E13" s="140"/>
      <c r="F13" s="139" t="b">
        <v>0</v>
      </c>
      <c r="G13" s="139">
        <v>10</v>
      </c>
      <c r="H13" s="139">
        <v>1</v>
      </c>
      <c r="I13" s="138">
        <f>_xll.qlRateHelperEarliestDate($B13,Trigger)</f>
        <v>42233</v>
      </c>
      <c r="J13" s="137">
        <f>_xll.qlRateHelperLatestDate($B13,Trigger)</f>
        <v>42325</v>
      </c>
      <c r="M13" s="256"/>
      <c r="N13" s="256"/>
    </row>
    <row r="14" spans="2:14" s="130" customFormat="1" x14ac:dyDescent="0.2">
      <c r="B14" s="220" t="str">
        <f>FRAs!G6</f>
        <v>obj_00308#0001</v>
      </c>
      <c r="C14" s="141" t="str">
        <f>_xll.qlRateHelperQuoteName(B14)</f>
        <v>CHF4x7F_Quote</v>
      </c>
      <c r="D14" s="147" t="e">
        <f>_xll.qlRateHelperQuoteValue($B14,Trigger)</f>
        <v>#NUM!</v>
      </c>
      <c r="E14" s="140"/>
      <c r="F14" s="139" t="b">
        <v>0</v>
      </c>
      <c r="G14" s="139">
        <v>10</v>
      </c>
      <c r="H14" s="139">
        <v>1</v>
      </c>
      <c r="I14" s="138">
        <f>_xll.qlRateHelperEarliestDate($B14,Trigger)</f>
        <v>42262</v>
      </c>
      <c r="J14" s="137">
        <f>_xll.qlRateHelperLatestDate($B14,Trigger)</f>
        <v>42353</v>
      </c>
      <c r="M14" s="256"/>
      <c r="N14" s="256"/>
    </row>
    <row r="15" spans="2:14" s="130" customFormat="1" x14ac:dyDescent="0.2">
      <c r="B15" s="220" t="str">
        <f>FRAs!G7</f>
        <v>obj_00306#0001</v>
      </c>
      <c r="C15" s="141" t="str">
        <f>_xll.qlRateHelperQuoteName(B15)</f>
        <v>CHF5x8F_Quote</v>
      </c>
      <c r="D15" s="147" t="e">
        <f>_xll.qlRateHelperQuoteValue($B15,Trigger)</f>
        <v>#NUM!</v>
      </c>
      <c r="E15" s="140"/>
      <c r="F15" s="139" t="b">
        <v>0</v>
      </c>
      <c r="G15" s="139">
        <v>10</v>
      </c>
      <c r="H15" s="139">
        <v>1</v>
      </c>
      <c r="I15" s="138">
        <f>_xll.qlRateHelperEarliestDate($B15,Trigger)</f>
        <v>42292</v>
      </c>
      <c r="J15" s="137">
        <f>_xll.qlRateHelperLatestDate($B15,Trigger)</f>
        <v>42384</v>
      </c>
      <c r="M15" s="256"/>
      <c r="N15" s="256"/>
    </row>
    <row r="16" spans="2:14" s="130" customFormat="1" x14ac:dyDescent="0.2">
      <c r="B16" s="220" t="str">
        <f>FRAs!G8</f>
        <v>obj_00305#0001</v>
      </c>
      <c r="C16" s="141" t="str">
        <f>_xll.qlRateHelperQuoteName(B16)</f>
        <v>CHF6x9F_Quote</v>
      </c>
      <c r="D16" s="147">
        <f>_xll.qlRateHelperQuoteValue($B16,Trigger)</f>
        <v>-8.2500000000000004E-3</v>
      </c>
      <c r="E16" s="140"/>
      <c r="F16" s="139" t="b">
        <v>0</v>
      </c>
      <c r="G16" s="139">
        <v>10</v>
      </c>
      <c r="H16" s="139">
        <v>1</v>
      </c>
      <c r="I16" s="138">
        <f>_xll.qlRateHelperEarliestDate($B16,Trigger)</f>
        <v>42324</v>
      </c>
      <c r="J16" s="137">
        <f>_xll.qlRateHelperLatestDate($B16,Trigger)</f>
        <v>42416</v>
      </c>
      <c r="M16" s="256"/>
      <c r="N16" s="256"/>
    </row>
    <row r="17" spans="1:14" s="130" customFormat="1" x14ac:dyDescent="0.2">
      <c r="B17" s="220" t="str">
        <f>FRAs!G9</f>
        <v>obj_00300#0001</v>
      </c>
      <c r="C17" s="141" t="str">
        <f>_xll.qlRateHelperQuoteName(B17)</f>
        <v>CHF7x10F_Quote</v>
      </c>
      <c r="D17" s="147" t="e">
        <f>_xll.qlRateHelperQuoteValue($B17,Trigger)</f>
        <v>#NUM!</v>
      </c>
      <c r="E17" s="140"/>
      <c r="F17" s="139" t="b">
        <v>0</v>
      </c>
      <c r="G17" s="139">
        <v>10</v>
      </c>
      <c r="H17" s="139">
        <v>1</v>
      </c>
      <c r="I17" s="138">
        <f>_xll.qlRateHelperEarliestDate($B17,Trigger)</f>
        <v>42353</v>
      </c>
      <c r="J17" s="137">
        <f>_xll.qlRateHelperLatestDate($B17,Trigger)</f>
        <v>42444</v>
      </c>
      <c r="M17" s="256"/>
      <c r="N17" s="256"/>
    </row>
    <row r="18" spans="1:14" s="130" customFormat="1" x14ac:dyDescent="0.2">
      <c r="B18" s="220" t="str">
        <f>FRAs!G10</f>
        <v>obj_00302#0001</v>
      </c>
      <c r="C18" s="141" t="str">
        <f>_xll.qlRateHelperQuoteName(B18)</f>
        <v>CHF8x11F_Quote</v>
      </c>
      <c r="D18" s="147" t="e">
        <f>_xll.qlRateHelperQuoteValue($B18,Trigger)</f>
        <v>#NUM!</v>
      </c>
      <c r="E18" s="140"/>
      <c r="F18" s="139" t="b">
        <v>0</v>
      </c>
      <c r="G18" s="139">
        <v>10</v>
      </c>
      <c r="H18" s="139">
        <v>1</v>
      </c>
      <c r="I18" s="138">
        <f>_xll.qlRateHelperEarliestDate($B18,Trigger)</f>
        <v>42384</v>
      </c>
      <c r="J18" s="137">
        <f>_xll.qlRateHelperLatestDate($B18,Trigger)</f>
        <v>42475</v>
      </c>
      <c r="M18" s="256"/>
      <c r="N18" s="256"/>
    </row>
    <row r="19" spans="1:14" s="130" customFormat="1" x14ac:dyDescent="0.2">
      <c r="B19" s="101" t="str">
        <f>FRAs!G11</f>
        <v>obj_00301#0001</v>
      </c>
      <c r="C19" s="136" t="str">
        <f>_xll.qlRateHelperQuoteName(B19)</f>
        <v>CHF9x12F_Quote</v>
      </c>
      <c r="D19" s="238">
        <f>_xll.qlRateHelperQuoteValue($B19,Trigger)</f>
        <v>-7.8000000000000005E-3</v>
      </c>
      <c r="E19" s="135"/>
      <c r="F19" s="134" t="b">
        <v>0</v>
      </c>
      <c r="G19" s="134">
        <v>10</v>
      </c>
      <c r="H19" s="134">
        <v>1</v>
      </c>
      <c r="I19" s="133">
        <f>_xll.qlRateHelperEarliestDate($B19,Trigger)</f>
        <v>42415</v>
      </c>
      <c r="J19" s="132">
        <f>_xll.qlRateHelperLatestDate($B19,Trigger)</f>
        <v>42507</v>
      </c>
      <c r="M19" s="256"/>
      <c r="N19" s="256"/>
    </row>
    <row r="20" spans="1:14" ht="11.25" customHeight="1" x14ac:dyDescent="0.2">
      <c r="A20" s="83" t="b">
        <v>0</v>
      </c>
      <c r="B20" s="220" t="str">
        <f>Futures!J3</f>
        <v>obj_00367#0001</v>
      </c>
      <c r="C20" s="141" t="str">
        <f>_xll.qlRateHelperQuoteName(B20)</f>
        <v>CHFFUT3MK5_Quote</v>
      </c>
      <c r="D20" s="147" t="e">
        <f>_xll.qlRateHelperQuoteValue($B20,Trigger)</f>
        <v>#NUM!</v>
      </c>
      <c r="E20" s="140" t="e">
        <f>_xll.qlFuturesRateHelperConvexityAdjustment($B20,Trigger)</f>
        <v>#NUM!</v>
      </c>
      <c r="F20" s="139" t="b">
        <f>NOT(ISERROR(D20))</f>
        <v>0</v>
      </c>
      <c r="G20" s="139">
        <v>60</v>
      </c>
      <c r="H20" s="139">
        <v>7</v>
      </c>
      <c r="I20" s="138">
        <f>_xll.qlRateHelperEarliestDate($B20,Trigger)</f>
        <v>42144</v>
      </c>
      <c r="J20" s="137">
        <f>_xll.qlRateHelperLatestDate($B20,Trigger)</f>
        <v>42236</v>
      </c>
      <c r="M20" s="59" t="b">
        <f>AND(_xll.qlIMMIsIMMdate(I20),IF(ISERROR(D20),FALSE,TRUE))</f>
        <v>0</v>
      </c>
      <c r="N20" s="130" t="b">
        <f>AND(NOT(_xll.qlIMMIsIMMdate(I20)),IF(ISERROR(D20),FALSE,TRUE))</f>
        <v>0</v>
      </c>
    </row>
    <row r="21" spans="1:14" x14ac:dyDescent="0.2">
      <c r="A21" s="81" t="b">
        <v>0</v>
      </c>
      <c r="B21" s="220" t="str">
        <f>Futures!J4</f>
        <v>obj_00365#0001</v>
      </c>
      <c r="C21" s="141" t="str">
        <f>_xll.qlRateHelperQuoteName(B21)</f>
        <v>CHFFUT3MM5_Quote</v>
      </c>
      <c r="D21" s="147">
        <f>_xll.qlRateHelperQuoteValue($B21,Trigger)</f>
        <v>100.815</v>
      </c>
      <c r="E21" s="140">
        <f>_xll.qlFuturesRateHelperConvexityAdjustment($B21,Trigger)</f>
        <v>0</v>
      </c>
      <c r="F21" s="139" t="b">
        <f t="shared" ref="F21:F61" si="0">NOT(ISERROR(D21))</f>
        <v>1</v>
      </c>
      <c r="G21" s="139">
        <v>60</v>
      </c>
      <c r="H21" s="139">
        <v>7</v>
      </c>
      <c r="I21" s="138">
        <f>_xll.qlRateHelperEarliestDate($B21,Trigger)</f>
        <v>42172</v>
      </c>
      <c r="J21" s="137">
        <f>_xll.qlRateHelperLatestDate($B21,Trigger)</f>
        <v>42264</v>
      </c>
      <c r="M21" s="130" t="b">
        <f>AND(_xll.qlIMMIsIMMdate(I21),IF(ISERROR(D21),FALSE,TRUE))</f>
        <v>1</v>
      </c>
      <c r="N21" s="130" t="b">
        <f>AND(NOT(_xll.qlIMMIsIMMdate(I21)),IF(ISERROR(D21),FALSE,TRUE))</f>
        <v>0</v>
      </c>
    </row>
    <row r="22" spans="1:14" x14ac:dyDescent="0.2">
      <c r="A22" s="81" t="b">
        <v>0</v>
      </c>
      <c r="B22" s="220" t="str">
        <f>Futures!J5</f>
        <v>obj_0036a#0001</v>
      </c>
      <c r="C22" s="141" t="str">
        <f>_xll.qlRateHelperQuoteName(B22)</f>
        <v>CHFFUT3MN5_Quote</v>
      </c>
      <c r="D22" s="147" t="e">
        <f>_xll.qlRateHelperQuoteValue($B22,Trigger)</f>
        <v>#NUM!</v>
      </c>
      <c r="E22" s="140" t="e">
        <f>_xll.qlFuturesRateHelperConvexityAdjustment($B22,Trigger)</f>
        <v>#NUM!</v>
      </c>
      <c r="F22" s="139" t="b">
        <f t="shared" si="0"/>
        <v>0</v>
      </c>
      <c r="G22" s="139">
        <v>60</v>
      </c>
      <c r="H22" s="139">
        <v>7</v>
      </c>
      <c r="I22" s="138">
        <f>_xll.qlRateHelperEarliestDate($B22,Trigger)</f>
        <v>42200</v>
      </c>
      <c r="J22" s="137">
        <f>_xll.qlRateHelperLatestDate($B22,Trigger)</f>
        <v>42292</v>
      </c>
      <c r="M22" s="130" t="b">
        <f>AND(_xll.qlIMMIsIMMdate(I22),IF(ISERROR(D22),FALSE,TRUE))</f>
        <v>0</v>
      </c>
      <c r="N22" s="130" t="b">
        <f>AND(NOT(_xll.qlIMMIsIMMdate(I22)),IF(ISERROR(D22),FALSE,TRUE))</f>
        <v>0</v>
      </c>
    </row>
    <row r="23" spans="1:14" x14ac:dyDescent="0.2">
      <c r="A23" s="81" t="b">
        <v>0</v>
      </c>
      <c r="B23" s="220" t="str">
        <f>Futures!J6</f>
        <v>obj_00343#0001</v>
      </c>
      <c r="C23" s="141" t="str">
        <f>_xll.qlRateHelperQuoteName(B23)</f>
        <v>CHFFUT3MQ5_Quote</v>
      </c>
      <c r="D23" s="147" t="e">
        <f>_xll.qlRateHelperQuoteValue($B23,Trigger)</f>
        <v>#NUM!</v>
      </c>
      <c r="E23" s="140" t="e">
        <f>_xll.qlFuturesRateHelperConvexityAdjustment($B23,Trigger)</f>
        <v>#NUM!</v>
      </c>
      <c r="F23" s="139" t="b">
        <f t="shared" si="0"/>
        <v>0</v>
      </c>
      <c r="G23" s="139">
        <v>60</v>
      </c>
      <c r="H23" s="139">
        <v>21</v>
      </c>
      <c r="I23" s="138">
        <f>_xll.qlRateHelperEarliestDate($B23,Trigger)</f>
        <v>42235</v>
      </c>
      <c r="J23" s="137">
        <f>_xll.qlRateHelperLatestDate($B23,Trigger)</f>
        <v>42327</v>
      </c>
      <c r="M23" s="130" t="b">
        <f>AND(_xll.qlIMMIsIMMdate(I23),IF(ISERROR(D23),FALSE,TRUE))</f>
        <v>0</v>
      </c>
      <c r="N23" s="130" t="b">
        <f>AND(NOT(_xll.qlIMMIsIMMdate(I23)),IF(ISERROR(D23),FALSE,TRUE))</f>
        <v>0</v>
      </c>
    </row>
    <row r="24" spans="1:14" x14ac:dyDescent="0.2">
      <c r="A24" s="81" t="b">
        <v>0</v>
      </c>
      <c r="B24" s="220" t="str">
        <f>Futures!J7</f>
        <v>obj_0034a#0001</v>
      </c>
      <c r="C24" s="141" t="str">
        <f>_xll.qlRateHelperQuoteName(B24)</f>
        <v>CHFFUT3MU5_Quote</v>
      </c>
      <c r="D24" s="147">
        <f>_xll.qlRateHelperQuoteValue($B24,Trigger)</f>
        <v>100.845</v>
      </c>
      <c r="E24" s="140">
        <f>_xll.qlFuturesRateHelperConvexityAdjustment($B24,Trigger)</f>
        <v>0</v>
      </c>
      <c r="F24" s="139" t="b">
        <f t="shared" si="0"/>
        <v>1</v>
      </c>
      <c r="G24" s="139">
        <v>60</v>
      </c>
      <c r="H24" s="139">
        <v>21</v>
      </c>
      <c r="I24" s="138">
        <f>_xll.qlRateHelperEarliestDate($B24,Trigger)</f>
        <v>42263</v>
      </c>
      <c r="J24" s="137">
        <f>_xll.qlRateHelperLatestDate($B24,Trigger)</f>
        <v>42354</v>
      </c>
      <c r="M24" s="130" t="b">
        <f>AND(_xll.qlIMMIsIMMdate(I24),IF(ISERROR(D24),FALSE,TRUE))</f>
        <v>1</v>
      </c>
      <c r="N24" s="130" t="b">
        <f>AND(NOT(_xll.qlIMMIsIMMdate(I24)),IF(ISERROR(D24),FALSE,TRUE))</f>
        <v>0</v>
      </c>
    </row>
    <row r="25" spans="1:14" x14ac:dyDescent="0.2">
      <c r="A25" s="81" t="b">
        <v>0</v>
      </c>
      <c r="B25" s="220" t="str">
        <f>Futures!J8</f>
        <v>obj_00354#0001</v>
      </c>
      <c r="C25" s="141" t="str">
        <f>_xll.qlRateHelperQuoteName(B25)</f>
        <v>CHFFUT3MV5_Quote</v>
      </c>
      <c r="D25" s="147" t="e">
        <f>_xll.qlRateHelperQuoteValue($B25,Trigger)</f>
        <v>#NUM!</v>
      </c>
      <c r="E25" s="140" t="e">
        <f>_xll.qlFuturesRateHelperConvexityAdjustment($B25,Trigger)</f>
        <v>#NUM!</v>
      </c>
      <c r="F25" s="139" t="b">
        <f t="shared" si="0"/>
        <v>0</v>
      </c>
      <c r="G25" s="139">
        <v>60</v>
      </c>
      <c r="H25" s="139">
        <v>21</v>
      </c>
      <c r="I25" s="138">
        <f>_xll.qlRateHelperEarliestDate($B25,Trigger)</f>
        <v>42298</v>
      </c>
      <c r="J25" s="137">
        <f>_xll.qlRateHelperLatestDate($B25,Trigger)</f>
        <v>42390</v>
      </c>
      <c r="M25" s="130" t="b">
        <f>AND(_xll.qlIMMIsIMMdate(I25),IF(ISERROR(D25),FALSE,TRUE))</f>
        <v>0</v>
      </c>
      <c r="N25" s="130" t="b">
        <f>AND(NOT(_xll.qlIMMIsIMMdate(I25)),IF(ISERROR(D25),FALSE,TRUE))</f>
        <v>0</v>
      </c>
    </row>
    <row r="26" spans="1:14" x14ac:dyDescent="0.2">
      <c r="A26" s="81" t="b">
        <v>0</v>
      </c>
      <c r="B26" s="220" t="str">
        <f>Futures!J9</f>
        <v>obj_0035e#0001</v>
      </c>
      <c r="C26" s="141" t="str">
        <f>_xll.qlRateHelperQuoteName(B26)</f>
        <v>CHFFUT3MX5_Quote</v>
      </c>
      <c r="D26" s="147" t="e">
        <f>_xll.qlRateHelperQuoteValue($B26,Trigger)</f>
        <v>#NUM!</v>
      </c>
      <c r="E26" s="140" t="e">
        <f>_xll.qlFuturesRateHelperConvexityAdjustment($B26,Trigger)</f>
        <v>#NUM!</v>
      </c>
      <c r="F26" s="139" t="b">
        <f t="shared" si="0"/>
        <v>0</v>
      </c>
      <c r="G26" s="139">
        <v>60</v>
      </c>
      <c r="H26" s="139">
        <v>21</v>
      </c>
      <c r="I26" s="138">
        <f>_xll.qlRateHelperEarliestDate($B26,Trigger)</f>
        <v>42326</v>
      </c>
      <c r="J26" s="137">
        <f>_xll.qlRateHelperLatestDate($B26,Trigger)</f>
        <v>42418</v>
      </c>
      <c r="M26" s="130" t="b">
        <f>AND(_xll.qlIMMIsIMMdate(I26),IF(ISERROR(D26),FALSE,TRUE))</f>
        <v>0</v>
      </c>
      <c r="N26" s="130" t="b">
        <f>AND(NOT(_xll.qlIMMIsIMMdate(I26)),IF(ISERROR(D26),FALSE,TRUE))</f>
        <v>0</v>
      </c>
    </row>
    <row r="27" spans="1:14" x14ac:dyDescent="0.2">
      <c r="A27" s="81" t="b">
        <v>0</v>
      </c>
      <c r="B27" s="220" t="str">
        <f>Futures!J10</f>
        <v>obj_00361#0001</v>
      </c>
      <c r="C27" s="141" t="str">
        <f>_xll.qlRateHelperQuoteName(B27)</f>
        <v>CHFFUT3MZ5_Quote</v>
      </c>
      <c r="D27" s="147">
        <f>_xll.qlRateHelperQuoteValue($B27,Trigger)</f>
        <v>100.815</v>
      </c>
      <c r="E27" s="140">
        <f>_xll.qlFuturesRateHelperConvexityAdjustment($B27,Trigger)</f>
        <v>0</v>
      </c>
      <c r="F27" s="139" t="b">
        <f t="shared" si="0"/>
        <v>1</v>
      </c>
      <c r="G27" s="139">
        <v>60</v>
      </c>
      <c r="H27" s="139">
        <v>21</v>
      </c>
      <c r="I27" s="138">
        <f>_xll.qlRateHelperEarliestDate($B27,Trigger)</f>
        <v>42354</v>
      </c>
      <c r="J27" s="137">
        <f>_xll.qlRateHelperLatestDate($B27,Trigger)</f>
        <v>42445</v>
      </c>
      <c r="M27" s="130" t="b">
        <f>AND(_xll.qlIMMIsIMMdate(I27),IF(ISERROR(D27),FALSE,TRUE))</f>
        <v>1</v>
      </c>
      <c r="N27" s="130" t="b">
        <f>AND(NOT(_xll.qlIMMIsIMMdate(I27)),IF(ISERROR(D27),FALSE,TRUE))</f>
        <v>0</v>
      </c>
    </row>
    <row r="28" spans="1:14" x14ac:dyDescent="0.2">
      <c r="A28" s="81" t="b">
        <v>0</v>
      </c>
      <c r="B28" s="220" t="str">
        <f>Futures!J11</f>
        <v>obj_00362#0001</v>
      </c>
      <c r="C28" s="141" t="str">
        <f>_xll.qlRateHelperQuoteName(B28)</f>
        <v>CHFFUT3MF6_Quote</v>
      </c>
      <c r="D28" s="147" t="e">
        <f>_xll.qlRateHelperQuoteValue($B28,Trigger)</f>
        <v>#NUM!</v>
      </c>
      <c r="E28" s="140" t="e">
        <f>_xll.qlFuturesRateHelperConvexityAdjustment($B28,Trigger)</f>
        <v>#NUM!</v>
      </c>
      <c r="F28" s="139" t="b">
        <f t="shared" si="0"/>
        <v>0</v>
      </c>
      <c r="G28" s="139">
        <v>60</v>
      </c>
      <c r="H28" s="139">
        <v>21</v>
      </c>
      <c r="I28" s="138">
        <f>_xll.qlRateHelperEarliestDate($B28,Trigger)</f>
        <v>42389</v>
      </c>
      <c r="J28" s="137">
        <f>_xll.qlRateHelperLatestDate($B28,Trigger)</f>
        <v>42480</v>
      </c>
      <c r="M28" s="130" t="b">
        <f>AND(_xll.qlIMMIsIMMdate(I28),IF(ISERROR(D28),FALSE,TRUE))</f>
        <v>0</v>
      </c>
      <c r="N28" s="130" t="b">
        <f>AND(NOT(_xll.qlIMMIsIMMdate(I28)),IF(ISERROR(D28),FALSE,TRUE))</f>
        <v>0</v>
      </c>
    </row>
    <row r="29" spans="1:14" x14ac:dyDescent="0.2">
      <c r="A29" s="81" t="b">
        <v>0</v>
      </c>
      <c r="B29" s="220" t="str">
        <f>Futures!J12</f>
        <v>obj_0035a#0001</v>
      </c>
      <c r="C29" s="141" t="str">
        <f>_xll.qlRateHelperQuoteName(B29)</f>
        <v>CHFFUT3MG6_Quote</v>
      </c>
      <c r="D29" s="147" t="e">
        <f>_xll.qlRateHelperQuoteValue($B29,Trigger)</f>
        <v>#NUM!</v>
      </c>
      <c r="E29" s="140" t="e">
        <f>_xll.qlFuturesRateHelperConvexityAdjustment($B29,Trigger)</f>
        <v>#NUM!</v>
      </c>
      <c r="F29" s="139" t="b">
        <f t="shared" si="0"/>
        <v>0</v>
      </c>
      <c r="G29" s="139">
        <v>60</v>
      </c>
      <c r="H29" s="139">
        <v>21</v>
      </c>
      <c r="I29" s="138">
        <f>_xll.qlRateHelperEarliestDate($B29,Trigger)</f>
        <v>42417</v>
      </c>
      <c r="J29" s="137">
        <f>_xll.qlRateHelperLatestDate($B29,Trigger)</f>
        <v>42507</v>
      </c>
      <c r="M29" s="130" t="b">
        <f>AND(_xll.qlIMMIsIMMdate(I29),IF(ISERROR(D29),FALSE,TRUE))</f>
        <v>0</v>
      </c>
      <c r="N29" s="130" t="b">
        <f>AND(NOT(_xll.qlIMMIsIMMdate(I29)),IF(ISERROR(D29),FALSE,TRUE))</f>
        <v>0</v>
      </c>
    </row>
    <row r="30" spans="1:14" x14ac:dyDescent="0.2">
      <c r="A30" s="81" t="b">
        <v>0</v>
      </c>
      <c r="B30" s="220" t="str">
        <f>Futures!J13</f>
        <v>obj_00341#0001</v>
      </c>
      <c r="C30" s="141" t="str">
        <f>_xll.qlRateHelperQuoteName(B30)</f>
        <v>CHFFUT3MH6_Quote</v>
      </c>
      <c r="D30" s="147">
        <f>_xll.qlRateHelperQuoteValue($B30,Trigger)</f>
        <v>100.765</v>
      </c>
      <c r="E30" s="140">
        <f>_xll.qlFuturesRateHelperConvexityAdjustment($B30,Trigger)</f>
        <v>0</v>
      </c>
      <c r="F30" s="139" t="b">
        <f t="shared" si="0"/>
        <v>1</v>
      </c>
      <c r="G30" s="139">
        <v>60</v>
      </c>
      <c r="H30" s="139">
        <v>21</v>
      </c>
      <c r="I30" s="138">
        <f>_xll.qlRateHelperEarliestDate($B30,Trigger)</f>
        <v>42445</v>
      </c>
      <c r="J30" s="137">
        <f>_xll.qlRateHelperLatestDate($B30,Trigger)</f>
        <v>42537</v>
      </c>
      <c r="M30" s="130" t="b">
        <f>AND(_xll.qlIMMIsIMMdate(I30),IF(ISERROR(D30),FALSE,TRUE))</f>
        <v>1</v>
      </c>
      <c r="N30" s="130" t="b">
        <f>AND(NOT(_xll.qlIMMIsIMMdate(I30)),IF(ISERROR(D30),FALSE,TRUE))</f>
        <v>0</v>
      </c>
    </row>
    <row r="31" spans="1:14" x14ac:dyDescent="0.2">
      <c r="A31" s="81" t="b">
        <v>0</v>
      </c>
      <c r="B31" s="220" t="str">
        <f>Futures!J14</f>
        <v>obj_00345#0001</v>
      </c>
      <c r="C31" s="141" t="str">
        <f>_xll.qlRateHelperQuoteName(B31)</f>
        <v>CHFFUT3MJ6_Quote</v>
      </c>
      <c r="D31" s="147" t="e">
        <f>_xll.qlRateHelperQuoteValue($B31,Trigger)</f>
        <v>#NUM!</v>
      </c>
      <c r="E31" s="140" t="e">
        <f>_xll.qlFuturesRateHelperConvexityAdjustment($B31,Trigger)</f>
        <v>#NUM!</v>
      </c>
      <c r="F31" s="139" t="b">
        <f t="shared" si="0"/>
        <v>0</v>
      </c>
      <c r="G31" s="139">
        <v>60</v>
      </c>
      <c r="H31" s="139">
        <v>21</v>
      </c>
      <c r="I31" s="138">
        <f>_xll.qlRateHelperEarliestDate($B31,Trigger)</f>
        <v>42480</v>
      </c>
      <c r="J31" s="137">
        <f>_xll.qlRateHelperLatestDate($B31,Trigger)</f>
        <v>42571</v>
      </c>
      <c r="M31" s="130" t="b">
        <f>AND(_xll.qlIMMIsIMMdate(I31),IF(ISERROR(D31),FALSE,TRUE))</f>
        <v>0</v>
      </c>
      <c r="N31" s="130" t="b">
        <f>AND(NOT(_xll.qlIMMIsIMMdate(I31)),IF(ISERROR(D31),FALSE,TRUE))</f>
        <v>0</v>
      </c>
    </row>
    <row r="32" spans="1:14" x14ac:dyDescent="0.2">
      <c r="A32" s="81" t="b">
        <v>1</v>
      </c>
      <c r="B32" s="220" t="str">
        <f>Futures!J15</f>
        <v>obj_00349#0001</v>
      </c>
      <c r="C32" s="141" t="str">
        <f>_xll.qlRateHelperQuoteName(B32)</f>
        <v>CHFFUT3MM6_Quote</v>
      </c>
      <c r="D32" s="147">
        <f>_xll.qlRateHelperQuoteValue($B32,Trigger)</f>
        <v>100.7</v>
      </c>
      <c r="E32" s="140">
        <f>_xll.qlFuturesRateHelperConvexityAdjustment($B32,Trigger)</f>
        <v>0</v>
      </c>
      <c r="F32" s="139" t="b">
        <f t="shared" si="0"/>
        <v>1</v>
      </c>
      <c r="G32" s="139">
        <v>60</v>
      </c>
      <c r="H32" s="139">
        <v>21</v>
      </c>
      <c r="I32" s="138">
        <f>_xll.qlRateHelperEarliestDate($B32,Trigger)</f>
        <v>42536</v>
      </c>
      <c r="J32" s="137">
        <f>_xll.qlRateHelperLatestDate($B32,Trigger)</f>
        <v>42628</v>
      </c>
      <c r="M32" s="130" t="b">
        <f>AND(_xll.qlIMMIsIMMdate(I32),IF(ISERROR(D32),FALSE,TRUE))</f>
        <v>1</v>
      </c>
      <c r="N32" s="130" t="b">
        <f>AND(NOT(_xll.qlIMMIsIMMdate(I32)),IF(ISERROR(D32),FALSE,TRUE))</f>
        <v>0</v>
      </c>
    </row>
    <row r="33" spans="1:14" x14ac:dyDescent="0.2">
      <c r="A33" s="81" t="b">
        <v>1</v>
      </c>
      <c r="B33" s="220" t="str">
        <f>Futures!J16</f>
        <v>obj_0035d#0001</v>
      </c>
      <c r="C33" s="141" t="str">
        <f>_xll.qlRateHelperQuoteName(B33)</f>
        <v>CHFFUT3MU6_Quote</v>
      </c>
      <c r="D33" s="147">
        <f>_xll.qlRateHelperQuoteValue($B33,Trigger)</f>
        <v>100.63499999999999</v>
      </c>
      <c r="E33" s="140">
        <f>_xll.qlFuturesRateHelperConvexityAdjustment($B33,Trigger)</f>
        <v>0</v>
      </c>
      <c r="F33" s="139" t="b">
        <f t="shared" si="0"/>
        <v>1</v>
      </c>
      <c r="G33" s="139">
        <v>60</v>
      </c>
      <c r="H33" s="139">
        <v>21</v>
      </c>
      <c r="I33" s="138">
        <f>_xll.qlRateHelperEarliestDate($B33,Trigger)</f>
        <v>42634</v>
      </c>
      <c r="J33" s="137">
        <f>_xll.qlRateHelperLatestDate($B33,Trigger)</f>
        <v>42725</v>
      </c>
      <c r="M33" s="130" t="b">
        <f>AND(_xll.qlIMMIsIMMdate(I33),IF(ISERROR(D33),FALSE,TRUE))</f>
        <v>1</v>
      </c>
      <c r="N33" s="130" t="b">
        <f>AND(NOT(_xll.qlIMMIsIMMdate(I33)),IF(ISERROR(D33),FALSE,TRUE))</f>
        <v>0</v>
      </c>
    </row>
    <row r="34" spans="1:14" x14ac:dyDescent="0.2">
      <c r="A34" s="81" t="b">
        <v>1</v>
      </c>
      <c r="B34" s="220" t="str">
        <f>Futures!J17</f>
        <v>obj_00364#0001</v>
      </c>
      <c r="C34" s="141" t="str">
        <f>_xll.qlRateHelperQuoteName(B34)</f>
        <v>CHFFUT3MZ6_Quote</v>
      </c>
      <c r="D34" s="147">
        <f>_xll.qlRateHelperQuoteValue($B34,Trigger)</f>
        <v>100.57</v>
      </c>
      <c r="E34" s="140">
        <f>_xll.qlFuturesRateHelperConvexityAdjustment($B34,Trigger)</f>
        <v>0</v>
      </c>
      <c r="F34" s="139" t="b">
        <f t="shared" si="0"/>
        <v>1</v>
      </c>
      <c r="G34" s="139">
        <v>60</v>
      </c>
      <c r="H34" s="139">
        <v>21</v>
      </c>
      <c r="I34" s="138">
        <f>_xll.qlRateHelperEarliestDate($B34,Trigger)</f>
        <v>42725</v>
      </c>
      <c r="J34" s="137">
        <f>_xll.qlRateHelperLatestDate($B34,Trigger)</f>
        <v>42815</v>
      </c>
      <c r="M34" s="130" t="b">
        <f>AND(_xll.qlIMMIsIMMdate(I34),IF(ISERROR(D34),FALSE,TRUE))</f>
        <v>1</v>
      </c>
      <c r="N34" s="130" t="b">
        <f>AND(NOT(_xll.qlIMMIsIMMdate(I34)),IF(ISERROR(D34),FALSE,TRUE))</f>
        <v>0</v>
      </c>
    </row>
    <row r="35" spans="1:14" x14ac:dyDescent="0.2">
      <c r="A35" s="81" t="b">
        <v>1</v>
      </c>
      <c r="B35" s="220" t="str">
        <f>Futures!J18</f>
        <v>obj_00348#0001</v>
      </c>
      <c r="C35" s="141" t="str">
        <f>_xll.qlRateHelperQuoteName(B35)</f>
        <v>CHFFUT3MH7_Quote</v>
      </c>
      <c r="D35" s="147">
        <f>_xll.qlRateHelperQuoteValue($B35,Trigger)</f>
        <v>100.5</v>
      </c>
      <c r="E35" s="140">
        <f>_xll.qlFuturesRateHelperConvexityAdjustment($B35,Trigger)</f>
        <v>0</v>
      </c>
      <c r="F35" s="139" t="b">
        <f t="shared" si="0"/>
        <v>1</v>
      </c>
      <c r="G35" s="139">
        <v>60</v>
      </c>
      <c r="H35" s="139">
        <v>21</v>
      </c>
      <c r="I35" s="138">
        <f>_xll.qlRateHelperEarliestDate($B35,Trigger)</f>
        <v>42809</v>
      </c>
      <c r="J35" s="137">
        <f>_xll.qlRateHelperLatestDate($B35,Trigger)</f>
        <v>42901</v>
      </c>
      <c r="M35" s="130" t="b">
        <f>AND(_xll.qlIMMIsIMMdate(I35),IF(ISERROR(D35),FALSE,TRUE))</f>
        <v>1</v>
      </c>
      <c r="N35" s="130" t="b">
        <f>AND(NOT(_xll.qlIMMIsIMMdate(I35)),IF(ISERROR(D35),FALSE,TRUE))</f>
        <v>0</v>
      </c>
    </row>
    <row r="36" spans="1:14" x14ac:dyDescent="0.2">
      <c r="A36" s="81" t="b">
        <v>1</v>
      </c>
      <c r="B36" s="220" t="str">
        <f>Futures!J19</f>
        <v>obj_00360#0001</v>
      </c>
      <c r="C36" s="141" t="str">
        <f>_xll.qlRateHelperQuoteName(B36)</f>
        <v>CHFFUT3MM7_Quote</v>
      </c>
      <c r="D36" s="147">
        <f>_xll.qlRateHelperQuoteValue($B36,Trigger)</f>
        <v>100.425</v>
      </c>
      <c r="E36" s="140">
        <f>_xll.qlFuturesRateHelperConvexityAdjustment($B36,Trigger)</f>
        <v>0</v>
      </c>
      <c r="F36" s="139" t="b">
        <f t="shared" si="0"/>
        <v>1</v>
      </c>
      <c r="G36" s="139">
        <v>60</v>
      </c>
      <c r="H36" s="139">
        <v>21</v>
      </c>
      <c r="I36" s="138">
        <f>_xll.qlRateHelperEarliestDate($B36,Trigger)</f>
        <v>42907</v>
      </c>
      <c r="J36" s="137">
        <f>_xll.qlRateHelperLatestDate($B36,Trigger)</f>
        <v>42999</v>
      </c>
      <c r="M36" s="130" t="b">
        <f>AND(_xll.qlIMMIsIMMdate(I36),IF(ISERROR(D36),FALSE,TRUE))</f>
        <v>1</v>
      </c>
      <c r="N36" s="130" t="b">
        <f>AND(NOT(_xll.qlIMMIsIMMdate(I36)),IF(ISERROR(D36),FALSE,TRUE))</f>
        <v>0</v>
      </c>
    </row>
    <row r="37" spans="1:14" x14ac:dyDescent="0.2">
      <c r="A37" s="81" t="b">
        <v>1</v>
      </c>
      <c r="B37" s="220" t="str">
        <f>Futures!J20</f>
        <v>obj_0035c#0001</v>
      </c>
      <c r="C37" s="141" t="str">
        <f>_xll.qlRateHelperQuoteName(B37)</f>
        <v>CHFFUT3MU7_Quote</v>
      </c>
      <c r="D37" s="147">
        <f>_xll.qlRateHelperQuoteValue($B37,Trigger)</f>
        <v>100.35</v>
      </c>
      <c r="E37" s="140">
        <f>_xll.qlFuturesRateHelperConvexityAdjustment($B37,Trigger)</f>
        <v>0</v>
      </c>
      <c r="F37" s="139" t="b">
        <f t="shared" si="0"/>
        <v>1</v>
      </c>
      <c r="G37" s="139">
        <v>30</v>
      </c>
      <c r="H37" s="139">
        <v>21</v>
      </c>
      <c r="I37" s="138">
        <f>_xll.qlRateHelperEarliestDate($B37,Trigger)</f>
        <v>42998</v>
      </c>
      <c r="J37" s="137">
        <f>_xll.qlRateHelperLatestDate($B37,Trigger)</f>
        <v>43089</v>
      </c>
      <c r="M37" s="130" t="b">
        <f>AND(_xll.qlIMMIsIMMdate(I37),IF(ISERROR(D37),FALSE,TRUE))</f>
        <v>1</v>
      </c>
      <c r="N37" s="130" t="b">
        <f>AND(NOT(_xll.qlIMMIsIMMdate(I37)),IF(ISERROR(D37),FALSE,TRUE))</f>
        <v>0</v>
      </c>
    </row>
    <row r="38" spans="1:14" x14ac:dyDescent="0.2">
      <c r="A38" s="81" t="b">
        <v>1</v>
      </c>
      <c r="B38" s="220" t="str">
        <f>Futures!J21</f>
        <v>obj_00344#0001</v>
      </c>
      <c r="C38" s="141" t="str">
        <f>_xll.qlRateHelperQuoteName(B38)</f>
        <v>CHFFUT3MZ7_Quote</v>
      </c>
      <c r="D38" s="147">
        <f>_xll.qlRateHelperQuoteValue($B38,Trigger)</f>
        <v>100.26500000000001</v>
      </c>
      <c r="E38" s="140">
        <f>_xll.qlFuturesRateHelperConvexityAdjustment($B38,Trigger)</f>
        <v>0</v>
      </c>
      <c r="F38" s="139" t="b">
        <f t="shared" si="0"/>
        <v>1</v>
      </c>
      <c r="G38" s="139">
        <v>30</v>
      </c>
      <c r="H38" s="139">
        <v>21</v>
      </c>
      <c r="I38" s="138">
        <f>_xll.qlRateHelperEarliestDate($B38,Trigger)</f>
        <v>43089</v>
      </c>
      <c r="J38" s="137">
        <f>_xll.qlRateHelperLatestDate($B38,Trigger)</f>
        <v>43179</v>
      </c>
      <c r="M38" s="130" t="b">
        <f>AND(_xll.qlIMMIsIMMdate(I38),IF(ISERROR(D38),FALSE,TRUE))</f>
        <v>1</v>
      </c>
      <c r="N38" s="130" t="b">
        <f>AND(NOT(_xll.qlIMMIsIMMdate(I38)),IF(ISERROR(D38),FALSE,TRUE))</f>
        <v>0</v>
      </c>
    </row>
    <row r="39" spans="1:14" x14ac:dyDescent="0.2">
      <c r="A39" s="81" t="b">
        <v>1</v>
      </c>
      <c r="B39" s="220" t="str">
        <f>Futures!J22</f>
        <v>obj_00353#0001</v>
      </c>
      <c r="C39" s="141" t="str">
        <f>_xll.qlRateHelperQuoteName(B39)</f>
        <v>CHFFUT3MH8_Quote</v>
      </c>
      <c r="D39" s="147">
        <f>_xll.qlRateHelperQuoteValue($B39,Trigger)</f>
        <v>100.18</v>
      </c>
      <c r="E39" s="140">
        <f>_xll.qlFuturesRateHelperConvexityAdjustment($B39,Trigger)</f>
        <v>0</v>
      </c>
      <c r="F39" s="139" t="b">
        <f t="shared" si="0"/>
        <v>1</v>
      </c>
      <c r="G39" s="139">
        <v>30</v>
      </c>
      <c r="H39" s="139">
        <v>21</v>
      </c>
      <c r="I39" s="138">
        <f>_xll.qlRateHelperEarliestDate($B39,Trigger)</f>
        <v>43180</v>
      </c>
      <c r="J39" s="137">
        <f>_xll.qlRateHelperLatestDate($B39,Trigger)</f>
        <v>43272</v>
      </c>
      <c r="M39" s="130" t="b">
        <f>AND(_xll.qlIMMIsIMMdate(I39),IF(ISERROR(D39),FALSE,TRUE))</f>
        <v>1</v>
      </c>
      <c r="N39" s="130" t="b">
        <f>AND(NOT(_xll.qlIMMIsIMMdate(I39)),IF(ISERROR(D39),FALSE,TRUE))</f>
        <v>0</v>
      </c>
    </row>
    <row r="40" spans="1:14" x14ac:dyDescent="0.2">
      <c r="A40" s="81" t="b">
        <v>1</v>
      </c>
      <c r="B40" s="220" t="str">
        <f>Futures!J23</f>
        <v>obj_0034d#0001</v>
      </c>
      <c r="C40" s="141" t="str">
        <f>_xll.qlRateHelperQuoteName(B40)</f>
        <v>CHFFUT3MM8_Quote</v>
      </c>
      <c r="D40" s="147">
        <f>_xll.qlRateHelperQuoteValue($B40,Trigger)</f>
        <v>100.04</v>
      </c>
      <c r="E40" s="140">
        <f>_xll.qlFuturesRateHelperConvexityAdjustment($B40,Trigger)</f>
        <v>0</v>
      </c>
      <c r="F40" s="139" t="b">
        <f t="shared" si="0"/>
        <v>1</v>
      </c>
      <c r="G40" s="139">
        <v>30</v>
      </c>
      <c r="H40" s="139">
        <v>21</v>
      </c>
      <c r="I40" s="138">
        <f>_xll.qlRateHelperEarliestDate($B40,Trigger)</f>
        <v>43271</v>
      </c>
      <c r="J40" s="137">
        <f>_xll.qlRateHelperLatestDate($B40,Trigger)</f>
        <v>43363</v>
      </c>
      <c r="M40" s="130" t="b">
        <f>AND(_xll.qlIMMIsIMMdate(I40),IF(ISERROR(D40),FALSE,TRUE))</f>
        <v>1</v>
      </c>
      <c r="N40" s="130" t="b">
        <f>AND(NOT(_xll.qlIMMIsIMMdate(I40)),IF(ISERROR(D40),FALSE,TRUE))</f>
        <v>0</v>
      </c>
    </row>
    <row r="41" spans="1:14" x14ac:dyDescent="0.2">
      <c r="A41" s="81" t="b">
        <v>1</v>
      </c>
      <c r="B41" s="220" t="str">
        <f>Futures!J24</f>
        <v>obj_00346#0001</v>
      </c>
      <c r="C41" s="141" t="str">
        <f>_xll.qlRateHelperQuoteName(B41)</f>
        <v>CHFFUT3MU8_Quote</v>
      </c>
      <c r="D41" s="147">
        <f>_xll.qlRateHelperQuoteValue($B41,Trigger)</f>
        <v>100.05</v>
      </c>
      <c r="E41" s="140">
        <f>_xll.qlFuturesRateHelperConvexityAdjustment($B41,Trigger)</f>
        <v>0</v>
      </c>
      <c r="F41" s="139" t="b">
        <f t="shared" si="0"/>
        <v>1</v>
      </c>
      <c r="G41" s="139">
        <v>30</v>
      </c>
      <c r="H41" s="139">
        <v>21</v>
      </c>
      <c r="I41" s="138">
        <f>_xll.qlRateHelperEarliestDate($B41,Trigger)</f>
        <v>43362</v>
      </c>
      <c r="J41" s="137">
        <f>_xll.qlRateHelperLatestDate($B41,Trigger)</f>
        <v>43453</v>
      </c>
      <c r="M41" s="130" t="b">
        <f>AND(_xll.qlIMMIsIMMdate(I41),IF(ISERROR(D41),FALSE,TRUE))</f>
        <v>1</v>
      </c>
      <c r="N41" s="130" t="b">
        <f>AND(NOT(_xll.qlIMMIsIMMdate(I41)),IF(ISERROR(D41),FALSE,TRUE))</f>
        <v>0</v>
      </c>
    </row>
    <row r="42" spans="1:14" x14ac:dyDescent="0.2">
      <c r="A42" s="81" t="b">
        <v>1</v>
      </c>
      <c r="B42" s="220" t="str">
        <f>Futures!J25</f>
        <v>obj_0034c#0001</v>
      </c>
      <c r="C42" s="141" t="str">
        <f>_xll.qlRateHelperQuoteName(B42)</f>
        <v>CHFFUT3MZ8_Quote</v>
      </c>
      <c r="D42" s="147">
        <f>_xll.qlRateHelperQuoteValue($B42,Trigger)</f>
        <v>100.09</v>
      </c>
      <c r="E42" s="140">
        <f>_xll.qlFuturesRateHelperConvexityAdjustment($B42,Trigger)</f>
        <v>0</v>
      </c>
      <c r="F42" s="139" t="b">
        <f t="shared" si="0"/>
        <v>1</v>
      </c>
      <c r="G42" s="139">
        <v>30</v>
      </c>
      <c r="H42" s="139">
        <v>21</v>
      </c>
      <c r="I42" s="138">
        <f>_xll.qlRateHelperEarliestDate($B42,Trigger)</f>
        <v>43453</v>
      </c>
      <c r="J42" s="137">
        <f>_xll.qlRateHelperLatestDate($B42,Trigger)</f>
        <v>43543</v>
      </c>
      <c r="M42" s="130" t="b">
        <f>AND(_xll.qlIMMIsIMMdate(I42),IF(ISERROR(D42),FALSE,TRUE))</f>
        <v>1</v>
      </c>
      <c r="N42" s="130" t="b">
        <f>AND(NOT(_xll.qlIMMIsIMMdate(I42)),IF(ISERROR(D42),FALSE,TRUE))</f>
        <v>0</v>
      </c>
    </row>
    <row r="43" spans="1:14" x14ac:dyDescent="0.2">
      <c r="A43" s="81" t="b">
        <v>1</v>
      </c>
      <c r="B43" s="220" t="str">
        <f>Futures!J26</f>
        <v>obj_00355#0001</v>
      </c>
      <c r="C43" s="141" t="str">
        <f>_xll.qlRateHelperQuoteName(B43)</f>
        <v>CHFFUT3MH9_Quote</v>
      </c>
      <c r="D43" s="147">
        <f>_xll.qlRateHelperQuoteValue($B43,Trigger)</f>
        <v>100.13</v>
      </c>
      <c r="E43" s="140">
        <f>_xll.qlFuturesRateHelperConvexityAdjustment($B43,Trigger)</f>
        <v>0</v>
      </c>
      <c r="F43" s="139" t="b">
        <f t="shared" si="0"/>
        <v>1</v>
      </c>
      <c r="G43" s="139">
        <v>30</v>
      </c>
      <c r="H43" s="139">
        <v>21</v>
      </c>
      <c r="I43" s="138">
        <f>_xll.qlRateHelperEarliestDate($B43,Trigger)</f>
        <v>43544</v>
      </c>
      <c r="J43" s="137">
        <f>_xll.qlRateHelperLatestDate($B43,Trigger)</f>
        <v>43636</v>
      </c>
      <c r="M43" s="130" t="b">
        <f>AND(_xll.qlIMMIsIMMdate(I43),IF(ISERROR(D43),FALSE,TRUE))</f>
        <v>1</v>
      </c>
      <c r="N43" s="130" t="b">
        <f>AND(NOT(_xll.qlIMMIsIMMdate(I43)),IF(ISERROR(D43),FALSE,TRUE))</f>
        <v>0</v>
      </c>
    </row>
    <row r="44" spans="1:14" x14ac:dyDescent="0.2">
      <c r="A44" s="81" t="b">
        <v>1</v>
      </c>
      <c r="B44" s="220" t="str">
        <f>Futures!J27</f>
        <v>obj_0035b#0001</v>
      </c>
      <c r="C44" s="141" t="str">
        <f>_xll.qlRateHelperQuoteName(B44)</f>
        <v>CHFFUT3MM9_Quote</v>
      </c>
      <c r="D44" s="147">
        <f>_xll.qlRateHelperQuoteValue($B44,Trigger)</f>
        <v>100.17</v>
      </c>
      <c r="E44" s="140">
        <f>_xll.qlFuturesRateHelperConvexityAdjustment($B44,Trigger)</f>
        <v>0</v>
      </c>
      <c r="F44" s="139" t="b">
        <f t="shared" si="0"/>
        <v>1</v>
      </c>
      <c r="G44" s="139">
        <v>30</v>
      </c>
      <c r="H44" s="139">
        <v>21</v>
      </c>
      <c r="I44" s="138">
        <f>_xll.qlRateHelperEarliestDate($B44,Trigger)</f>
        <v>43635</v>
      </c>
      <c r="J44" s="137">
        <f>_xll.qlRateHelperLatestDate($B44,Trigger)</f>
        <v>43727</v>
      </c>
      <c r="M44" s="130" t="b">
        <f>AND(_xll.qlIMMIsIMMdate(I44),IF(ISERROR(D44),FALSE,TRUE))</f>
        <v>1</v>
      </c>
      <c r="N44" s="130" t="b">
        <f>AND(NOT(_xll.qlIMMIsIMMdate(I44)),IF(ISERROR(D44),FALSE,TRUE))</f>
        <v>0</v>
      </c>
    </row>
    <row r="45" spans="1:14" x14ac:dyDescent="0.2">
      <c r="A45" s="81" t="b">
        <v>1</v>
      </c>
      <c r="B45" s="220" t="str">
        <f>Futures!J28</f>
        <v>obj_00366#0001</v>
      </c>
      <c r="C45" s="141" t="str">
        <f>_xll.qlRateHelperQuoteName(B45)</f>
        <v>CHFFUT3MU9_Quote</v>
      </c>
      <c r="D45" s="147" t="e">
        <f>_xll.qlRateHelperQuoteValue($B45,Trigger)</f>
        <v>#NUM!</v>
      </c>
      <c r="E45" s="140" t="e">
        <f>_xll.qlFuturesRateHelperConvexityAdjustment($B45,Trigger)</f>
        <v>#NUM!</v>
      </c>
      <c r="F45" s="139" t="b">
        <f t="shared" si="0"/>
        <v>0</v>
      </c>
      <c r="G45" s="139">
        <v>30</v>
      </c>
      <c r="H45" s="139">
        <v>21</v>
      </c>
      <c r="I45" s="138">
        <f>_xll.qlRateHelperEarliestDate($B45,Trigger)</f>
        <v>43726</v>
      </c>
      <c r="J45" s="137">
        <f>_xll.qlRateHelperLatestDate($B45,Trigger)</f>
        <v>43817</v>
      </c>
      <c r="M45" s="130" t="b">
        <f>AND(_xll.qlIMMIsIMMdate(I45),IF(ISERROR(D45),FALSE,TRUE))</f>
        <v>0</v>
      </c>
      <c r="N45" s="130" t="b">
        <f>AND(NOT(_xll.qlIMMIsIMMdate(I45)),IF(ISERROR(D45),FALSE,TRUE))</f>
        <v>0</v>
      </c>
    </row>
    <row r="46" spans="1:14" x14ac:dyDescent="0.2">
      <c r="A46" s="81" t="b">
        <v>1</v>
      </c>
      <c r="B46" s="220" t="str">
        <f>Futures!J29</f>
        <v>obj_0034f#0001</v>
      </c>
      <c r="C46" s="141" t="str">
        <f>_xll.qlRateHelperQuoteName(B46)</f>
        <v>CHFFUT3MZ9_Quote</v>
      </c>
      <c r="D46" s="147" t="e">
        <f>_xll.qlRateHelperQuoteValue($B46,Trigger)</f>
        <v>#NUM!</v>
      </c>
      <c r="E46" s="140" t="e">
        <f>_xll.qlFuturesRateHelperConvexityAdjustment($B46,Trigger)</f>
        <v>#NUM!</v>
      </c>
      <c r="F46" s="139" t="b">
        <f t="shared" si="0"/>
        <v>0</v>
      </c>
      <c r="G46" s="139">
        <v>30</v>
      </c>
      <c r="H46" s="139">
        <v>21</v>
      </c>
      <c r="I46" s="138">
        <f>_xll.qlRateHelperEarliestDate($B46,Trigger)</f>
        <v>43817</v>
      </c>
      <c r="J46" s="137">
        <f>_xll.qlRateHelperLatestDate($B46,Trigger)</f>
        <v>43908</v>
      </c>
      <c r="M46" s="130" t="b">
        <f>AND(_xll.qlIMMIsIMMdate(I46),IF(ISERROR(D46),FALSE,TRUE))</f>
        <v>0</v>
      </c>
      <c r="N46" s="130" t="b">
        <f>AND(NOT(_xll.qlIMMIsIMMdate(I46)),IF(ISERROR(D46),FALSE,TRUE))</f>
        <v>0</v>
      </c>
    </row>
    <row r="47" spans="1:14" x14ac:dyDescent="0.2">
      <c r="A47" s="81" t="b">
        <v>1</v>
      </c>
      <c r="B47" s="220" t="str">
        <f>Futures!J30</f>
        <v>obj_00363#0001</v>
      </c>
      <c r="C47" s="141" t="str">
        <f>_xll.qlRateHelperQuoteName(B47)</f>
        <v>CHFFUT3MH0_Quote</v>
      </c>
      <c r="D47" s="147" t="e">
        <f>_xll.qlRateHelperQuoteValue($B47,Trigger)</f>
        <v>#NUM!</v>
      </c>
      <c r="E47" s="140" t="e">
        <f>_xll.qlFuturesRateHelperConvexityAdjustment($B47,Trigger)</f>
        <v>#NUM!</v>
      </c>
      <c r="F47" s="139" t="b">
        <f t="shared" si="0"/>
        <v>0</v>
      </c>
      <c r="G47" s="139">
        <v>30</v>
      </c>
      <c r="H47" s="139">
        <v>21</v>
      </c>
      <c r="I47" s="138">
        <f>_xll.qlRateHelperEarliestDate($B47,Trigger)</f>
        <v>43908</v>
      </c>
      <c r="J47" s="137">
        <f>_xll.qlRateHelperLatestDate($B47,Trigger)</f>
        <v>44000</v>
      </c>
      <c r="M47" s="130" t="b">
        <f>AND(_xll.qlIMMIsIMMdate(I47),IF(ISERROR(D47),FALSE,TRUE))</f>
        <v>0</v>
      </c>
      <c r="N47" s="130" t="b">
        <f>AND(NOT(_xll.qlIMMIsIMMdate(I47)),IF(ISERROR(D47),FALSE,TRUE))</f>
        <v>0</v>
      </c>
    </row>
    <row r="48" spans="1:14" x14ac:dyDescent="0.2">
      <c r="A48" s="81" t="b">
        <v>1</v>
      </c>
      <c r="B48" s="220" t="str">
        <f>Futures!J31</f>
        <v>obj_00350#0001</v>
      </c>
      <c r="C48" s="141" t="str">
        <f>_xll.qlRateHelperQuoteName(B48)</f>
        <v>CHFFUT3MM0_Quote</v>
      </c>
      <c r="D48" s="147" t="e">
        <f>_xll.qlRateHelperQuoteValue($B48,Trigger)</f>
        <v>#NUM!</v>
      </c>
      <c r="E48" s="140" t="e">
        <f>_xll.qlFuturesRateHelperConvexityAdjustment($B48,Trigger)</f>
        <v>#NUM!</v>
      </c>
      <c r="F48" s="139" t="b">
        <f t="shared" si="0"/>
        <v>0</v>
      </c>
      <c r="G48" s="139">
        <v>30</v>
      </c>
      <c r="H48" s="139">
        <v>21</v>
      </c>
      <c r="I48" s="138">
        <f>_xll.qlRateHelperEarliestDate($B48,Trigger)</f>
        <v>43999</v>
      </c>
      <c r="J48" s="137">
        <f>_xll.qlRateHelperLatestDate($B48,Trigger)</f>
        <v>44091</v>
      </c>
      <c r="M48" s="130" t="b">
        <f>AND(_xll.qlIMMIsIMMdate(I48),IF(ISERROR(D48),FALSE,TRUE))</f>
        <v>0</v>
      </c>
      <c r="N48" s="130" t="b">
        <f>AND(NOT(_xll.qlIMMIsIMMdate(I48)),IF(ISERROR(D48),FALSE,TRUE))</f>
        <v>0</v>
      </c>
    </row>
    <row r="49" spans="1:14" x14ac:dyDescent="0.2">
      <c r="A49" s="81" t="b">
        <v>1</v>
      </c>
      <c r="B49" s="220" t="str">
        <f>Futures!J32</f>
        <v>obj_00357#0001</v>
      </c>
      <c r="C49" s="141" t="str">
        <f>_xll.qlRateHelperQuoteName(B49)</f>
        <v>CHFFUT3MU0_Quote</v>
      </c>
      <c r="D49" s="147" t="e">
        <f>_xll.qlRateHelperQuoteValue($B49,Trigger)</f>
        <v>#NUM!</v>
      </c>
      <c r="E49" s="140" t="e">
        <f>_xll.qlFuturesRateHelperConvexityAdjustment($B49,Trigger)</f>
        <v>#NUM!</v>
      </c>
      <c r="F49" s="139" t="b">
        <f t="shared" si="0"/>
        <v>0</v>
      </c>
      <c r="G49" s="139">
        <v>30</v>
      </c>
      <c r="H49" s="139">
        <v>21</v>
      </c>
      <c r="I49" s="138">
        <f>_xll.qlRateHelperEarliestDate($B49,Trigger)</f>
        <v>44090</v>
      </c>
      <c r="J49" s="137">
        <f>_xll.qlRateHelperLatestDate($B49,Trigger)</f>
        <v>44181</v>
      </c>
      <c r="M49" s="130" t="b">
        <f>AND(_xll.qlIMMIsIMMdate(I49),IF(ISERROR(D49),FALSE,TRUE))</f>
        <v>0</v>
      </c>
      <c r="N49" s="130" t="b">
        <f>AND(NOT(_xll.qlIMMIsIMMdate(I49)),IF(ISERROR(D49),FALSE,TRUE))</f>
        <v>0</v>
      </c>
    </row>
    <row r="50" spans="1:14" x14ac:dyDescent="0.2">
      <c r="A50" s="81" t="b">
        <v>1</v>
      </c>
      <c r="B50" s="220" t="str">
        <f>Futures!J33</f>
        <v>obj_00368#0001</v>
      </c>
      <c r="C50" s="141" t="str">
        <f>_xll.qlRateHelperQuoteName(B50)</f>
        <v>CHFFUT3MZ0_Quote</v>
      </c>
      <c r="D50" s="147" t="e">
        <f>_xll.qlRateHelperQuoteValue($B50,Trigger)</f>
        <v>#NUM!</v>
      </c>
      <c r="E50" s="140" t="e">
        <f>_xll.qlFuturesRateHelperConvexityAdjustment($B50,Trigger)</f>
        <v>#NUM!</v>
      </c>
      <c r="F50" s="139" t="b">
        <f t="shared" si="0"/>
        <v>0</v>
      </c>
      <c r="G50" s="139">
        <v>30</v>
      </c>
      <c r="H50" s="139">
        <v>21</v>
      </c>
      <c r="I50" s="138">
        <f>_xll.qlRateHelperEarliestDate($B50,Trigger)</f>
        <v>44181</v>
      </c>
      <c r="J50" s="137">
        <f>_xll.qlRateHelperLatestDate($B50,Trigger)</f>
        <v>44271</v>
      </c>
      <c r="M50" s="130" t="b">
        <f>AND(_xll.qlIMMIsIMMdate(I50),IF(ISERROR(D50),FALSE,TRUE))</f>
        <v>0</v>
      </c>
      <c r="N50" s="130" t="b">
        <f>AND(NOT(_xll.qlIMMIsIMMdate(I50)),IF(ISERROR(D50),FALSE,TRUE))</f>
        <v>0</v>
      </c>
    </row>
    <row r="51" spans="1:14" x14ac:dyDescent="0.2">
      <c r="A51" s="81" t="b">
        <v>1</v>
      </c>
      <c r="B51" s="220" t="str">
        <f>Futures!J34</f>
        <v>obj_00352#0001</v>
      </c>
      <c r="C51" s="141" t="str">
        <f>_xll.qlRateHelperQuoteName(B51)</f>
        <v>CHFFUT3MH1_Quote</v>
      </c>
      <c r="D51" s="147" t="e">
        <f>_xll.qlRateHelperQuoteValue($B51,Trigger)</f>
        <v>#NUM!</v>
      </c>
      <c r="E51" s="140" t="e">
        <f>_xll.qlFuturesRateHelperConvexityAdjustment($B51,Trigger)</f>
        <v>#NUM!</v>
      </c>
      <c r="F51" s="139" t="b">
        <f t="shared" si="0"/>
        <v>0</v>
      </c>
      <c r="G51" s="139">
        <v>30</v>
      </c>
      <c r="H51" s="139">
        <v>21</v>
      </c>
      <c r="I51" s="138">
        <f>_xll.qlRateHelperEarliestDate($B51,Trigger)</f>
        <v>44272</v>
      </c>
      <c r="J51" s="137">
        <f>_xll.qlRateHelperLatestDate($B51,Trigger)</f>
        <v>44364</v>
      </c>
      <c r="M51" s="130" t="b">
        <f>AND(_xll.qlIMMIsIMMdate(I51),IF(ISERROR(D51),FALSE,TRUE))</f>
        <v>0</v>
      </c>
      <c r="N51" s="130" t="b">
        <f>AND(NOT(_xll.qlIMMIsIMMdate(I51)),IF(ISERROR(D51),FALSE,TRUE))</f>
        <v>0</v>
      </c>
    </row>
    <row r="52" spans="1:14" x14ac:dyDescent="0.2">
      <c r="A52" s="81" t="b">
        <v>1</v>
      </c>
      <c r="B52" s="220" t="str">
        <f>Futures!J35</f>
        <v>obj_0035f#0001</v>
      </c>
      <c r="C52" s="141" t="str">
        <f>_xll.qlRateHelperQuoteName(B52)</f>
        <v>CHFFUT3MM1_Quote</v>
      </c>
      <c r="D52" s="147" t="e">
        <f>_xll.qlRateHelperQuoteValue($B52,Trigger)</f>
        <v>#NUM!</v>
      </c>
      <c r="E52" s="140" t="e">
        <f>_xll.qlFuturesRateHelperConvexityAdjustment($B52,Trigger)</f>
        <v>#NUM!</v>
      </c>
      <c r="F52" s="139" t="b">
        <f t="shared" si="0"/>
        <v>0</v>
      </c>
      <c r="G52" s="139">
        <v>30</v>
      </c>
      <c r="H52" s="139">
        <v>21</v>
      </c>
      <c r="I52" s="138">
        <f>_xll.qlRateHelperEarliestDate($B52,Trigger)</f>
        <v>44363</v>
      </c>
      <c r="J52" s="137">
        <f>_xll.qlRateHelperLatestDate($B52,Trigger)</f>
        <v>44455</v>
      </c>
      <c r="M52" s="130" t="b">
        <f>AND(_xll.qlIMMIsIMMdate(I52),IF(ISERROR(D52),FALSE,TRUE))</f>
        <v>0</v>
      </c>
      <c r="N52" s="130" t="b">
        <f>AND(NOT(_xll.qlIMMIsIMMdate(I52)),IF(ISERROR(D52),FALSE,TRUE))</f>
        <v>0</v>
      </c>
    </row>
    <row r="53" spans="1:14" x14ac:dyDescent="0.2">
      <c r="A53" s="81" t="b">
        <v>1</v>
      </c>
      <c r="B53" s="220" t="str">
        <f>Futures!J36</f>
        <v>obj_00351#0001</v>
      </c>
      <c r="C53" s="141" t="str">
        <f>_xll.qlRateHelperQuoteName(B53)</f>
        <v>CHFFUT3MU1_Quote</v>
      </c>
      <c r="D53" s="147" t="e">
        <f>_xll.qlRateHelperQuoteValue($B53,Trigger)</f>
        <v>#NUM!</v>
      </c>
      <c r="E53" s="140" t="e">
        <f>_xll.qlFuturesRateHelperConvexityAdjustment($B53,Trigger)</f>
        <v>#NUM!</v>
      </c>
      <c r="F53" s="139" t="b">
        <f t="shared" si="0"/>
        <v>0</v>
      </c>
      <c r="G53" s="139">
        <v>30</v>
      </c>
      <c r="H53" s="139">
        <v>21</v>
      </c>
      <c r="I53" s="138">
        <f>_xll.qlRateHelperEarliestDate($B53,Trigger)</f>
        <v>44454</v>
      </c>
      <c r="J53" s="137">
        <f>_xll.qlRateHelperLatestDate($B53,Trigger)</f>
        <v>44545</v>
      </c>
      <c r="M53" s="130" t="b">
        <f>AND(_xll.qlIMMIsIMMdate(I53),IF(ISERROR(D53),FALSE,TRUE))</f>
        <v>0</v>
      </c>
      <c r="N53" s="130" t="b">
        <f>AND(NOT(_xll.qlIMMIsIMMdate(I53)),IF(ISERROR(D53),FALSE,TRUE))</f>
        <v>0</v>
      </c>
    </row>
    <row r="54" spans="1:14" x14ac:dyDescent="0.2">
      <c r="A54" s="81" t="b">
        <v>1</v>
      </c>
      <c r="B54" s="220" t="str">
        <f>Futures!J37</f>
        <v>obj_00359#0001</v>
      </c>
      <c r="C54" s="141" t="str">
        <f>_xll.qlRateHelperQuoteName(B54)</f>
        <v>CHFFUT3MZ1_Quote</v>
      </c>
      <c r="D54" s="147" t="e">
        <f>_xll.qlRateHelperQuoteValue($B54,Trigger)</f>
        <v>#NUM!</v>
      </c>
      <c r="E54" s="140" t="e">
        <f>_xll.qlFuturesRateHelperConvexityAdjustment($B54,Trigger)</f>
        <v>#NUM!</v>
      </c>
      <c r="F54" s="139" t="b">
        <f t="shared" si="0"/>
        <v>0</v>
      </c>
      <c r="G54" s="139">
        <v>30</v>
      </c>
      <c r="H54" s="139">
        <v>21</v>
      </c>
      <c r="I54" s="138">
        <f>_xll.qlRateHelperEarliestDate($B54,Trigger)</f>
        <v>44545</v>
      </c>
      <c r="J54" s="137">
        <f>_xll.qlRateHelperLatestDate($B54,Trigger)</f>
        <v>44635</v>
      </c>
      <c r="M54" s="130" t="b">
        <f>AND(_xll.qlIMMIsIMMdate(I54),IF(ISERROR(D54),FALSE,TRUE))</f>
        <v>0</v>
      </c>
      <c r="N54" s="130" t="b">
        <f>AND(NOT(_xll.qlIMMIsIMMdate(I54)),IF(ISERROR(D54),FALSE,TRUE))</f>
        <v>0</v>
      </c>
    </row>
    <row r="55" spans="1:14" x14ac:dyDescent="0.2">
      <c r="A55" s="81" t="b">
        <v>1</v>
      </c>
      <c r="B55" s="220" t="str">
        <f>Futures!J38</f>
        <v>obj_00347#0001</v>
      </c>
      <c r="C55" s="141" t="str">
        <f>_xll.qlRateHelperQuoteName(B55)</f>
        <v>CHFFUT3MH2_Quote</v>
      </c>
      <c r="D55" s="147" t="e">
        <f>_xll.qlRateHelperQuoteValue($B55,Trigger)</f>
        <v>#NUM!</v>
      </c>
      <c r="E55" s="140" t="e">
        <f>_xll.qlFuturesRateHelperConvexityAdjustment($B55,Trigger)</f>
        <v>#NUM!</v>
      </c>
      <c r="F55" s="139" t="b">
        <f t="shared" si="0"/>
        <v>0</v>
      </c>
      <c r="G55" s="139">
        <v>30</v>
      </c>
      <c r="H55" s="139">
        <v>21</v>
      </c>
      <c r="I55" s="138">
        <f>_xll.qlRateHelperEarliestDate($B55,Trigger)</f>
        <v>44636</v>
      </c>
      <c r="J55" s="137">
        <f>_xll.qlRateHelperLatestDate($B55,Trigger)</f>
        <v>44728</v>
      </c>
      <c r="M55" s="130" t="b">
        <f>AND(_xll.qlIMMIsIMMdate(I55),IF(ISERROR(D55),FALSE,TRUE))</f>
        <v>0</v>
      </c>
      <c r="N55" s="130" t="b">
        <f>AND(NOT(_xll.qlIMMIsIMMdate(I55)),IF(ISERROR(D55),FALSE,TRUE))</f>
        <v>0</v>
      </c>
    </row>
    <row r="56" spans="1:14" x14ac:dyDescent="0.2">
      <c r="A56" s="81" t="b">
        <v>1</v>
      </c>
      <c r="B56" s="220" t="str">
        <f>Futures!J39</f>
        <v>obj_00342#0001</v>
      </c>
      <c r="C56" s="141" t="str">
        <f>_xll.qlRateHelperQuoteName(B56)</f>
        <v>CHFFUT3MM2_Quote</v>
      </c>
      <c r="D56" s="147" t="e">
        <f>_xll.qlRateHelperQuoteValue($B56,Trigger)</f>
        <v>#NUM!</v>
      </c>
      <c r="E56" s="140" t="e">
        <f>_xll.qlFuturesRateHelperConvexityAdjustment($B56,Trigger)</f>
        <v>#NUM!</v>
      </c>
      <c r="F56" s="139" t="b">
        <f t="shared" si="0"/>
        <v>0</v>
      </c>
      <c r="G56" s="139">
        <v>30</v>
      </c>
      <c r="H56" s="139">
        <v>21</v>
      </c>
      <c r="I56" s="138">
        <f>_xll.qlRateHelperEarliestDate($B56,Trigger)</f>
        <v>44727</v>
      </c>
      <c r="J56" s="137">
        <f>_xll.qlRateHelperLatestDate($B56,Trigger)</f>
        <v>44819</v>
      </c>
      <c r="M56" s="130" t="b">
        <f>AND(_xll.qlIMMIsIMMdate(I56),IF(ISERROR(D56),FALSE,TRUE))</f>
        <v>0</v>
      </c>
      <c r="N56" s="130" t="b">
        <f>AND(NOT(_xll.qlIMMIsIMMdate(I56)),IF(ISERROR(D56),FALSE,TRUE))</f>
        <v>0</v>
      </c>
    </row>
    <row r="57" spans="1:14" x14ac:dyDescent="0.2">
      <c r="A57" s="81" t="b">
        <v>1</v>
      </c>
      <c r="B57" s="220" t="str">
        <f>Futures!J40</f>
        <v>obj_0034b#0001</v>
      </c>
      <c r="C57" s="141" t="str">
        <f>_xll.qlRateHelperQuoteName(B57)</f>
        <v>CHFFUT3MU2_Quote</v>
      </c>
      <c r="D57" s="147" t="e">
        <f>_xll.qlRateHelperQuoteValue($B57,Trigger)</f>
        <v>#NUM!</v>
      </c>
      <c r="E57" s="140" t="e">
        <f>_xll.qlFuturesRateHelperConvexityAdjustment($B57,Trigger)</f>
        <v>#NUM!</v>
      </c>
      <c r="F57" s="139" t="b">
        <f t="shared" si="0"/>
        <v>0</v>
      </c>
      <c r="G57" s="139">
        <v>30</v>
      </c>
      <c r="H57" s="139">
        <v>21</v>
      </c>
      <c r="I57" s="138">
        <f>_xll.qlRateHelperEarliestDate($B57,Trigger)</f>
        <v>44825</v>
      </c>
      <c r="J57" s="137">
        <f>_xll.qlRateHelperLatestDate($B57,Trigger)</f>
        <v>44916</v>
      </c>
      <c r="M57" s="130" t="b">
        <f>AND(_xll.qlIMMIsIMMdate(I57),IF(ISERROR(D57),FALSE,TRUE))</f>
        <v>0</v>
      </c>
      <c r="N57" s="130" t="b">
        <f>AND(NOT(_xll.qlIMMIsIMMdate(I57)),IF(ISERROR(D57),FALSE,TRUE))</f>
        <v>0</v>
      </c>
    </row>
    <row r="58" spans="1:14" x14ac:dyDescent="0.2">
      <c r="A58" s="81" t="b">
        <v>1</v>
      </c>
      <c r="B58" s="220" t="str">
        <f>Futures!J41</f>
        <v>obj_00358#0001</v>
      </c>
      <c r="C58" s="141" t="str">
        <f>_xll.qlRateHelperQuoteName(B58)</f>
        <v>CHFFUT3MZ2_Quote</v>
      </c>
      <c r="D58" s="147" t="e">
        <f>_xll.qlRateHelperQuoteValue($B58,Trigger)</f>
        <v>#NUM!</v>
      </c>
      <c r="E58" s="140" t="e">
        <f>_xll.qlFuturesRateHelperConvexityAdjustment($B58,Trigger)</f>
        <v>#NUM!</v>
      </c>
      <c r="F58" s="139" t="b">
        <f t="shared" si="0"/>
        <v>0</v>
      </c>
      <c r="G58" s="139">
        <v>30</v>
      </c>
      <c r="H58" s="139">
        <v>21</v>
      </c>
      <c r="I58" s="138">
        <f>_xll.qlRateHelperEarliestDate($B58,Trigger)</f>
        <v>44916</v>
      </c>
      <c r="J58" s="137">
        <f>_xll.qlRateHelperLatestDate($B58,Trigger)</f>
        <v>45006</v>
      </c>
      <c r="M58" s="130" t="b">
        <f>AND(_xll.qlIMMIsIMMdate(I58),IF(ISERROR(D58),FALSE,TRUE))</f>
        <v>0</v>
      </c>
      <c r="N58" s="130" t="b">
        <f>AND(NOT(_xll.qlIMMIsIMMdate(I58)),IF(ISERROR(D58),FALSE,TRUE))</f>
        <v>0</v>
      </c>
    </row>
    <row r="59" spans="1:14" x14ac:dyDescent="0.2">
      <c r="A59" s="81" t="b">
        <v>1</v>
      </c>
      <c r="B59" s="220" t="str">
        <f>Futures!J42</f>
        <v>obj_00356#0001</v>
      </c>
      <c r="C59" s="141" t="str">
        <f>_xll.qlRateHelperQuoteName(B59)</f>
        <v>CHFFUT3MH3_Quote</v>
      </c>
      <c r="D59" s="147" t="e">
        <f>_xll.qlRateHelperQuoteValue($B59,Trigger)</f>
        <v>#NUM!</v>
      </c>
      <c r="E59" s="140" t="e">
        <f>_xll.qlFuturesRateHelperConvexityAdjustment($B59,Trigger)</f>
        <v>#NUM!</v>
      </c>
      <c r="F59" s="139" t="b">
        <f t="shared" si="0"/>
        <v>0</v>
      </c>
      <c r="G59" s="139">
        <v>30</v>
      </c>
      <c r="H59" s="139">
        <v>21</v>
      </c>
      <c r="I59" s="138">
        <f>_xll.qlRateHelperEarliestDate($B59,Trigger)</f>
        <v>45000</v>
      </c>
      <c r="J59" s="137">
        <f>_xll.qlRateHelperLatestDate($B59,Trigger)</f>
        <v>45092</v>
      </c>
      <c r="M59" s="130" t="b">
        <f>AND(_xll.qlIMMIsIMMdate(I59),IF(ISERROR(D59),FALSE,TRUE))</f>
        <v>0</v>
      </c>
      <c r="N59" s="130" t="b">
        <f>AND(NOT(_xll.qlIMMIsIMMdate(I59)),IF(ISERROR(D59),FALSE,TRUE))</f>
        <v>0</v>
      </c>
    </row>
    <row r="60" spans="1:14" x14ac:dyDescent="0.2">
      <c r="A60" s="81" t="b">
        <v>1</v>
      </c>
      <c r="B60" s="220" t="str">
        <f>Futures!J43</f>
        <v>obj_0034e#0001</v>
      </c>
      <c r="C60" s="141" t="str">
        <f>_xll.qlRateHelperQuoteName(B60)</f>
        <v>CHFFUT3MM3_Quote</v>
      </c>
      <c r="D60" s="147" t="e">
        <f>_xll.qlRateHelperQuoteValue($B60,Trigger)</f>
        <v>#NUM!</v>
      </c>
      <c r="E60" s="140" t="e">
        <f>_xll.qlFuturesRateHelperConvexityAdjustment($B60,Trigger)</f>
        <v>#NUM!</v>
      </c>
      <c r="F60" s="139" t="b">
        <f t="shared" si="0"/>
        <v>0</v>
      </c>
      <c r="G60" s="139">
        <v>30</v>
      </c>
      <c r="H60" s="139">
        <v>21</v>
      </c>
      <c r="I60" s="138">
        <f>_xll.qlRateHelperEarliestDate($B60,Trigger)</f>
        <v>45098</v>
      </c>
      <c r="J60" s="137">
        <f>_xll.qlRateHelperLatestDate($B60,Trigger)</f>
        <v>45190</v>
      </c>
      <c r="M60" s="130" t="b">
        <f>AND(_xll.qlIMMIsIMMdate(I60),IF(ISERROR(D60),FALSE,TRUE))</f>
        <v>0</v>
      </c>
      <c r="N60" s="130" t="b">
        <f>AND(NOT(_xll.qlIMMIsIMMdate(I60)),IF(ISERROR(D60),FALSE,TRUE))</f>
        <v>0</v>
      </c>
    </row>
    <row r="61" spans="1:14" x14ac:dyDescent="0.2">
      <c r="A61" s="82" t="b">
        <v>1</v>
      </c>
      <c r="B61" s="220" t="str">
        <f>Futures!J44</f>
        <v>obj_00369#0001</v>
      </c>
      <c r="C61" s="141" t="str">
        <f>_xll.qlRateHelperQuoteName(B61)</f>
        <v>CHFFUT3MU3_Quote</v>
      </c>
      <c r="D61" s="147" t="e">
        <f>_xll.qlRateHelperQuoteValue($B61,Trigger)</f>
        <v>#NUM!</v>
      </c>
      <c r="E61" s="140" t="e">
        <f>_xll.qlFuturesRateHelperConvexityAdjustment($B61,Trigger)</f>
        <v>#NUM!</v>
      </c>
      <c r="F61" s="139" t="b">
        <f t="shared" si="0"/>
        <v>0</v>
      </c>
      <c r="G61" s="139">
        <v>30</v>
      </c>
      <c r="H61" s="139">
        <v>21</v>
      </c>
      <c r="I61" s="138">
        <f>_xll.qlRateHelperEarliestDate($B61,Trigger)</f>
        <v>45189</v>
      </c>
      <c r="J61" s="137">
        <f>_xll.qlRateHelperLatestDate($B61,Trigger)</f>
        <v>45280</v>
      </c>
      <c r="K61" s="68"/>
      <c r="M61" s="130" t="b">
        <f>AND(_xll.qlIMMIsIMMdate(I61),IF(ISERROR(D61),FALSE,TRUE))</f>
        <v>0</v>
      </c>
      <c r="N61" s="130" t="b">
        <f>AND(NOT(_xll.qlIMMIsIMMdate(I61)),IF(ISERROR(D61),FALSE,TRUE))</f>
        <v>0</v>
      </c>
    </row>
    <row r="62" spans="1:14" x14ac:dyDescent="0.2">
      <c r="B62" s="220" t="str">
        <f>Swaps!L5</f>
        <v>obj_00320#0001</v>
      </c>
      <c r="C62" s="146" t="str">
        <f>_xll.qlRateHelperQuoteName(B62)</f>
        <v>CHFAB3L1Y_Quote</v>
      </c>
      <c r="D62" s="145">
        <f>_xll.qlRateHelperQuoteValue($B62,Trigger)</f>
        <v>-8.1799999999999998E-3</v>
      </c>
      <c r="E62" s="145">
        <f>_xll.qlSwapRateHelperSpread($B62,Trigger)</f>
        <v>0</v>
      </c>
      <c r="F62" s="144" t="b">
        <v>0</v>
      </c>
      <c r="G62" s="144">
        <v>50</v>
      </c>
      <c r="H62" s="144">
        <v>1</v>
      </c>
      <c r="I62" s="143">
        <f>_xll.qlRateHelperEarliestDate($B62,Trigger)</f>
        <v>42139</v>
      </c>
      <c r="J62" s="142">
        <f>_xll.qlRateHelperLatestDate($B62,Trigger)</f>
        <v>42506</v>
      </c>
      <c r="L62" s="84"/>
    </row>
    <row r="63" spans="1:14" x14ac:dyDescent="0.2">
      <c r="B63" s="220" t="str">
        <f>Swaps!L6</f>
        <v>obj_00336#0001</v>
      </c>
      <c r="C63" s="141" t="str">
        <f>_xll.qlRateHelperQuoteName(B63)</f>
        <v>CHFAB3L15M_Quote</v>
      </c>
      <c r="D63" s="140">
        <f>_xll.qlRateHelperQuoteValue($B63,Trigger)</f>
        <v>-8.0499999999999999E-3</v>
      </c>
      <c r="E63" s="140">
        <f>_xll.qlSwapRateHelperSpread($B63,Trigger)</f>
        <v>0</v>
      </c>
      <c r="F63" s="139" t="b">
        <v>0</v>
      </c>
      <c r="G63" s="139">
        <v>50</v>
      </c>
      <c r="H63" s="139">
        <v>1</v>
      </c>
      <c r="I63" s="138">
        <f>_xll.qlRateHelperEarliestDate($B63,Trigger)</f>
        <v>42139</v>
      </c>
      <c r="J63" s="137">
        <f>_xll.qlRateHelperLatestDate($B63,Trigger)</f>
        <v>42597</v>
      </c>
      <c r="L63" s="84"/>
    </row>
    <row r="64" spans="1:14" x14ac:dyDescent="0.2">
      <c r="B64" s="220" t="str">
        <f>Swaps!L7</f>
        <v>obj_0031e#0001</v>
      </c>
      <c r="C64" s="141" t="str">
        <f>_xll.qlRateHelperQuoteName(B64)</f>
        <v>CHFAB3L18M_Quote</v>
      </c>
      <c r="D64" s="140">
        <f>_xll.qlRateHelperQuoteValue($B64,Trigger)</f>
        <v>-7.8300000000000002E-3</v>
      </c>
      <c r="E64" s="140">
        <f>_xll.qlSwapRateHelperSpread($B64,Trigger)</f>
        <v>0</v>
      </c>
      <c r="F64" s="139" t="b">
        <v>0</v>
      </c>
      <c r="G64" s="139">
        <v>50</v>
      </c>
      <c r="H64" s="139">
        <v>1</v>
      </c>
      <c r="I64" s="138">
        <f>_xll.qlRateHelperEarliestDate($B64,Trigger)</f>
        <v>42139</v>
      </c>
      <c r="J64" s="137">
        <f>_xll.qlRateHelperLatestDate($B64,Trigger)</f>
        <v>42689</v>
      </c>
      <c r="L64" s="84"/>
    </row>
    <row r="65" spans="2:12" x14ac:dyDescent="0.2">
      <c r="B65" s="220" t="str">
        <f>Swaps!L8</f>
        <v>obj_00332#0001</v>
      </c>
      <c r="C65" s="141" t="str">
        <f>_xll.qlRateHelperQuoteName(B65)</f>
        <v>CHFAB3L21M_Quote</v>
      </c>
      <c r="D65" s="140">
        <f>_xll.qlRateHelperQuoteValue($B65,Trigger)</f>
        <v>-7.6E-3</v>
      </c>
      <c r="E65" s="140">
        <f>_xll.qlSwapRateHelperSpread($B65,Trigger)</f>
        <v>0</v>
      </c>
      <c r="F65" s="139" t="b">
        <v>0</v>
      </c>
      <c r="G65" s="139">
        <v>50</v>
      </c>
      <c r="H65" s="139">
        <v>1</v>
      </c>
      <c r="I65" s="138">
        <f>_xll.qlRateHelperEarliestDate($B65,Trigger)</f>
        <v>42139</v>
      </c>
      <c r="J65" s="137">
        <f>_xll.qlRateHelperLatestDate($B65,Trigger)</f>
        <v>42781</v>
      </c>
      <c r="L65" s="84"/>
    </row>
    <row r="66" spans="2:12" x14ac:dyDescent="0.2">
      <c r="B66" s="220" t="str">
        <f>Swaps!L9</f>
        <v>obj_00324#0001</v>
      </c>
      <c r="C66" s="141" t="str">
        <f>_xll.qlRateHelperQuoteName(B66)</f>
        <v>CHFAB3L2Y_Quote</v>
      </c>
      <c r="D66" s="140">
        <f>_xll.qlRateHelperQuoteValue($B66,Trigger)</f>
        <v>-7.3000000000000001E-3</v>
      </c>
      <c r="E66" s="140">
        <f>_xll.qlSwapRateHelperSpread($B66,Trigger)</f>
        <v>0</v>
      </c>
      <c r="F66" s="139" t="b">
        <v>0</v>
      </c>
      <c r="G66" s="139">
        <v>50</v>
      </c>
      <c r="H66" s="139">
        <v>1</v>
      </c>
      <c r="I66" s="138">
        <f>_xll.qlRateHelperEarliestDate($B66,Trigger)</f>
        <v>42139</v>
      </c>
      <c r="J66" s="137">
        <f>_xll.qlRateHelperLatestDate($B66,Trigger)</f>
        <v>42870</v>
      </c>
      <c r="L66" s="84"/>
    </row>
    <row r="67" spans="2:12" x14ac:dyDescent="0.2">
      <c r="B67" s="220" t="str">
        <f>Swaps!L10</f>
        <v>obj_00335#0001</v>
      </c>
      <c r="C67" s="141" t="str">
        <f>_xll.qlRateHelperQuoteName(B67)</f>
        <v>CHFAB3L3Y_Quote</v>
      </c>
      <c r="D67" s="140">
        <f>_xll.qlRateHelperQuoteValue($B67,Trigger)</f>
        <v>-6.1500000000000001E-3</v>
      </c>
      <c r="E67" s="140">
        <f>_xll.qlSwapRateHelperSpread($B67,Trigger)</f>
        <v>0</v>
      </c>
      <c r="F67" s="139" t="b">
        <v>1</v>
      </c>
      <c r="G67" s="139">
        <v>50</v>
      </c>
      <c r="H67" s="139">
        <v>1</v>
      </c>
      <c r="I67" s="138">
        <f>_xll.qlRateHelperEarliestDate($B67,Trigger)</f>
        <v>42139</v>
      </c>
      <c r="J67" s="137">
        <f>_xll.qlRateHelperLatestDate($B67,Trigger)</f>
        <v>43235</v>
      </c>
      <c r="L67" s="84"/>
    </row>
    <row r="68" spans="2:12" x14ac:dyDescent="0.2">
      <c r="B68" s="220" t="str">
        <f>Swaps!L11</f>
        <v>obj_0033e#0001</v>
      </c>
      <c r="C68" s="141" t="str">
        <f>_xll.qlRateHelperQuoteName(B68)</f>
        <v>CHFAB3L4Y_Quote</v>
      </c>
      <c r="D68" s="140">
        <f>_xll.qlRateHelperQuoteValue($B68,Trigger)</f>
        <v>-4.7499999999999999E-3</v>
      </c>
      <c r="E68" s="140">
        <f>_xll.qlSwapRateHelperSpread($B68,Trigger)</f>
        <v>0</v>
      </c>
      <c r="F68" s="139" t="b">
        <v>1</v>
      </c>
      <c r="G68" s="139">
        <v>50</v>
      </c>
      <c r="H68" s="139">
        <v>1</v>
      </c>
      <c r="I68" s="138">
        <f>_xll.qlRateHelperEarliestDate($B68,Trigger)</f>
        <v>42139</v>
      </c>
      <c r="J68" s="137">
        <f>_xll.qlRateHelperLatestDate($B68,Trigger)</f>
        <v>43600</v>
      </c>
      <c r="L68" s="84"/>
    </row>
    <row r="69" spans="2:12" x14ac:dyDescent="0.2">
      <c r="B69" s="220" t="str">
        <f>Swaps!L12</f>
        <v>obj_00322#0001</v>
      </c>
      <c r="C69" s="141" t="str">
        <f>_xll.qlRateHelperQuoteName(B69)</f>
        <v>CHFAB3L5Y_Quote</v>
      </c>
      <c r="D69" s="140">
        <f>_xll.qlRateHelperQuoteValue($B69,Trigger)</f>
        <v>-3.2500000000000003E-3</v>
      </c>
      <c r="E69" s="140">
        <f>_xll.qlSwapRateHelperSpread($B69,Trigger)</f>
        <v>0</v>
      </c>
      <c r="F69" s="139" t="b">
        <v>1</v>
      </c>
      <c r="G69" s="139">
        <v>50</v>
      </c>
      <c r="H69" s="139">
        <v>1</v>
      </c>
      <c r="I69" s="138">
        <f>_xll.qlRateHelperEarliestDate($B69,Trigger)</f>
        <v>42139</v>
      </c>
      <c r="J69" s="137">
        <f>_xll.qlRateHelperLatestDate($B69,Trigger)</f>
        <v>43966</v>
      </c>
      <c r="L69" s="84"/>
    </row>
    <row r="70" spans="2:12" x14ac:dyDescent="0.2">
      <c r="B70" s="220" t="str">
        <f>Swaps!L13</f>
        <v>obj_0032c#0001</v>
      </c>
      <c r="C70" s="141" t="str">
        <f>_xll.qlRateHelperQuoteName(B70)</f>
        <v>CHFAB3L6Y_Quote</v>
      </c>
      <c r="D70" s="140">
        <f>_xll.qlRateHelperQuoteValue($B70,Trigger)</f>
        <v>-1.7749999999999999E-3</v>
      </c>
      <c r="E70" s="140">
        <f>_xll.qlSwapRateHelperSpread($B70,Trigger)</f>
        <v>0</v>
      </c>
      <c r="F70" s="139" t="b">
        <v>1</v>
      </c>
      <c r="G70" s="139">
        <v>50</v>
      </c>
      <c r="H70" s="139">
        <v>1</v>
      </c>
      <c r="I70" s="138">
        <f>_xll.qlRateHelperEarliestDate($B70,Trigger)</f>
        <v>42139</v>
      </c>
      <c r="J70" s="137">
        <f>_xll.qlRateHelperLatestDate($B70,Trigger)</f>
        <v>44333</v>
      </c>
      <c r="L70" s="84"/>
    </row>
    <row r="71" spans="2:12" x14ac:dyDescent="0.2">
      <c r="B71" s="220" t="str">
        <f>Swaps!L14</f>
        <v>obj_00326#0001</v>
      </c>
      <c r="C71" s="141" t="str">
        <f>_xll.qlRateHelperQuoteName(B71)</f>
        <v>CHFAB3L7Y_Quote</v>
      </c>
      <c r="D71" s="140">
        <f>_xll.qlRateHelperQuoteValue($B71,Trigger)</f>
        <v>-4.7500000000000005E-4</v>
      </c>
      <c r="E71" s="140">
        <f>_xll.qlSwapRateHelperSpread($B71,Trigger)</f>
        <v>0</v>
      </c>
      <c r="F71" s="139" t="b">
        <v>1</v>
      </c>
      <c r="G71" s="139">
        <v>50</v>
      </c>
      <c r="H71" s="139">
        <v>1</v>
      </c>
      <c r="I71" s="138">
        <f>_xll.qlRateHelperEarliestDate($B71,Trigger)</f>
        <v>42139</v>
      </c>
      <c r="J71" s="137">
        <f>_xll.qlRateHelperLatestDate($B71,Trigger)</f>
        <v>44697</v>
      </c>
      <c r="L71" s="84"/>
    </row>
    <row r="72" spans="2:12" x14ac:dyDescent="0.2">
      <c r="B72" s="220" t="str">
        <f>Swaps!L15</f>
        <v>obj_00323#0001</v>
      </c>
      <c r="C72" s="141" t="str">
        <f>_xll.qlRateHelperQuoteName(B72)</f>
        <v>CHFAB3L8Y_Quote</v>
      </c>
      <c r="D72" s="140">
        <f>_xll.qlRateHelperQuoteValue($B72,Trigger)</f>
        <v>6.4999999999999997E-4</v>
      </c>
      <c r="E72" s="140">
        <f>_xll.qlSwapRateHelperSpread($B72,Trigger)</f>
        <v>0</v>
      </c>
      <c r="F72" s="139" t="b">
        <v>1</v>
      </c>
      <c r="G72" s="139">
        <v>50</v>
      </c>
      <c r="H72" s="139">
        <v>1</v>
      </c>
      <c r="I72" s="138">
        <f>_xll.qlRateHelperEarliestDate($B72,Trigger)</f>
        <v>42139</v>
      </c>
      <c r="J72" s="137">
        <f>_xll.qlRateHelperLatestDate($B72,Trigger)</f>
        <v>45061</v>
      </c>
      <c r="L72" s="84"/>
    </row>
    <row r="73" spans="2:12" x14ac:dyDescent="0.2">
      <c r="B73" s="220" t="str">
        <f>Swaps!L16</f>
        <v>obj_00337#0001</v>
      </c>
      <c r="C73" s="141" t="str">
        <f>_xll.qlRateHelperQuoteName(B73)</f>
        <v>CHFAB3L9Y_Quote</v>
      </c>
      <c r="D73" s="140">
        <f>_xll.qlRateHelperQuoteValue($B73,Trigger)</f>
        <v>1.6000000000000001E-3</v>
      </c>
      <c r="E73" s="140">
        <f>_xll.qlSwapRateHelperSpread($B73,Trigger)</f>
        <v>0</v>
      </c>
      <c r="F73" s="139" t="b">
        <v>1</v>
      </c>
      <c r="G73" s="139">
        <v>50</v>
      </c>
      <c r="H73" s="139">
        <v>1</v>
      </c>
      <c r="I73" s="138">
        <f>_xll.qlRateHelperEarliestDate($B73,Trigger)</f>
        <v>42139</v>
      </c>
      <c r="J73" s="137">
        <f>_xll.qlRateHelperLatestDate($B73,Trigger)</f>
        <v>45427</v>
      </c>
      <c r="L73" s="84"/>
    </row>
    <row r="74" spans="2:12" x14ac:dyDescent="0.2">
      <c r="B74" s="220" t="str">
        <f>Swaps!L17</f>
        <v>obj_00329#0001</v>
      </c>
      <c r="C74" s="141" t="str">
        <f>_xll.qlRateHelperQuoteName(B74)</f>
        <v>CHFAB3L10Y_Quote</v>
      </c>
      <c r="D74" s="140">
        <f>_xll.qlRateHelperQuoteValue($B74,Trigger)</f>
        <v>2.4000000000000002E-3</v>
      </c>
      <c r="E74" s="140">
        <f>_xll.qlSwapRateHelperSpread($B74,Trigger)</f>
        <v>0</v>
      </c>
      <c r="F74" s="139" t="b">
        <v>1</v>
      </c>
      <c r="G74" s="139">
        <v>50</v>
      </c>
      <c r="H74" s="139">
        <v>1</v>
      </c>
      <c r="I74" s="138">
        <f>_xll.qlRateHelperEarliestDate($B74,Trigger)</f>
        <v>42139</v>
      </c>
      <c r="J74" s="137">
        <f>_xll.qlRateHelperLatestDate($B74,Trigger)</f>
        <v>45792</v>
      </c>
      <c r="L74" s="84"/>
    </row>
    <row r="75" spans="2:12" x14ac:dyDescent="0.2">
      <c r="B75" s="220" t="str">
        <f>Swaps!L18</f>
        <v>obj_00325#0001</v>
      </c>
      <c r="C75" s="141" t="str">
        <f>_xll.qlRateHelperQuoteName(B75)</f>
        <v>CHFAB3L11Y_Quote</v>
      </c>
      <c r="D75" s="140">
        <f>_xll.qlRateHelperQuoteValue($B75,Trigger)</f>
        <v>3.075E-3</v>
      </c>
      <c r="E75" s="140">
        <f>_xll.qlSwapRateHelperSpread($B75,Trigger)</f>
        <v>0</v>
      </c>
      <c r="F75" s="139" t="b">
        <v>1</v>
      </c>
      <c r="G75" s="139">
        <v>50</v>
      </c>
      <c r="H75" s="139">
        <v>1</v>
      </c>
      <c r="I75" s="138">
        <f>_xll.qlRateHelperEarliestDate($B75,Trigger)</f>
        <v>42139</v>
      </c>
      <c r="J75" s="137">
        <f>_xll.qlRateHelperLatestDate($B75,Trigger)</f>
        <v>46157</v>
      </c>
      <c r="L75" s="84"/>
    </row>
    <row r="76" spans="2:12" x14ac:dyDescent="0.2">
      <c r="B76" s="220" t="str">
        <f>Swaps!L19</f>
        <v>obj_0032f#0001</v>
      </c>
      <c r="C76" s="141" t="str">
        <f>_xll.qlRateHelperQuoteName(B76)</f>
        <v>CHFAB3L12Y_Quote</v>
      </c>
      <c r="D76" s="140">
        <f>_xll.qlRateHelperQuoteValue($B76,Trigger)</f>
        <v>3.65E-3</v>
      </c>
      <c r="E76" s="140">
        <f>_xll.qlSwapRateHelperSpread($B76,Trigger)</f>
        <v>0</v>
      </c>
      <c r="F76" s="139" t="b">
        <v>1</v>
      </c>
      <c r="G76" s="139">
        <v>50</v>
      </c>
      <c r="H76" s="139">
        <v>1</v>
      </c>
      <c r="I76" s="138">
        <f>_xll.qlRateHelperEarliestDate($B76,Trigger)</f>
        <v>42139</v>
      </c>
      <c r="J76" s="137">
        <f>_xll.qlRateHelperLatestDate($B76,Trigger)</f>
        <v>46524</v>
      </c>
      <c r="L76" s="84"/>
    </row>
    <row r="77" spans="2:12" x14ac:dyDescent="0.2">
      <c r="B77" s="220" t="str">
        <f>Swaps!L20</f>
        <v>obj_00339#0001</v>
      </c>
      <c r="C77" s="141" t="str">
        <f>_xll.qlRateHelperQuoteName(B77)</f>
        <v>CHFAB3L13Y_Quote</v>
      </c>
      <c r="D77" s="140" t="e">
        <f>_xll.qlRateHelperQuoteValue($B77,Trigger)</f>
        <v>#NUM!</v>
      </c>
      <c r="E77" s="140">
        <f>_xll.qlSwapRateHelperSpread($B77,Trigger)</f>
        <v>0</v>
      </c>
      <c r="F77" s="139" t="b">
        <v>0</v>
      </c>
      <c r="G77" s="139">
        <v>50</v>
      </c>
      <c r="H77" s="139">
        <v>1</v>
      </c>
      <c r="I77" s="138">
        <f>_xll.qlRateHelperEarliestDate($B77,Trigger)</f>
        <v>42139</v>
      </c>
      <c r="J77" s="137">
        <f>_xll.qlRateHelperLatestDate($B77,Trigger)</f>
        <v>46888</v>
      </c>
      <c r="L77" s="84"/>
    </row>
    <row r="78" spans="2:12" x14ac:dyDescent="0.2">
      <c r="B78" s="220" t="str">
        <f>Swaps!L21</f>
        <v>obj_0031c#0001</v>
      </c>
      <c r="C78" s="141" t="str">
        <f>_xll.qlRateHelperQuoteName(B78)</f>
        <v>CHFAB3L14Y_Quote</v>
      </c>
      <c r="D78" s="140" t="e">
        <f>_xll.qlRateHelperQuoteValue($B78,Trigger)</f>
        <v>#NUM!</v>
      </c>
      <c r="E78" s="140">
        <f>_xll.qlSwapRateHelperSpread($B78,Trigger)</f>
        <v>0</v>
      </c>
      <c r="F78" s="139" t="b">
        <v>0</v>
      </c>
      <c r="G78" s="139">
        <v>50</v>
      </c>
      <c r="H78" s="139">
        <v>1</v>
      </c>
      <c r="I78" s="138">
        <f>_xll.qlRateHelperEarliestDate($B78,Trigger)</f>
        <v>42139</v>
      </c>
      <c r="J78" s="137">
        <f>_xll.qlRateHelperLatestDate($B78,Trigger)</f>
        <v>47253</v>
      </c>
      <c r="L78" s="84"/>
    </row>
    <row r="79" spans="2:12" x14ac:dyDescent="0.2">
      <c r="B79" s="220" t="str">
        <f>Swaps!L22</f>
        <v>obj_0033b#0001</v>
      </c>
      <c r="C79" s="141" t="str">
        <f>_xll.qlRateHelperQuoteName(B79)</f>
        <v>CHFAB3L15Y_Quote</v>
      </c>
      <c r="D79" s="140">
        <f>_xll.qlRateHelperQuoteValue($B79,Trigger)</f>
        <v>4.9750000000000003E-3</v>
      </c>
      <c r="E79" s="140">
        <f>_xll.qlSwapRateHelperSpread($B79,Trigger)</f>
        <v>0</v>
      </c>
      <c r="F79" s="139" t="b">
        <v>1</v>
      </c>
      <c r="G79" s="139">
        <v>50</v>
      </c>
      <c r="H79" s="139">
        <v>1</v>
      </c>
      <c r="I79" s="138">
        <f>_xll.qlRateHelperEarliestDate($B79,Trigger)</f>
        <v>42139</v>
      </c>
      <c r="J79" s="137">
        <f>_xll.qlRateHelperLatestDate($B79,Trigger)</f>
        <v>47618</v>
      </c>
      <c r="L79" s="84"/>
    </row>
    <row r="80" spans="2:12" x14ac:dyDescent="0.2">
      <c r="B80" s="220" t="str">
        <f>Swaps!L23</f>
        <v>obj_00328#0001</v>
      </c>
      <c r="C80" s="141" t="str">
        <f>_xll.qlRateHelperQuoteName(B80)</f>
        <v>CHFAB3L16Y_Quote</v>
      </c>
      <c r="D80" s="140" t="e">
        <f>_xll.qlRateHelperQuoteValue($B80,Trigger)</f>
        <v>#NUM!</v>
      </c>
      <c r="E80" s="140">
        <f>_xll.qlSwapRateHelperSpread($B80,Trigger)</f>
        <v>0</v>
      </c>
      <c r="F80" s="139" t="b">
        <v>0</v>
      </c>
      <c r="G80" s="139">
        <v>50</v>
      </c>
      <c r="H80" s="139">
        <v>1</v>
      </c>
      <c r="I80" s="138">
        <f>_xll.qlRateHelperEarliestDate($B80,Trigger)</f>
        <v>42139</v>
      </c>
      <c r="J80" s="137">
        <f>_xll.qlRateHelperLatestDate($B80,Trigger)</f>
        <v>47983</v>
      </c>
      <c r="L80" s="84"/>
    </row>
    <row r="81" spans="2:12" x14ac:dyDescent="0.2">
      <c r="B81" s="220" t="str">
        <f>Swaps!L24</f>
        <v>obj_0033c#0001</v>
      </c>
      <c r="C81" s="141" t="str">
        <f>_xll.qlRateHelperQuoteName(B81)</f>
        <v>CHFAB3L17Y_Quote</v>
      </c>
      <c r="D81" s="140" t="e">
        <f>_xll.qlRateHelperQuoteValue($B81,Trigger)</f>
        <v>#NUM!</v>
      </c>
      <c r="E81" s="140">
        <f>_xll.qlSwapRateHelperSpread($B81,Trigger)</f>
        <v>0</v>
      </c>
      <c r="F81" s="139" t="b">
        <v>0</v>
      </c>
      <c r="G81" s="139">
        <v>50</v>
      </c>
      <c r="H81" s="139">
        <v>1</v>
      </c>
      <c r="I81" s="138">
        <f>_xll.qlRateHelperEarliestDate($B81,Trigger)</f>
        <v>42139</v>
      </c>
      <c r="J81" s="137">
        <f>_xll.qlRateHelperLatestDate($B81,Trigger)</f>
        <v>48351</v>
      </c>
      <c r="L81" s="84"/>
    </row>
    <row r="82" spans="2:12" x14ac:dyDescent="0.2">
      <c r="B82" s="220" t="str">
        <f>Swaps!L25</f>
        <v>obj_0032e#0001</v>
      </c>
      <c r="C82" s="141" t="str">
        <f>_xll.qlRateHelperQuoteName(B82)</f>
        <v>CHFAB3L18Y_Quote</v>
      </c>
      <c r="D82" s="140" t="e">
        <f>_xll.qlRateHelperQuoteValue($B82,Trigger)</f>
        <v>#NUM!</v>
      </c>
      <c r="E82" s="140">
        <f>_xll.qlSwapRateHelperSpread($B82,Trigger)</f>
        <v>0</v>
      </c>
      <c r="F82" s="139" t="b">
        <v>0</v>
      </c>
      <c r="G82" s="139">
        <v>50</v>
      </c>
      <c r="H82" s="139">
        <v>1</v>
      </c>
      <c r="I82" s="138">
        <f>_xll.qlRateHelperEarliestDate($B82,Trigger)</f>
        <v>42139</v>
      </c>
      <c r="J82" s="137">
        <f>_xll.qlRateHelperLatestDate($B82,Trigger)</f>
        <v>48715</v>
      </c>
      <c r="L82" s="84"/>
    </row>
    <row r="83" spans="2:12" x14ac:dyDescent="0.2">
      <c r="B83" s="220" t="str">
        <f>Swaps!L26</f>
        <v>obj_0033a#0001</v>
      </c>
      <c r="C83" s="141" t="str">
        <f>_xll.qlRateHelperQuoteName(B83)</f>
        <v>CHFAB3L19Y_Quote</v>
      </c>
      <c r="D83" s="140" t="e">
        <f>_xll.qlRateHelperQuoteValue($B83,Trigger)</f>
        <v>#NUM!</v>
      </c>
      <c r="E83" s="140">
        <f>_xll.qlSwapRateHelperSpread($B83,Trigger)</f>
        <v>0</v>
      </c>
      <c r="F83" s="139" t="b">
        <v>0</v>
      </c>
      <c r="G83" s="139">
        <v>50</v>
      </c>
      <c r="H83" s="139">
        <v>1</v>
      </c>
      <c r="I83" s="138">
        <f>_xll.qlRateHelperEarliestDate($B83,Trigger)</f>
        <v>42139</v>
      </c>
      <c r="J83" s="137">
        <f>_xll.qlRateHelperLatestDate($B83,Trigger)</f>
        <v>49079</v>
      </c>
      <c r="L83" s="84"/>
    </row>
    <row r="84" spans="2:12" x14ac:dyDescent="0.2">
      <c r="B84" s="220" t="str">
        <f>Swaps!L27</f>
        <v>obj_0031d#0001</v>
      </c>
      <c r="C84" s="141" t="str">
        <f>_xll.qlRateHelperQuoteName(B84)</f>
        <v>CHFAB3L20Y_Quote</v>
      </c>
      <c r="D84" s="140">
        <f>_xll.qlRateHelperQuoteValue($B84,Trigger)</f>
        <v>6.3250000000000008E-3</v>
      </c>
      <c r="E84" s="140">
        <f>_xll.qlSwapRateHelperSpread($B84,Trigger)</f>
        <v>0</v>
      </c>
      <c r="F84" s="139" t="b">
        <v>1</v>
      </c>
      <c r="G84" s="139">
        <v>50</v>
      </c>
      <c r="H84" s="139">
        <v>1</v>
      </c>
      <c r="I84" s="138">
        <f>_xll.qlRateHelperEarliestDate($B84,Trigger)</f>
        <v>42139</v>
      </c>
      <c r="J84" s="137">
        <f>_xll.qlRateHelperLatestDate($B84,Trigger)</f>
        <v>49444</v>
      </c>
      <c r="L84" s="84"/>
    </row>
    <row r="85" spans="2:12" x14ac:dyDescent="0.2">
      <c r="B85" s="220" t="str">
        <f>Swaps!L28</f>
        <v>obj_00327#0001</v>
      </c>
      <c r="C85" s="141" t="str">
        <f>_xll.qlRateHelperQuoteName(B85)</f>
        <v>CHFAB3L21Y_Quote</v>
      </c>
      <c r="D85" s="140" t="e">
        <f>_xll.qlRateHelperQuoteValue($B85,Trigger)</f>
        <v>#NUM!</v>
      </c>
      <c r="E85" s="140">
        <f>_xll.qlSwapRateHelperSpread($B85,Trigger)</f>
        <v>0</v>
      </c>
      <c r="F85" s="139" t="b">
        <v>0</v>
      </c>
      <c r="G85" s="139">
        <v>50</v>
      </c>
      <c r="H85" s="139">
        <v>1</v>
      </c>
      <c r="I85" s="138">
        <f>_xll.qlRateHelperEarliestDate($B85,Trigger)</f>
        <v>42139</v>
      </c>
      <c r="J85" s="137">
        <f>_xll.qlRateHelperLatestDate($B85,Trigger)</f>
        <v>49810</v>
      </c>
      <c r="L85" s="84"/>
    </row>
    <row r="86" spans="2:12" x14ac:dyDescent="0.2">
      <c r="B86" s="220" t="str">
        <f>Swaps!L29</f>
        <v>obj_00331#0001</v>
      </c>
      <c r="C86" s="141" t="str">
        <f>_xll.qlRateHelperQuoteName(B86)</f>
        <v>CHFAB3L22Y_Quote</v>
      </c>
      <c r="D86" s="140" t="e">
        <f>_xll.qlRateHelperQuoteValue($B86,Trigger)</f>
        <v>#NUM!</v>
      </c>
      <c r="E86" s="140">
        <f>_xll.qlSwapRateHelperSpread($B86,Trigger)</f>
        <v>0</v>
      </c>
      <c r="F86" s="139" t="b">
        <v>0</v>
      </c>
      <c r="G86" s="139">
        <v>50</v>
      </c>
      <c r="H86" s="139">
        <v>1</v>
      </c>
      <c r="I86" s="138">
        <f>_xll.qlRateHelperEarliestDate($B86,Trigger)</f>
        <v>42139</v>
      </c>
      <c r="J86" s="137">
        <f>_xll.qlRateHelperLatestDate($B86,Trigger)</f>
        <v>50175</v>
      </c>
      <c r="L86" s="84"/>
    </row>
    <row r="87" spans="2:12" x14ac:dyDescent="0.2">
      <c r="B87" s="220" t="str">
        <f>Swaps!L30</f>
        <v>obj_0032b#0001</v>
      </c>
      <c r="C87" s="141" t="str">
        <f>_xll.qlRateHelperQuoteName(B87)</f>
        <v>CHFAB3L23Y_Quote</v>
      </c>
      <c r="D87" s="140" t="e">
        <f>_xll.qlRateHelperQuoteValue($B87,Trigger)</f>
        <v>#NUM!</v>
      </c>
      <c r="E87" s="140">
        <f>_xll.qlSwapRateHelperSpread($B87,Trigger)</f>
        <v>0</v>
      </c>
      <c r="F87" s="139" t="b">
        <v>0</v>
      </c>
      <c r="G87" s="139">
        <v>50</v>
      </c>
      <c r="H87" s="139">
        <v>1</v>
      </c>
      <c r="I87" s="138">
        <f>_xll.qlRateHelperEarliestDate($B87,Trigger)</f>
        <v>42139</v>
      </c>
      <c r="J87" s="137">
        <f>_xll.qlRateHelperLatestDate($B87,Trigger)</f>
        <v>50542</v>
      </c>
      <c r="L87" s="84"/>
    </row>
    <row r="88" spans="2:12" x14ac:dyDescent="0.2">
      <c r="B88" s="220" t="str">
        <f>Swaps!L31</f>
        <v>obj_0032d#0001</v>
      </c>
      <c r="C88" s="141" t="str">
        <f>_xll.qlRateHelperQuoteName(B88)</f>
        <v>CHFAB3L24Y_Quote</v>
      </c>
      <c r="D88" s="140" t="e">
        <f>_xll.qlRateHelperQuoteValue($B88,Trigger)</f>
        <v>#NUM!</v>
      </c>
      <c r="E88" s="140">
        <f>_xll.qlSwapRateHelperSpread($B88,Trigger)</f>
        <v>0</v>
      </c>
      <c r="F88" s="139" t="b">
        <v>0</v>
      </c>
      <c r="G88" s="139">
        <v>50</v>
      </c>
      <c r="H88" s="139">
        <v>1</v>
      </c>
      <c r="I88" s="138">
        <f>_xll.qlRateHelperEarliestDate($B88,Trigger)</f>
        <v>42139</v>
      </c>
      <c r="J88" s="137">
        <f>_xll.qlRateHelperLatestDate($B88,Trigger)</f>
        <v>50906</v>
      </c>
      <c r="L88" s="84"/>
    </row>
    <row r="89" spans="2:12" x14ac:dyDescent="0.2">
      <c r="B89" s="220" t="str">
        <f>Swaps!L32</f>
        <v>obj_00340#0001</v>
      </c>
      <c r="C89" s="141" t="str">
        <f>_xll.qlRateHelperQuoteName(B89)</f>
        <v>CHFAB3L25Y_Quote</v>
      </c>
      <c r="D89" s="140">
        <f>_xll.qlRateHelperQuoteValue($B89,Trigger)</f>
        <v>7.150000000000001E-3</v>
      </c>
      <c r="E89" s="140">
        <f>_xll.qlSwapRateHelperSpread($B89,Trigger)</f>
        <v>0</v>
      </c>
      <c r="F89" s="139" t="b">
        <v>1</v>
      </c>
      <c r="G89" s="139">
        <v>50</v>
      </c>
      <c r="H89" s="139">
        <v>1</v>
      </c>
      <c r="I89" s="138">
        <f>_xll.qlRateHelperEarliestDate($B89,Trigger)</f>
        <v>42139</v>
      </c>
      <c r="J89" s="137">
        <f>_xll.qlRateHelperLatestDate($B89,Trigger)</f>
        <v>51271</v>
      </c>
      <c r="L89" s="84"/>
    </row>
    <row r="90" spans="2:12" x14ac:dyDescent="0.2">
      <c r="B90" s="220" t="str">
        <f>Swaps!L33</f>
        <v>obj_00333#0001</v>
      </c>
      <c r="C90" s="141" t="str">
        <f>_xll.qlRateHelperQuoteName(B90)</f>
        <v>CHFAB3L26Y_Quote</v>
      </c>
      <c r="D90" s="140" t="e">
        <f>_xll.qlRateHelperQuoteValue($B90,Trigger)</f>
        <v>#NUM!</v>
      </c>
      <c r="E90" s="140">
        <f>_xll.qlSwapRateHelperSpread($B90,Trigger)</f>
        <v>0</v>
      </c>
      <c r="F90" s="139" t="b">
        <v>0</v>
      </c>
      <c r="G90" s="139">
        <v>50</v>
      </c>
      <c r="H90" s="139">
        <v>1</v>
      </c>
      <c r="I90" s="138">
        <f>_xll.qlRateHelperEarliestDate($B90,Trigger)</f>
        <v>42139</v>
      </c>
      <c r="J90" s="137">
        <f>_xll.qlRateHelperLatestDate($B90,Trigger)</f>
        <v>51636</v>
      </c>
      <c r="L90" s="84"/>
    </row>
    <row r="91" spans="2:12" x14ac:dyDescent="0.2">
      <c r="B91" s="220" t="str">
        <f>Swaps!L34</f>
        <v>obj_0032a#0001</v>
      </c>
      <c r="C91" s="141" t="str">
        <f>_xll.qlRateHelperQuoteName(B91)</f>
        <v>CHFAB3L27Y_Quote</v>
      </c>
      <c r="D91" s="140" t="e">
        <f>_xll.qlRateHelperQuoteValue($B91,Trigger)</f>
        <v>#NUM!</v>
      </c>
      <c r="E91" s="140">
        <f>_xll.qlSwapRateHelperSpread($B91,Trigger)</f>
        <v>0</v>
      </c>
      <c r="F91" s="139" t="b">
        <v>0</v>
      </c>
      <c r="G91" s="139">
        <v>50</v>
      </c>
      <c r="H91" s="139">
        <v>1</v>
      </c>
      <c r="I91" s="138">
        <f>_xll.qlRateHelperEarliestDate($B91,Trigger)</f>
        <v>42139</v>
      </c>
      <c r="J91" s="137">
        <f>_xll.qlRateHelperLatestDate($B91,Trigger)</f>
        <v>52001</v>
      </c>
      <c r="L91" s="84"/>
    </row>
    <row r="92" spans="2:12" x14ac:dyDescent="0.2">
      <c r="B92" s="220" t="str">
        <f>Swaps!L35</f>
        <v>obj_00334#0001</v>
      </c>
      <c r="C92" s="141" t="str">
        <f>_xll.qlRateHelperQuoteName(B92)</f>
        <v>CHFAB3L28Y_Quote</v>
      </c>
      <c r="D92" s="140" t="e">
        <f>_xll.qlRateHelperQuoteValue($B92,Trigger)</f>
        <v>#NUM!</v>
      </c>
      <c r="E92" s="140">
        <f>_xll.qlSwapRateHelperSpread($B92,Trigger)</f>
        <v>0</v>
      </c>
      <c r="F92" s="139" t="b">
        <v>0</v>
      </c>
      <c r="G92" s="139">
        <v>50</v>
      </c>
      <c r="H92" s="139">
        <v>1</v>
      </c>
      <c r="I92" s="138">
        <f>_xll.qlRateHelperEarliestDate($B92,Trigger)</f>
        <v>42139</v>
      </c>
      <c r="J92" s="137">
        <f>_xll.qlRateHelperLatestDate($B92,Trigger)</f>
        <v>52366</v>
      </c>
      <c r="L92" s="84"/>
    </row>
    <row r="93" spans="2:12" x14ac:dyDescent="0.2">
      <c r="B93" s="220" t="str">
        <f>Swaps!L36</f>
        <v>obj_0033d#0001</v>
      </c>
      <c r="C93" s="141" t="str">
        <f>_xll.qlRateHelperQuoteName(B93)</f>
        <v>CHFAB3L29Y_Quote</v>
      </c>
      <c r="D93" s="140" t="e">
        <f>_xll.qlRateHelperQuoteValue($B93,Trigger)</f>
        <v>#NUM!</v>
      </c>
      <c r="E93" s="140">
        <f>_xll.qlSwapRateHelperSpread($B93,Trigger)</f>
        <v>0</v>
      </c>
      <c r="F93" s="139" t="b">
        <v>0</v>
      </c>
      <c r="G93" s="139">
        <v>50</v>
      </c>
      <c r="H93" s="139">
        <v>1</v>
      </c>
      <c r="I93" s="138">
        <f>_xll.qlRateHelperEarliestDate($B93,Trigger)</f>
        <v>42139</v>
      </c>
      <c r="J93" s="137">
        <f>_xll.qlRateHelperLatestDate($B93,Trigger)</f>
        <v>52733</v>
      </c>
      <c r="L93" s="84"/>
    </row>
    <row r="94" spans="2:12" x14ac:dyDescent="0.2">
      <c r="B94" s="220" t="str">
        <f>Swaps!L37</f>
        <v>obj_00321#0001</v>
      </c>
      <c r="C94" s="141" t="str">
        <f>_xll.qlRateHelperQuoteName(B94)</f>
        <v>CHFAB3L30Y_Quote</v>
      </c>
      <c r="D94" s="140">
        <f>_xll.qlRateHelperQuoteValue($B94,Trigger)</f>
        <v>7.575000000000001E-3</v>
      </c>
      <c r="E94" s="140">
        <f>_xll.qlSwapRateHelperSpread($B94,Trigger)</f>
        <v>0</v>
      </c>
      <c r="F94" s="139" t="b">
        <v>1</v>
      </c>
      <c r="G94" s="139">
        <v>50</v>
      </c>
      <c r="H94" s="139">
        <v>1</v>
      </c>
      <c r="I94" s="138">
        <f>_xll.qlRateHelperEarliestDate($B94,Trigger)</f>
        <v>42139</v>
      </c>
      <c r="J94" s="137">
        <f>_xll.qlRateHelperLatestDate($B94,Trigger)</f>
        <v>53097</v>
      </c>
      <c r="L94" s="84"/>
    </row>
    <row r="95" spans="2:12" x14ac:dyDescent="0.2">
      <c r="B95" s="220" t="str">
        <f>Swaps!L38</f>
        <v>obj_0033f#0001</v>
      </c>
      <c r="C95" s="141" t="str">
        <f>_xll.qlRateHelperQuoteName(B95)</f>
        <v>CHFAB3L35Y_Quote</v>
      </c>
      <c r="D95" s="140" t="e">
        <f>_xll.qlRateHelperQuoteValue($B95,Trigger)</f>
        <v>#NUM!</v>
      </c>
      <c r="E95" s="140">
        <f>_xll.qlSwapRateHelperSpread($B95,Trigger)</f>
        <v>0</v>
      </c>
      <c r="F95" s="139" t="b">
        <v>0</v>
      </c>
      <c r="G95" s="139">
        <v>50</v>
      </c>
      <c r="H95" s="139">
        <v>1</v>
      </c>
      <c r="I95" s="138">
        <f>_xll.qlRateHelperEarliestDate($B95,Trigger)</f>
        <v>42139</v>
      </c>
      <c r="J95" s="137">
        <f>_xll.qlRateHelperLatestDate($B95,Trigger)</f>
        <v>54924</v>
      </c>
      <c r="L95" s="84"/>
    </row>
    <row r="96" spans="2:12" x14ac:dyDescent="0.2">
      <c r="B96" s="220" t="str">
        <f>Swaps!L39</f>
        <v>obj_00330#0001</v>
      </c>
      <c r="C96" s="141" t="str">
        <f>_xll.qlRateHelperQuoteName(B96)</f>
        <v>CHFAB3L40Y_Quote</v>
      </c>
      <c r="D96" s="140" t="e">
        <f>_xll.qlRateHelperQuoteValue($B96,Trigger)</f>
        <v>#NUM!</v>
      </c>
      <c r="E96" s="140">
        <f>_xll.qlSwapRateHelperSpread($B96,Trigger)</f>
        <v>0</v>
      </c>
      <c r="F96" s="224" t="b">
        <f>NOT(ISERROR(D96))</f>
        <v>0</v>
      </c>
      <c r="G96" s="139">
        <v>50</v>
      </c>
      <c r="H96" s="139">
        <v>1</v>
      </c>
      <c r="I96" s="138">
        <f>_xll.qlRateHelperEarliestDate($B96,Trigger)</f>
        <v>42139</v>
      </c>
      <c r="J96" s="137">
        <f>_xll.qlRateHelperLatestDate($B96,Trigger)</f>
        <v>56751</v>
      </c>
      <c r="L96" s="84"/>
    </row>
    <row r="97" spans="2:12" x14ac:dyDescent="0.2">
      <c r="B97" s="220" t="str">
        <f>Swaps!L40</f>
        <v>obj_0031f#0001</v>
      </c>
      <c r="C97" s="141" t="str">
        <f>_xll.qlRateHelperQuoteName(B97)</f>
        <v>CHFAB3L50Y_Quote</v>
      </c>
      <c r="D97" s="140" t="e">
        <f>_xll.qlRateHelperQuoteValue($B97,Trigger)</f>
        <v>#NUM!</v>
      </c>
      <c r="E97" s="140">
        <f>_xll.qlSwapRateHelperSpread($B97,Trigger)</f>
        <v>0</v>
      </c>
      <c r="F97" s="224" t="b">
        <f>NOT(ISERROR(D97))</f>
        <v>0</v>
      </c>
      <c r="G97" s="139">
        <v>50</v>
      </c>
      <c r="H97" s="139">
        <v>1</v>
      </c>
      <c r="I97" s="138">
        <f>_xll.qlRateHelperEarliestDate($B97,Trigger)</f>
        <v>42139</v>
      </c>
      <c r="J97" s="137">
        <f>_xll.qlRateHelperLatestDate($B97,Trigger)</f>
        <v>60402</v>
      </c>
      <c r="L97" s="84"/>
    </row>
    <row r="98" spans="2:12" x14ac:dyDescent="0.2">
      <c r="B98" s="101" t="str">
        <f>Swaps!L41</f>
        <v>obj_00338#0001</v>
      </c>
      <c r="C98" s="136" t="str">
        <f>_xll.qlRateHelperQuoteName(B98)</f>
        <v>CHFAB3L60Y_Quote</v>
      </c>
      <c r="D98" s="135" t="e">
        <f>_xll.qlRateHelperQuoteValue($B98,Trigger)</f>
        <v>#NUM!</v>
      </c>
      <c r="E98" s="135">
        <f>_xll.qlSwapRateHelperSpread($B98,Trigger)</f>
        <v>0</v>
      </c>
      <c r="F98" s="134" t="b">
        <v>0</v>
      </c>
      <c r="G98" s="134">
        <v>50</v>
      </c>
      <c r="H98" s="134">
        <v>1</v>
      </c>
      <c r="I98" s="133">
        <f>_xll.qlRateHelperEarliestDate($B98,Trigger)</f>
        <v>42139</v>
      </c>
      <c r="J98" s="132">
        <f>_xll.qlRateHelperLatestDate($B98,Trigger)</f>
        <v>64054</v>
      </c>
      <c r="L98" s="84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8"/>
  <sheetViews>
    <sheetView tabSelected="1" workbookViewId="0">
      <selection activeCell="G1" sqref="G1"/>
    </sheetView>
  </sheetViews>
  <sheetFormatPr defaultRowHeight="11.25" outlineLevelCol="1" x14ac:dyDescent="0.2"/>
  <cols>
    <col min="1" max="1" width="36.85546875" style="59" customWidth="1"/>
    <col min="2" max="2" width="9" style="59" customWidth="1"/>
    <col min="3" max="3" width="2.7109375" style="59" customWidth="1"/>
    <col min="4" max="4" width="25.7109375" style="75" hidden="1" customWidth="1" outlineLevel="1"/>
    <col min="5" max="5" width="21.42578125" style="131" bestFit="1" customWidth="1" collapsed="1"/>
    <col min="6" max="6" width="10" style="75" bestFit="1" customWidth="1"/>
    <col min="7" max="7" width="8" style="75" bestFit="1" customWidth="1"/>
    <col min="8" max="9" width="17.28515625" style="75" bestFit="1" customWidth="1"/>
    <col min="10" max="10" width="12" style="59" bestFit="1" customWidth="1"/>
    <col min="11" max="11" width="9.140625" style="59"/>
    <col min="12" max="12" width="19" style="59" bestFit="1" customWidth="1"/>
    <col min="13" max="13" width="9.28515625" style="59" bestFit="1" customWidth="1"/>
    <col min="14" max="16384" width="9.140625" style="59"/>
  </cols>
  <sheetData>
    <row r="1" spans="1:13" ht="23.25" customHeight="1" thickBot="1" x14ac:dyDescent="0.25">
      <c r="A1" s="297" t="s">
        <v>53</v>
      </c>
      <c r="B1" s="298"/>
      <c r="D1" s="128" t="s">
        <v>52</v>
      </c>
      <c r="E1" s="60" t="s">
        <v>119</v>
      </c>
      <c r="F1" s="61" t="s">
        <v>51</v>
      </c>
      <c r="G1" s="61"/>
      <c r="H1" s="61" t="s">
        <v>38</v>
      </c>
      <c r="I1" s="62" t="s">
        <v>37</v>
      </c>
      <c r="J1" s="63">
        <f t="array" ref="J1:J126">_xll.qlPiecewiseYieldCurveData(YieldCurve)</f>
        <v>1</v>
      </c>
    </row>
    <row r="2" spans="1:13" x14ac:dyDescent="0.2">
      <c r="A2" s="64" t="s">
        <v>50</v>
      </c>
      <c r="B2" s="65">
        <v>8</v>
      </c>
      <c r="D2" s="66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obj_0031b</v>
      </c>
      <c r="E2" s="66" t="str">
        <f>_xll.qlRateHelperQuoteName(D2)</f>
        <v>CHFOND_Quote</v>
      </c>
      <c r="F2" s="67">
        <f>_xll.qlRateHelperRate($D2)</f>
        <v>-7.000000000000001E-3</v>
      </c>
      <c r="G2" s="67" t="str">
        <f>IF(ISERROR(_xll.qlSwapRateHelperSpread($D2)),IF(ISERROR(_xll.qlFuturesRateHelperConvexityAdjustment($D2)),"--",_xll.qlFuturesRateHelperConvexityAdjustment($D2)),_xll.qlSwapRateHelperSpread($D2))</f>
        <v>--</v>
      </c>
      <c r="H2" s="76">
        <f>_xll.qlRateHelperEarliestDate($D2)</f>
        <v>42137</v>
      </c>
      <c r="I2" s="77">
        <f>_xll.qlRateHelperLatestDate($D2)</f>
        <v>42139</v>
      </c>
      <c r="J2" s="63">
        <v>1.0000694973893491</v>
      </c>
      <c r="M2" s="68"/>
    </row>
    <row r="3" spans="1:13" x14ac:dyDescent="0.2">
      <c r="A3" s="69" t="s">
        <v>49</v>
      </c>
      <c r="B3" s="70">
        <v>1</v>
      </c>
      <c r="D3" s="66" t="str">
        <v>obj_00317</v>
      </c>
      <c r="E3" s="66" t="str">
        <f>_xll.qlRateHelperQuoteName(D3)</f>
        <v>CHFSND_SYNTH3M_Quote</v>
      </c>
      <c r="F3" s="67">
        <f>_xll.qlRateHelperRate($D3)</f>
        <v>-7.0540000000000004E-3</v>
      </c>
      <c r="G3" s="67" t="str">
        <f>IF(ISERROR(_xll.qlSwapRateHelperSpread($D3)),IF(ISERROR(_xll.qlFuturesRateHelperConvexityAdjustment($D3)),"--",_xll.qlFuturesRateHelperConvexityAdjustment($D3)),_xll.qlSwapRateHelperSpread($D3))</f>
        <v>--</v>
      </c>
      <c r="H3" s="76">
        <f>_xll.qlRateHelperEarliestDate($D3)</f>
        <v>42142</v>
      </c>
      <c r="I3" s="77">
        <f>_xll.qlRateHelperLatestDate($D3)</f>
        <v>42143</v>
      </c>
      <c r="J3" s="63">
        <v>1.0001386581123135</v>
      </c>
      <c r="M3" s="68"/>
    </row>
    <row r="4" spans="1:13" x14ac:dyDescent="0.2">
      <c r="A4" s="69" t="s">
        <v>48</v>
      </c>
      <c r="B4" s="70">
        <v>2</v>
      </c>
      <c r="D4" s="66" t="str">
        <v>obj_00314</v>
      </c>
      <c r="E4" s="66" t="str">
        <f>_xll.qlRateHelperQuoteName(D4)</f>
        <v>CHFSWD_SYNTH3M_Quote</v>
      </c>
      <c r="F4" s="67">
        <f>_xll.qlRateHelperRate($D4)</f>
        <v>-7.1300000000000001E-3</v>
      </c>
      <c r="G4" s="67" t="str">
        <f>IF(ISERROR(_xll.qlSwapRateHelperSpread($D4)),IF(ISERROR(_xll.qlFuturesRateHelperConvexityAdjustment($D4)),"--",_xll.qlFuturesRateHelperConvexityAdjustment($D4)),_xll.qlSwapRateHelperSpread($D4))</f>
        <v>--</v>
      </c>
      <c r="H4" s="76">
        <f>_xll.qlRateHelperEarliestDate($D4)</f>
        <v>42139</v>
      </c>
      <c r="I4" s="77">
        <f>_xll.qlRateHelperLatestDate($D4)</f>
        <v>42146</v>
      </c>
      <c r="J4" s="63">
        <v>1.0006356454551451</v>
      </c>
      <c r="M4" s="68"/>
    </row>
    <row r="5" spans="1:13" x14ac:dyDescent="0.2">
      <c r="A5" s="69" t="s">
        <v>47</v>
      </c>
      <c r="B5" s="71" t="s">
        <v>46</v>
      </c>
      <c r="D5" s="66" t="str">
        <v>obj_00316</v>
      </c>
      <c r="E5" s="66" t="str">
        <f>_xll.qlRateHelperQuoteName(D5)</f>
        <v>CHF1MD_SYNTH3M_Quote</v>
      </c>
      <c r="F5" s="67">
        <f>_xll.qlRateHelperRate($D5)</f>
        <v>-7.3769999999999999E-3</v>
      </c>
      <c r="G5" s="67" t="str">
        <f>IF(ISERROR(_xll.qlSwapRateHelperSpread($D5)),IF(ISERROR(_xll.qlFuturesRateHelperConvexityAdjustment($D5)),"--",_xll.qlFuturesRateHelperConvexityAdjustment($D5)),_xll.qlSwapRateHelperSpread($D5))</f>
        <v>--</v>
      </c>
      <c r="H5" s="76">
        <f>_xll.qlRateHelperEarliestDate($D5)</f>
        <v>42139</v>
      </c>
      <c r="I5" s="77">
        <f>_xll.qlRateHelperLatestDate($D5)</f>
        <v>42170</v>
      </c>
      <c r="J5" s="63">
        <v>1.0012950444153204</v>
      </c>
      <c r="M5" s="68"/>
    </row>
    <row r="6" spans="1:13" x14ac:dyDescent="0.2">
      <c r="A6" s="130"/>
      <c r="B6" s="130"/>
      <c r="D6" s="66" t="str">
        <v>obj_0031a</v>
      </c>
      <c r="E6" s="66" t="str">
        <f>_xll.qlRateHelperQuoteName(D6)</f>
        <v>CHF2MD_SYNTH3M_Quote</v>
      </c>
      <c r="F6" s="67">
        <f>_xll.qlRateHelperRate($D6)</f>
        <v>-7.633E-3</v>
      </c>
      <c r="G6" s="67" t="str">
        <f>IF(ISERROR(_xll.qlSwapRateHelperSpread($D6)),IF(ISERROR(_xll.qlFuturesRateHelperConvexityAdjustment($D6)),"--",_xll.qlFuturesRateHelperConvexityAdjustment($D6)),_xll.qlSwapRateHelperSpread($D6))</f>
        <v>--</v>
      </c>
      <c r="H6" s="76">
        <f>_xll.qlRateHelperEarliestDate($D6)</f>
        <v>42139</v>
      </c>
      <c r="I6" s="77">
        <f>_xll.qlRateHelperLatestDate($D6)</f>
        <v>42200</v>
      </c>
      <c r="J6" s="63">
        <v>1.0020258792221801</v>
      </c>
      <c r="M6" s="68"/>
    </row>
    <row r="7" spans="1:13" x14ac:dyDescent="0.2">
      <c r="A7" s="130"/>
      <c r="B7" s="130"/>
      <c r="D7" s="66" t="str">
        <v>obj_00315</v>
      </c>
      <c r="E7" s="66" t="str">
        <f>_xll.qlRateHelperQuoteName(D7)</f>
        <v>CHF3MD_SYNTH3M_Quote</v>
      </c>
      <c r="F7" s="67">
        <f>_xll.qlRateHelperRate($D7)</f>
        <v>-7.7429999999999999E-3</v>
      </c>
      <c r="G7" s="67" t="str">
        <f>IF(ISERROR(_xll.qlSwapRateHelperSpread($D7)),IF(ISERROR(_xll.qlFuturesRateHelperConvexityAdjustment($D7)),"--",_xll.qlFuturesRateHelperConvexityAdjustment($D7)),_xll.qlSwapRateHelperSpread($D7))</f>
        <v>--</v>
      </c>
      <c r="H7" s="76">
        <f>_xll.qlRateHelperEarliestDate($D7)</f>
        <v>42139</v>
      </c>
      <c r="I7" s="77">
        <f>_xll.qlRateHelperLatestDate($D7)</f>
        <v>42233</v>
      </c>
      <c r="J7" s="63">
        <v>1.0027652269961451</v>
      </c>
      <c r="M7" s="68"/>
    </row>
    <row r="8" spans="1:13" x14ac:dyDescent="0.2">
      <c r="A8" s="130"/>
      <c r="D8" s="66" t="str">
        <v>obj_00365</v>
      </c>
      <c r="E8" s="66" t="str">
        <f>_xll.qlRateHelperQuoteName(D8)</f>
        <v>CHFFUT3MM5_Quote</v>
      </c>
      <c r="F8" s="67">
        <f>_xll.qlRateHelperRate($D8)</f>
        <v>-8.1499999999998796E-3</v>
      </c>
      <c r="G8" s="67">
        <f>IF(ISERROR(_xll.qlSwapRateHelperSpread($D8)),IF(ISERROR(_xll.qlFuturesRateHelperConvexityAdjustment($D8)),"--",_xll.qlFuturesRateHelperConvexityAdjustment($D8)),_xll.qlSwapRateHelperSpread($D8))</f>
        <v>0</v>
      </c>
      <c r="H8" s="76">
        <f>_xll.qlRateHelperEarliestDate($D8)</f>
        <v>42172</v>
      </c>
      <c r="I8" s="77">
        <f>_xll.qlRateHelperLatestDate($D8)</f>
        <v>42264</v>
      </c>
      <c r="J8" s="63">
        <v>1.0048874429526853</v>
      </c>
      <c r="M8" s="68"/>
    </row>
    <row r="9" spans="1:13" x14ac:dyDescent="0.2">
      <c r="A9" s="130"/>
      <c r="D9" s="66" t="str">
        <v>obj_0034a</v>
      </c>
      <c r="E9" s="66" t="str">
        <f>_xll.qlRateHelperQuoteName(D9)</f>
        <v>CHFFUT3MU5_Quote</v>
      </c>
      <c r="F9" s="67">
        <f>_xll.qlRateHelperRate($D9)</f>
        <v>-8.4500000000000686E-3</v>
      </c>
      <c r="G9" s="67">
        <f>IF(ISERROR(_xll.qlSwapRateHelperSpread($D9)),IF(ISERROR(_xll.qlFuturesRateHelperConvexityAdjustment($D9)),"--",_xll.qlFuturesRateHelperConvexityAdjustment($D9)),_xll.qlSwapRateHelperSpread($D9))</f>
        <v>0</v>
      </c>
      <c r="H9" s="76">
        <f>_xll.qlRateHelperEarliestDate($D9)</f>
        <v>42263</v>
      </c>
      <c r="I9" s="77">
        <f>_xll.qlRateHelperLatestDate($D9)</f>
        <v>42354</v>
      </c>
      <c r="J9" s="63">
        <v>1.0069619243722072</v>
      </c>
      <c r="M9" s="68"/>
    </row>
    <row r="10" spans="1:13" x14ac:dyDescent="0.2">
      <c r="A10" s="130"/>
      <c r="D10" s="66" t="str">
        <v>obj_00361</v>
      </c>
      <c r="E10" s="66" t="str">
        <f>_xll.qlRateHelperQuoteName(D10)</f>
        <v>CHFFUT3MZ5_Quote</v>
      </c>
      <c r="F10" s="67">
        <f>_xll.qlRateHelperRate($D10)</f>
        <v>-8.1499999999998796E-3</v>
      </c>
      <c r="G10" s="67">
        <f>IF(ISERROR(_xll.qlSwapRateHelperSpread($D10)),IF(ISERROR(_xll.qlFuturesRateHelperConvexityAdjustment($D10)),"--",_xll.qlFuturesRateHelperConvexityAdjustment($D10)),_xll.qlSwapRateHelperSpread($D10))</f>
        <v>0</v>
      </c>
      <c r="H10" s="76">
        <f>_xll.qlRateHelperEarliestDate($D10)</f>
        <v>42354</v>
      </c>
      <c r="I10" s="77">
        <f>_xll.qlRateHelperLatestDate($D10)</f>
        <v>42445</v>
      </c>
      <c r="J10" s="63">
        <v>1.0089343911061601</v>
      </c>
      <c r="M10" s="68"/>
    </row>
    <row r="11" spans="1:13" x14ac:dyDescent="0.2">
      <c r="D11" s="66" t="str">
        <v>obj_00341</v>
      </c>
      <c r="E11" s="66" t="str">
        <f>_xll.qlRateHelperQuoteName(D11)</f>
        <v>CHFFUT3MH6_Quote</v>
      </c>
      <c r="F11" s="67">
        <f>_xll.qlRateHelperRate($D11)</f>
        <v>-7.6499999999999346E-3</v>
      </c>
      <c r="G11" s="67">
        <f>IF(ISERROR(_xll.qlSwapRateHelperSpread($D11)),IF(ISERROR(_xll.qlFuturesRateHelperConvexityAdjustment($D11)),"--",_xll.qlFuturesRateHelperConvexityAdjustment($D11)),_xll.qlSwapRateHelperSpread($D11))</f>
        <v>0</v>
      </c>
      <c r="H11" s="76">
        <f>_xll.qlRateHelperEarliestDate($D11)</f>
        <v>42445</v>
      </c>
      <c r="I11" s="77">
        <f>_xll.qlRateHelperLatestDate($D11)</f>
        <v>42537</v>
      </c>
      <c r="J11" s="63">
        <v>1.0107218987773441</v>
      </c>
      <c r="M11" s="68"/>
    </row>
    <row r="12" spans="1:13" x14ac:dyDescent="0.2">
      <c r="A12" s="72"/>
      <c r="D12" s="66" t="str">
        <v>obj_00349</v>
      </c>
      <c r="E12" s="66" t="str">
        <f>_xll.qlRateHelperQuoteName(D12)</f>
        <v>CHFFUT3MM6_Quote</v>
      </c>
      <c r="F12" s="67">
        <f>_xll.qlRateHelperRate($D12)</f>
        <v>-7.0000000000001172E-3</v>
      </c>
      <c r="G12" s="67">
        <f>IF(ISERROR(_xll.qlSwapRateHelperSpread($D12)),IF(ISERROR(_xll.qlFuturesRateHelperConvexityAdjustment($D12)),"--",_xll.qlFuturesRateHelperConvexityAdjustment($D12)),_xll.qlSwapRateHelperSpread($D12))</f>
        <v>0</v>
      </c>
      <c r="H12" s="76">
        <f>_xll.qlRateHelperEarliestDate($D12)</f>
        <v>42536</v>
      </c>
      <c r="I12" s="77">
        <f>_xll.qlRateHelperLatestDate($D12)</f>
        <v>42628</v>
      </c>
      <c r="J12" s="63">
        <v>1.0124594348029581</v>
      </c>
      <c r="M12" s="68"/>
    </row>
    <row r="13" spans="1:13" x14ac:dyDescent="0.2">
      <c r="A13" s="72"/>
      <c r="D13" s="66" t="str">
        <v>obj_0035d</v>
      </c>
      <c r="E13" s="66" t="str">
        <f>_xll.qlRateHelperQuoteName(D13)</f>
        <v>CHFFUT3MU6_Quote</v>
      </c>
      <c r="F13" s="67">
        <f>_xll.qlRateHelperRate($D13)</f>
        <v>-6.3499999999998558E-3</v>
      </c>
      <c r="G13" s="67">
        <f>IF(ISERROR(_xll.qlSwapRateHelperSpread($D13)),IF(ISERROR(_xll.qlFuturesRateHelperConvexityAdjustment($D13)),"--",_xll.qlFuturesRateHelperConvexityAdjustment($D13)),_xll.qlSwapRateHelperSpread($D13))</f>
        <v>0</v>
      </c>
      <c r="H13" s="76">
        <f>_xll.qlRateHelperEarliestDate($D13)</f>
        <v>42634</v>
      </c>
      <c r="I13" s="77">
        <f>_xll.qlRateHelperLatestDate($D13)</f>
        <v>42725</v>
      </c>
      <c r="J13" s="63">
        <v>1.0139042483574057</v>
      </c>
      <c r="M13" s="68"/>
    </row>
    <row r="14" spans="1:13" x14ac:dyDescent="0.2">
      <c r="D14" s="66" t="str">
        <v>obj_00364</v>
      </c>
      <c r="E14" s="66" t="str">
        <f>_xll.qlRateHelperQuoteName(D14)</f>
        <v>CHFFUT3MZ6_Quote</v>
      </c>
      <c r="F14" s="67">
        <f>_xll.qlRateHelperRate($D14)</f>
        <v>-5.7000000000000384E-3</v>
      </c>
      <c r="G14" s="67">
        <f>IF(ISERROR(_xll.qlSwapRateHelperSpread($D14)),IF(ISERROR(_xll.qlFuturesRateHelperConvexityAdjustment($D14)),"--",_xll.qlFuturesRateHelperConvexityAdjustment($D14)),_xll.qlSwapRateHelperSpread($D14))</f>
        <v>0</v>
      </c>
      <c r="H14" s="76">
        <f>_xll.qlRateHelperEarliestDate($D14)</f>
        <v>42725</v>
      </c>
      <c r="I14" s="77">
        <f>_xll.qlRateHelperLatestDate($D14)</f>
        <v>42815</v>
      </c>
      <c r="J14" s="63">
        <v>1.0151111465129958</v>
      </c>
      <c r="M14" s="68"/>
    </row>
    <row r="15" spans="1:13" x14ac:dyDescent="0.2">
      <c r="D15" s="66" t="str">
        <v>obj_00348</v>
      </c>
      <c r="E15" s="66" t="str">
        <f>_xll.qlRateHelperQuoteName(D15)</f>
        <v>CHFFUT3MH7_Quote</v>
      </c>
      <c r="F15" s="67">
        <f>_xll.qlRateHelperRate($D15)</f>
        <v>-4.9999999999998934E-3</v>
      </c>
      <c r="G15" s="67">
        <f>IF(ISERROR(_xll.qlSwapRateHelperSpread($D15)),IF(ISERROR(_xll.qlFuturesRateHelperConvexityAdjustment($D15)),"--",_xll.qlFuturesRateHelperConvexityAdjustment($D15)),_xll.qlSwapRateHelperSpread($D15))</f>
        <v>0</v>
      </c>
      <c r="H15" s="76">
        <f>_xll.qlRateHelperEarliestDate($D15)</f>
        <v>42809</v>
      </c>
      <c r="I15" s="77">
        <f>_xll.qlRateHelperLatestDate($D15)</f>
        <v>42901</v>
      </c>
      <c r="J15" s="63">
        <v>1.0186827569343524</v>
      </c>
      <c r="M15" s="68"/>
    </row>
    <row r="16" spans="1:13" x14ac:dyDescent="0.2">
      <c r="D16" s="66" t="str">
        <v>obj_00335</v>
      </c>
      <c r="E16" s="66" t="str">
        <f>_xll.qlRateHelperQuoteName(D16)</f>
        <v>CHFAB3L3Y_Quote</v>
      </c>
      <c r="F16" s="67">
        <f>_xll.qlRateHelperRate($D16)</f>
        <v>-6.1500000000000001E-3</v>
      </c>
      <c r="G16" s="67">
        <f>IF(ISERROR(_xll.qlSwapRateHelperSpread($D16)),IF(ISERROR(_xll.qlFuturesRateHelperConvexityAdjustment($D16)),"--",_xll.qlFuturesRateHelperConvexityAdjustment($D16)),_xll.qlSwapRateHelperSpread($D16))</f>
        <v>0</v>
      </c>
      <c r="H16" s="76">
        <f>_xll.qlRateHelperEarliestDate($D16)</f>
        <v>42139</v>
      </c>
      <c r="I16" s="77">
        <f>_xll.qlRateHelperLatestDate($D16)</f>
        <v>43235</v>
      </c>
      <c r="J16" s="63">
        <v>1.0192596197749144</v>
      </c>
      <c r="M16" s="68"/>
    </row>
    <row r="17" spans="4:13" x14ac:dyDescent="0.2">
      <c r="D17" s="66" t="str">
        <v>obj_0033e</v>
      </c>
      <c r="E17" s="66" t="str">
        <f>_xll.qlRateHelperQuoteName(D17)</f>
        <v>CHFAB3L4Y_Quote</v>
      </c>
      <c r="F17" s="67">
        <f>_xll.qlRateHelperRate($D17)</f>
        <v>-4.7499999999999999E-3</v>
      </c>
      <c r="G17" s="67">
        <f>IF(ISERROR(_xll.qlSwapRateHelperSpread($D17)),IF(ISERROR(_xll.qlFuturesRateHelperConvexityAdjustment($D17)),"--",_xll.qlFuturesRateHelperConvexityAdjustment($D17)),_xll.qlSwapRateHelperSpread($D17))</f>
        <v>0</v>
      </c>
      <c r="H17" s="76">
        <f>_xll.qlRateHelperEarliestDate($D17)</f>
        <v>42139</v>
      </c>
      <c r="I17" s="77">
        <f>_xll.qlRateHelperLatestDate($D17)</f>
        <v>43600</v>
      </c>
      <c r="J17" s="63">
        <v>1.016469197087422</v>
      </c>
      <c r="M17" s="68"/>
    </row>
    <row r="18" spans="4:13" x14ac:dyDescent="0.2">
      <c r="D18" s="66" t="str">
        <v>obj_00322</v>
      </c>
      <c r="E18" s="66" t="str">
        <f>_xll.qlRateHelperQuoteName(D18)</f>
        <v>CHFAB3L5Y_Quote</v>
      </c>
      <c r="F18" s="67">
        <f>_xll.qlRateHelperRate($D18)</f>
        <v>-3.2500000000000003E-3</v>
      </c>
      <c r="G18" s="67">
        <f>IF(ISERROR(_xll.qlSwapRateHelperSpread($D18)),IF(ISERROR(_xll.qlFuturesRateHelperConvexityAdjustment($D18)),"--",_xll.qlFuturesRateHelperConvexityAdjustment($D18)),_xll.qlSwapRateHelperSpread($D18))</f>
        <v>0</v>
      </c>
      <c r="H18" s="76">
        <f>_xll.qlRateHelperEarliestDate($D18)</f>
        <v>42139</v>
      </c>
      <c r="I18" s="77">
        <f>_xll.qlRateHelperLatestDate($D18)</f>
        <v>43966</v>
      </c>
      <c r="J18" s="63">
        <v>1.0107878920322786</v>
      </c>
      <c r="M18" s="68"/>
    </row>
    <row r="19" spans="4:13" x14ac:dyDescent="0.2">
      <c r="D19" s="66" t="str">
        <v>obj_0032c</v>
      </c>
      <c r="E19" s="66" t="str">
        <f>_xll.qlRateHelperQuoteName(D19)</f>
        <v>CHFAB3L6Y_Quote</v>
      </c>
      <c r="F19" s="67">
        <f>_xll.qlRateHelperRate($D19)</f>
        <v>-1.7749999999999999E-3</v>
      </c>
      <c r="G19" s="67">
        <f>IF(ISERROR(_xll.qlSwapRateHelperSpread($D19)),IF(ISERROR(_xll.qlFuturesRateHelperConvexityAdjustment($D19)),"--",_xll.qlFuturesRateHelperConvexityAdjustment($D19)),_xll.qlSwapRateHelperSpread($D19))</f>
        <v>0</v>
      </c>
      <c r="H19" s="76">
        <f>_xll.qlRateHelperEarliestDate($D19)</f>
        <v>42139</v>
      </c>
      <c r="I19" s="77">
        <f>_xll.qlRateHelperLatestDate($D19)</f>
        <v>44333</v>
      </c>
      <c r="J19" s="63">
        <v>1.0033528982143927</v>
      </c>
      <c r="M19" s="68"/>
    </row>
    <row r="20" spans="4:13" x14ac:dyDescent="0.2">
      <c r="D20" s="66" t="str">
        <v>obj_00326</v>
      </c>
      <c r="E20" s="66" t="str">
        <f>_xll.qlRateHelperQuoteName(D20)</f>
        <v>CHFAB3L7Y_Quote</v>
      </c>
      <c r="F20" s="67">
        <f>_xll.qlRateHelperRate($D20)</f>
        <v>-4.7500000000000005E-4</v>
      </c>
      <c r="G20" s="67">
        <f>IF(ISERROR(_xll.qlSwapRateHelperSpread($D20)),IF(ISERROR(_xll.qlFuturesRateHelperConvexityAdjustment($D20)),"--",_xll.qlFuturesRateHelperConvexityAdjustment($D20)),_xll.qlSwapRateHelperSpread($D20))</f>
        <v>0</v>
      </c>
      <c r="H20" s="76">
        <f>_xll.qlRateHelperEarliestDate($D20)</f>
        <v>42139</v>
      </c>
      <c r="I20" s="77">
        <f>_xll.qlRateHelperLatestDate($D20)</f>
        <v>44697</v>
      </c>
      <c r="J20" s="63">
        <v>0.99474638682129224</v>
      </c>
      <c r="M20" s="68"/>
    </row>
    <row r="21" spans="4:13" x14ac:dyDescent="0.2">
      <c r="D21" s="66" t="str">
        <v>obj_00323</v>
      </c>
      <c r="E21" s="66" t="str">
        <f>_xll.qlRateHelperQuoteName(D21)</f>
        <v>CHFAB3L8Y_Quote</v>
      </c>
      <c r="F21" s="67">
        <f>_xll.qlRateHelperRate($D21)</f>
        <v>6.4999999999999997E-4</v>
      </c>
      <c r="G21" s="67">
        <f>IF(ISERROR(_xll.qlSwapRateHelperSpread($D21)),IF(ISERROR(_xll.qlFuturesRateHelperConvexityAdjustment($D21)),"--",_xll.qlFuturesRateHelperConvexityAdjustment($D21)),_xll.qlSwapRateHelperSpread($D21))</f>
        <v>0</v>
      </c>
      <c r="H21" s="76">
        <f>_xll.qlRateHelperEarliestDate($D21)</f>
        <v>42139</v>
      </c>
      <c r="I21" s="77">
        <f>_xll.qlRateHelperLatestDate($D21)</f>
        <v>45061</v>
      </c>
      <c r="J21" s="63">
        <v>0.98551189980794485</v>
      </c>
      <c r="M21" s="68"/>
    </row>
    <row r="22" spans="4:13" x14ac:dyDescent="0.2">
      <c r="D22" s="66" t="str">
        <v>obj_00337</v>
      </c>
      <c r="E22" s="66" t="str">
        <f>_xll.qlRateHelperQuoteName(D22)</f>
        <v>CHFAB3L9Y_Quote</v>
      </c>
      <c r="F22" s="67">
        <f>_xll.qlRateHelperRate($D22)</f>
        <v>1.6000000000000001E-3</v>
      </c>
      <c r="G22" s="67">
        <f>IF(ISERROR(_xll.qlSwapRateHelperSpread($D22)),IF(ISERROR(_xll.qlFuturesRateHelperConvexityAdjustment($D22)),"--",_xll.qlFuturesRateHelperConvexityAdjustment($D22)),_xll.qlSwapRateHelperSpread($D22))</f>
        <v>0</v>
      </c>
      <c r="H22" s="76">
        <f>_xll.qlRateHelperEarliestDate($D22)</f>
        <v>42139</v>
      </c>
      <c r="I22" s="77">
        <f>_xll.qlRateHelperLatestDate($D22)</f>
        <v>45427</v>
      </c>
      <c r="J22" s="63">
        <v>0.97593848557749274</v>
      </c>
      <c r="M22" s="68"/>
    </row>
    <row r="23" spans="4:13" x14ac:dyDescent="0.2">
      <c r="D23" s="66" t="str">
        <v>obj_00329</v>
      </c>
      <c r="E23" s="66" t="str">
        <f>_xll.qlRateHelperQuoteName(D23)</f>
        <v>CHFAB3L10Y_Quote</v>
      </c>
      <c r="F23" s="67">
        <f>_xll.qlRateHelperRate($D23)</f>
        <v>2.4000000000000002E-3</v>
      </c>
      <c r="G23" s="67">
        <f>IF(ISERROR(_xll.qlSwapRateHelperSpread($D23)),IF(ISERROR(_xll.qlFuturesRateHelperConvexityAdjustment($D23)),"--",_xll.qlFuturesRateHelperConvexityAdjustment($D23)),_xll.qlSwapRateHelperSpread($D23))</f>
        <v>0</v>
      </c>
      <c r="H23" s="76">
        <f>_xll.qlRateHelperEarliestDate($D23)</f>
        <v>42139</v>
      </c>
      <c r="I23" s="77">
        <f>_xll.qlRateHelperLatestDate($D23)</f>
        <v>45792</v>
      </c>
      <c r="J23" s="63">
        <v>0.96621120092043222</v>
      </c>
      <c r="M23" s="68"/>
    </row>
    <row r="24" spans="4:13" x14ac:dyDescent="0.2">
      <c r="D24" s="66" t="str">
        <v>obj_00325</v>
      </c>
      <c r="E24" s="66" t="str">
        <f>_xll.qlRateHelperQuoteName(D24)</f>
        <v>CHFAB3L11Y_Quote</v>
      </c>
      <c r="F24" s="67">
        <f>_xll.qlRateHelperRate($D24)</f>
        <v>3.075E-3</v>
      </c>
      <c r="G24" s="67">
        <f>IF(ISERROR(_xll.qlSwapRateHelperSpread($D24)),IF(ISERROR(_xll.qlFuturesRateHelperConvexityAdjustment($D24)),"--",_xll.qlFuturesRateHelperConvexityAdjustment($D24)),_xll.qlSwapRateHelperSpread($D24))</f>
        <v>0</v>
      </c>
      <c r="H24" s="76">
        <f>_xll.qlRateHelperEarliestDate($D24)</f>
        <v>42139</v>
      </c>
      <c r="I24" s="77">
        <f>_xll.qlRateHelperLatestDate($D24)</f>
        <v>46157</v>
      </c>
      <c r="J24" s="63">
        <v>0.95639258980530939</v>
      </c>
      <c r="M24" s="68"/>
    </row>
    <row r="25" spans="4:13" x14ac:dyDescent="0.2">
      <c r="D25" s="66" t="str">
        <v>obj_0032f</v>
      </c>
      <c r="E25" s="66" t="str">
        <f>_xll.qlRateHelperQuoteName(D25)</f>
        <v>CHFAB3L12Y_Quote</v>
      </c>
      <c r="F25" s="67">
        <f>_xll.qlRateHelperRate($D25)</f>
        <v>3.65E-3</v>
      </c>
      <c r="G25" s="67">
        <f>IF(ISERROR(_xll.qlSwapRateHelperSpread($D25)),IF(ISERROR(_xll.qlFuturesRateHelperConvexityAdjustment($D25)),"--",_xll.qlFuturesRateHelperConvexityAdjustment($D25)),_xll.qlSwapRateHelperSpread($D25))</f>
        <v>0</v>
      </c>
      <c r="H25" s="76">
        <f>_xll.qlRateHelperEarliestDate($D25)</f>
        <v>42139</v>
      </c>
      <c r="I25" s="77">
        <f>_xll.qlRateHelperLatestDate($D25)</f>
        <v>46524</v>
      </c>
      <c r="J25" s="63">
        <v>0.92664538920387352</v>
      </c>
      <c r="M25" s="68"/>
    </row>
    <row r="26" spans="4:13" x14ac:dyDescent="0.2">
      <c r="D26" s="66" t="str">
        <v>obj_0033b</v>
      </c>
      <c r="E26" s="66" t="str">
        <f>_xll.qlRateHelperQuoteName(D26)</f>
        <v>CHFAB3L15Y_Quote</v>
      </c>
      <c r="F26" s="67">
        <f>_xll.qlRateHelperRate($D26)</f>
        <v>4.9750000000000003E-3</v>
      </c>
      <c r="G26" s="67">
        <f>IF(ISERROR(_xll.qlSwapRateHelperSpread($D26)),IF(ISERROR(_xll.qlFuturesRateHelperConvexityAdjustment($D26)),"--",_xll.qlFuturesRateHelperConvexityAdjustment($D26)),_xll.qlSwapRateHelperSpread($D26))</f>
        <v>0</v>
      </c>
      <c r="H26" s="76">
        <f>_xll.qlRateHelperEarliestDate($D26)</f>
        <v>42139</v>
      </c>
      <c r="I26" s="77">
        <f>_xll.qlRateHelperLatestDate($D26)</f>
        <v>47618</v>
      </c>
      <c r="J26" s="63">
        <v>0.87841424373895438</v>
      </c>
      <c r="M26" s="68"/>
    </row>
    <row r="27" spans="4:13" x14ac:dyDescent="0.2">
      <c r="D27" s="66" t="str">
        <v>obj_0031d</v>
      </c>
      <c r="E27" s="66" t="str">
        <f>_xll.qlRateHelperQuoteName(D27)</f>
        <v>CHFAB3L20Y_Quote</v>
      </c>
      <c r="F27" s="67">
        <f>_xll.qlRateHelperRate($D27)</f>
        <v>6.3250000000000008E-3</v>
      </c>
      <c r="G27" s="67">
        <f>IF(ISERROR(_xll.qlSwapRateHelperSpread($D27)),IF(ISERROR(_xll.qlFuturesRateHelperConvexityAdjustment($D27)),"--",_xll.qlFuturesRateHelperConvexityAdjustment($D27)),_xll.qlSwapRateHelperSpread($D27))</f>
        <v>0</v>
      </c>
      <c r="H27" s="76">
        <f>_xll.qlRateHelperEarliestDate($D27)</f>
        <v>42139</v>
      </c>
      <c r="I27" s="77">
        <f>_xll.qlRateHelperLatestDate($D27)</f>
        <v>49444</v>
      </c>
      <c r="J27" s="63">
        <v>0.83220867603873394</v>
      </c>
      <c r="M27" s="68"/>
    </row>
    <row r="28" spans="4:13" x14ac:dyDescent="0.2">
      <c r="D28" s="66" t="str">
        <v>obj_00340</v>
      </c>
      <c r="E28" s="66" t="str">
        <f>_xll.qlRateHelperQuoteName(D28)</f>
        <v>CHFAB3L25Y_Quote</v>
      </c>
      <c r="F28" s="67">
        <f>_xll.qlRateHelperRate($D28)</f>
        <v>7.150000000000001E-3</v>
      </c>
      <c r="G28" s="67">
        <f>IF(ISERROR(_xll.qlSwapRateHelperSpread($D28)),IF(ISERROR(_xll.qlFuturesRateHelperConvexityAdjustment($D28)),"--",_xll.qlFuturesRateHelperConvexityAdjustment($D28)),_xll.qlSwapRateHelperSpread($D28))</f>
        <v>0</v>
      </c>
      <c r="H28" s="76">
        <f>_xll.qlRateHelperEarliestDate($D28)</f>
        <v>42139</v>
      </c>
      <c r="I28" s="77">
        <f>_xll.qlRateHelperLatestDate($D28)</f>
        <v>51271</v>
      </c>
      <c r="J28" s="63">
        <v>0.79169697759761182</v>
      </c>
      <c r="M28" s="68"/>
    </row>
    <row r="29" spans="4:13" x14ac:dyDescent="0.2">
      <c r="D29" s="66" t="str">
        <v>obj_00321</v>
      </c>
      <c r="E29" s="66" t="str">
        <f>_xll.qlRateHelperQuoteName(D29)</f>
        <v>CHFAB3L30Y_Quote</v>
      </c>
      <c r="F29" s="67">
        <f>_xll.qlRateHelperRate($D29)</f>
        <v>7.575000000000001E-3</v>
      </c>
      <c r="G29" s="67">
        <f>IF(ISERROR(_xll.qlSwapRateHelperSpread($D29)),IF(ISERROR(_xll.qlFuturesRateHelperConvexityAdjustment($D29)),"--",_xll.qlFuturesRateHelperConvexityAdjustment($D29)),_xll.qlSwapRateHelperSpread($D29))</f>
        <v>0</v>
      </c>
      <c r="H29" s="76">
        <f>_xll.qlRateHelperEarliestDate($D29)</f>
        <v>42139</v>
      </c>
      <c r="I29" s="77">
        <f>_xll.qlRateHelperLatestDate($D29)</f>
        <v>53097</v>
      </c>
      <c r="J29" s="63" t="e">
        <v>#N/A</v>
      </c>
      <c r="M29" s="68"/>
    </row>
    <row r="30" spans="4:13" x14ac:dyDescent="0.2">
      <c r="D30" s="66" t="e">
        <v>#N/A</v>
      </c>
      <c r="E30" s="66" t="e">
        <f>_xll.qlRateHelperQuoteName(D30)</f>
        <v>#VALUE!</v>
      </c>
      <c r="F30" s="67" t="e">
        <f>_xll.qlRateHelperRate($D30)</f>
        <v>#VALUE!</v>
      </c>
      <c r="G30" s="67" t="str">
        <f>IF(ISERROR(_xll.qlSwapRateHelperSpread($D30)),IF(ISERROR(_xll.qlFuturesRateHelperConvexityAdjustment($D30)),"--",_xll.qlFuturesRateHelperConvexityAdjustment($D30)),_xll.qlSwapRateHelperSpread($D30))</f>
        <v>--</v>
      </c>
      <c r="H30" s="76" t="e">
        <f>_xll.qlRateHelperEarliestDate($D30)</f>
        <v>#VALUE!</v>
      </c>
      <c r="I30" s="77" t="e">
        <f>_xll.qlRateHelperLatestDate($D30)</f>
        <v>#VALUE!</v>
      </c>
      <c r="J30" s="63" t="e">
        <v>#N/A</v>
      </c>
    </row>
    <row r="31" spans="4:13" x14ac:dyDescent="0.2">
      <c r="D31" s="66" t="e">
        <v>#N/A</v>
      </c>
      <c r="E31" s="66" t="e">
        <f>_xll.qlRateHelperQuoteName(D31)</f>
        <v>#VALUE!</v>
      </c>
      <c r="F31" s="67" t="e">
        <f>_xll.qlRateHelperRate($D31)</f>
        <v>#VALUE!</v>
      </c>
      <c r="G31" s="67" t="str">
        <f>IF(ISERROR(_xll.qlSwapRateHelperSpread($D31)),IF(ISERROR(_xll.qlFuturesRateHelperConvexityAdjustment($D31)),"--",_xll.qlFuturesRateHelperConvexityAdjustment($D31)),_xll.qlSwapRateHelperSpread($D31))</f>
        <v>--</v>
      </c>
      <c r="H31" s="76" t="e">
        <f>_xll.qlRateHelperEarliestDate($D31)</f>
        <v>#VALUE!</v>
      </c>
      <c r="I31" s="77" t="e">
        <f>_xll.qlRateHelperLatestDate($D31)</f>
        <v>#VALUE!</v>
      </c>
      <c r="J31" s="63" t="e">
        <v>#N/A</v>
      </c>
    </row>
    <row r="32" spans="4:13" x14ac:dyDescent="0.2">
      <c r="D32" s="66" t="e">
        <v>#N/A</v>
      </c>
      <c r="E32" s="66" t="e">
        <f>_xll.qlRateHelperQuoteName(D32)</f>
        <v>#VALUE!</v>
      </c>
      <c r="F32" s="67" t="e">
        <f>_xll.qlRateHelperRate($D32)</f>
        <v>#VALUE!</v>
      </c>
      <c r="G32" s="67" t="str">
        <f>IF(ISERROR(_xll.qlSwapRateHelperSpread($D32)),IF(ISERROR(_xll.qlFuturesRateHelperConvexityAdjustment($D32)),"--",_xll.qlFuturesRateHelperConvexityAdjustment($D32)),_xll.qlSwapRateHelperSpread($D32))</f>
        <v>--</v>
      </c>
      <c r="H32" s="76" t="e">
        <f>_xll.qlRateHelperEarliestDate($D32)</f>
        <v>#VALUE!</v>
      </c>
      <c r="I32" s="77" t="e">
        <f>_xll.qlRateHelperLatestDate($D32)</f>
        <v>#VALUE!</v>
      </c>
      <c r="J32" s="63" t="e">
        <v>#N/A</v>
      </c>
    </row>
    <row r="33" spans="4:10" x14ac:dyDescent="0.2">
      <c r="D33" s="66" t="e">
        <v>#N/A</v>
      </c>
      <c r="E33" s="66" t="e">
        <f>_xll.qlRateHelperQuoteName(D33)</f>
        <v>#VALUE!</v>
      </c>
      <c r="F33" s="67" t="e">
        <f>_xll.qlRateHelperRate($D33)</f>
        <v>#VALUE!</v>
      </c>
      <c r="G33" s="67" t="str">
        <f>IF(ISERROR(_xll.qlSwapRateHelperSpread($D33)),IF(ISERROR(_xll.qlFuturesRateHelperConvexityAdjustment($D33)),"--",_xll.qlFuturesRateHelperConvexityAdjustment($D33)),_xll.qlSwapRateHelperSpread($D33))</f>
        <v>--</v>
      </c>
      <c r="H33" s="76" t="e">
        <f>_xll.qlRateHelperEarliestDate($D33)</f>
        <v>#VALUE!</v>
      </c>
      <c r="I33" s="77" t="e">
        <f>_xll.qlRateHelperLatestDate($D33)</f>
        <v>#VALUE!</v>
      </c>
      <c r="J33" s="63" t="e">
        <v>#N/A</v>
      </c>
    </row>
    <row r="34" spans="4:10" x14ac:dyDescent="0.2">
      <c r="D34" s="66" t="e">
        <v>#N/A</v>
      </c>
      <c r="E34" s="66" t="e">
        <f>_xll.qlRateHelperQuoteName(D34)</f>
        <v>#VALUE!</v>
      </c>
      <c r="F34" s="67" t="e">
        <f>_xll.qlRateHelperRate($D34)</f>
        <v>#VALUE!</v>
      </c>
      <c r="G34" s="67" t="str">
        <f>IF(ISERROR(_xll.qlSwapRateHelperSpread($D34)),IF(ISERROR(_xll.qlFuturesRateHelperConvexityAdjustment($D34)),"--",_xll.qlFuturesRateHelperConvexityAdjustment($D34)),_xll.qlSwapRateHelperSpread($D34))</f>
        <v>--</v>
      </c>
      <c r="H34" s="76" t="e">
        <f>_xll.qlRateHelperEarliestDate($D34)</f>
        <v>#VALUE!</v>
      </c>
      <c r="I34" s="77" t="e">
        <f>_xll.qlRateHelperLatestDate($D34)</f>
        <v>#VALUE!</v>
      </c>
      <c r="J34" s="63" t="e">
        <v>#N/A</v>
      </c>
    </row>
    <row r="35" spans="4:10" x14ac:dyDescent="0.2">
      <c r="D35" s="66" t="e">
        <v>#N/A</v>
      </c>
      <c r="E35" s="66" t="e">
        <f>_xll.qlRateHelperQuoteName(D35)</f>
        <v>#VALUE!</v>
      </c>
      <c r="F35" s="67" t="e">
        <f>_xll.qlRateHelperRate($D35)</f>
        <v>#VALUE!</v>
      </c>
      <c r="G35" s="67" t="str">
        <f>IF(ISERROR(_xll.qlSwapRateHelperSpread($D35)),IF(ISERROR(_xll.qlFuturesRateHelperConvexityAdjustment($D35)),"--",_xll.qlFuturesRateHelperConvexityAdjustment($D35)),_xll.qlSwapRateHelperSpread($D35))</f>
        <v>--</v>
      </c>
      <c r="H35" s="76" t="e">
        <f>_xll.qlRateHelperEarliestDate($D35)</f>
        <v>#VALUE!</v>
      </c>
      <c r="I35" s="77" t="e">
        <f>_xll.qlRateHelperLatestDate($D35)</f>
        <v>#VALUE!</v>
      </c>
      <c r="J35" s="63" t="e">
        <v>#N/A</v>
      </c>
    </row>
    <row r="36" spans="4:10" x14ac:dyDescent="0.2">
      <c r="D36" s="66" t="e">
        <v>#N/A</v>
      </c>
      <c r="E36" s="66" t="e">
        <f>_xll.qlRateHelperQuoteName(D36)</f>
        <v>#VALUE!</v>
      </c>
      <c r="F36" s="67" t="e">
        <f>_xll.qlRateHelperRate($D36)</f>
        <v>#VALUE!</v>
      </c>
      <c r="G36" s="67" t="str">
        <f>IF(ISERROR(_xll.qlSwapRateHelperSpread($D36)),IF(ISERROR(_xll.qlFuturesRateHelperConvexityAdjustment($D36)),"--",_xll.qlFuturesRateHelperConvexityAdjustment($D36)),_xll.qlSwapRateHelperSpread($D36))</f>
        <v>--</v>
      </c>
      <c r="H36" s="76" t="e">
        <f>_xll.qlRateHelperEarliestDate($D36)</f>
        <v>#VALUE!</v>
      </c>
      <c r="I36" s="77" t="e">
        <f>_xll.qlRateHelperLatestDate($D36)</f>
        <v>#VALUE!</v>
      </c>
      <c r="J36" s="63" t="e">
        <v>#N/A</v>
      </c>
    </row>
    <row r="37" spans="4:10" x14ac:dyDescent="0.2">
      <c r="D37" s="66" t="e">
        <v>#N/A</v>
      </c>
      <c r="E37" s="66" t="e">
        <f>_xll.qlRateHelperQuoteName(D37)</f>
        <v>#VALUE!</v>
      </c>
      <c r="F37" s="67" t="e">
        <f>_xll.qlRateHelperRate($D37)</f>
        <v>#VALUE!</v>
      </c>
      <c r="G37" s="67" t="str">
        <f>IF(ISERROR(_xll.qlSwapRateHelperSpread($D37)),IF(ISERROR(_xll.qlFuturesRateHelperConvexityAdjustment($D37)),"--",_xll.qlFuturesRateHelperConvexityAdjustment($D37)),_xll.qlSwapRateHelperSpread($D37))</f>
        <v>--</v>
      </c>
      <c r="H37" s="76" t="e">
        <f>_xll.qlRateHelperEarliestDate($D37)</f>
        <v>#VALUE!</v>
      </c>
      <c r="I37" s="77" t="e">
        <f>_xll.qlRateHelperLatestDate($D37)</f>
        <v>#VALUE!</v>
      </c>
      <c r="J37" s="63" t="e">
        <v>#N/A</v>
      </c>
    </row>
    <row r="38" spans="4:10" x14ac:dyDescent="0.2">
      <c r="D38" s="66" t="e">
        <v>#N/A</v>
      </c>
      <c r="E38" s="66" t="e">
        <f>_xll.qlRateHelperQuoteName(D38)</f>
        <v>#VALUE!</v>
      </c>
      <c r="F38" s="67" t="e">
        <f>_xll.qlRateHelperRate($D38)</f>
        <v>#VALUE!</v>
      </c>
      <c r="G38" s="67" t="str">
        <f>IF(ISERROR(_xll.qlSwapRateHelperSpread($D38)),IF(ISERROR(_xll.qlFuturesRateHelperConvexityAdjustment($D38)),"--",_xll.qlFuturesRateHelperConvexityAdjustment($D38)),_xll.qlSwapRateHelperSpread($D38))</f>
        <v>--</v>
      </c>
      <c r="H38" s="76" t="e">
        <f>_xll.qlRateHelperEarliestDate($D38)</f>
        <v>#VALUE!</v>
      </c>
      <c r="I38" s="77" t="e">
        <f>_xll.qlRateHelperLatestDate($D38)</f>
        <v>#VALUE!</v>
      </c>
      <c r="J38" s="63" t="e">
        <v>#N/A</v>
      </c>
    </row>
    <row r="39" spans="4:10" x14ac:dyDescent="0.2">
      <c r="D39" s="66" t="e">
        <v>#N/A</v>
      </c>
      <c r="E39" s="66" t="e">
        <f>_xll.qlRateHelperQuoteName(D39)</f>
        <v>#VALUE!</v>
      </c>
      <c r="F39" s="67" t="e">
        <f>_xll.qlRateHelperRate($D39)</f>
        <v>#VALUE!</v>
      </c>
      <c r="G39" s="67" t="str">
        <f>IF(ISERROR(_xll.qlSwapRateHelperSpread($D39)),IF(ISERROR(_xll.qlFuturesRateHelperConvexityAdjustment($D39)),"--",_xll.qlFuturesRateHelperConvexityAdjustment($D39)),_xll.qlSwapRateHelperSpread($D39))</f>
        <v>--</v>
      </c>
      <c r="H39" s="76" t="e">
        <f>_xll.qlRateHelperEarliestDate($D39)</f>
        <v>#VALUE!</v>
      </c>
      <c r="I39" s="77" t="e">
        <f>_xll.qlRateHelperLatestDate($D39)</f>
        <v>#VALUE!</v>
      </c>
      <c r="J39" s="63" t="e">
        <v>#N/A</v>
      </c>
    </row>
    <row r="40" spans="4:10" x14ac:dyDescent="0.2">
      <c r="D40" s="66" t="e">
        <v>#N/A</v>
      </c>
      <c r="E40" s="66" t="e">
        <f>_xll.qlRateHelperQuoteName(D40)</f>
        <v>#VALUE!</v>
      </c>
      <c r="F40" s="67" t="e">
        <f>_xll.qlRateHelperRate($D40)</f>
        <v>#VALUE!</v>
      </c>
      <c r="G40" s="67" t="str">
        <f>IF(ISERROR(_xll.qlSwapRateHelperSpread($D40)),IF(ISERROR(_xll.qlFuturesRateHelperConvexityAdjustment($D40)),"--",_xll.qlFuturesRateHelperConvexityAdjustment($D40)),_xll.qlSwapRateHelperSpread($D40))</f>
        <v>--</v>
      </c>
      <c r="H40" s="76" t="e">
        <f>_xll.qlRateHelperEarliestDate($D40)</f>
        <v>#VALUE!</v>
      </c>
      <c r="I40" s="77" t="e">
        <f>_xll.qlRateHelperLatestDate($D40)</f>
        <v>#VALUE!</v>
      </c>
      <c r="J40" s="63" t="e">
        <v>#N/A</v>
      </c>
    </row>
    <row r="41" spans="4:10" x14ac:dyDescent="0.2">
      <c r="D41" s="66" t="e">
        <v>#N/A</v>
      </c>
      <c r="E41" s="66" t="e">
        <f>_xll.qlRateHelperQuoteName(D41)</f>
        <v>#VALUE!</v>
      </c>
      <c r="F41" s="67" t="e">
        <f>_xll.qlRateHelperRate($D41)</f>
        <v>#VALUE!</v>
      </c>
      <c r="G41" s="67" t="str">
        <f>IF(ISERROR(_xll.qlSwapRateHelperSpread($D41)),IF(ISERROR(_xll.qlFuturesRateHelperConvexityAdjustment($D41)),"--",_xll.qlFuturesRateHelperConvexityAdjustment($D41)),_xll.qlSwapRateHelperSpread($D41))</f>
        <v>--</v>
      </c>
      <c r="H41" s="76" t="e">
        <f>_xll.qlRateHelperEarliestDate($D41)</f>
        <v>#VALUE!</v>
      </c>
      <c r="I41" s="77" t="e">
        <f>_xll.qlRateHelperLatestDate($D41)</f>
        <v>#VALUE!</v>
      </c>
      <c r="J41" s="63" t="e">
        <v>#N/A</v>
      </c>
    </row>
    <row r="42" spans="4:10" x14ac:dyDescent="0.2">
      <c r="D42" s="66" t="e">
        <v>#N/A</v>
      </c>
      <c r="E42" s="66" t="e">
        <f>_xll.qlRateHelperQuoteName(D42)</f>
        <v>#VALUE!</v>
      </c>
      <c r="F42" s="67" t="e">
        <f>_xll.qlRateHelperRate($D42)</f>
        <v>#VALUE!</v>
      </c>
      <c r="G42" s="67" t="str">
        <f>IF(ISERROR(_xll.qlSwapRateHelperSpread($D42)),IF(ISERROR(_xll.qlFuturesRateHelperConvexityAdjustment($D42)),"--",_xll.qlFuturesRateHelperConvexityAdjustment($D42)),_xll.qlSwapRateHelperSpread($D42))</f>
        <v>--</v>
      </c>
      <c r="H42" s="76" t="e">
        <f>_xll.qlRateHelperEarliestDate($D42)</f>
        <v>#VALUE!</v>
      </c>
      <c r="I42" s="77" t="e">
        <f>_xll.qlRateHelperLatestDate($D42)</f>
        <v>#VALUE!</v>
      </c>
      <c r="J42" s="63" t="e">
        <v>#N/A</v>
      </c>
    </row>
    <row r="43" spans="4:10" x14ac:dyDescent="0.2">
      <c r="D43" s="66" t="e">
        <v>#N/A</v>
      </c>
      <c r="E43" s="66" t="e">
        <f>_xll.qlRateHelperQuoteName(D43)</f>
        <v>#VALUE!</v>
      </c>
      <c r="F43" s="67" t="e">
        <f>_xll.qlRateHelperRate($D43)</f>
        <v>#VALUE!</v>
      </c>
      <c r="G43" s="67" t="str">
        <f>IF(ISERROR(_xll.qlSwapRateHelperSpread($D43)),IF(ISERROR(_xll.qlFuturesRateHelperConvexityAdjustment($D43)),"--",_xll.qlFuturesRateHelperConvexityAdjustment($D43)),_xll.qlSwapRateHelperSpread($D43))</f>
        <v>--</v>
      </c>
      <c r="H43" s="76" t="e">
        <f>_xll.qlRateHelperEarliestDate($D43)</f>
        <v>#VALUE!</v>
      </c>
      <c r="I43" s="77" t="e">
        <f>_xll.qlRateHelperLatestDate($D43)</f>
        <v>#VALUE!</v>
      </c>
      <c r="J43" s="63" t="e">
        <v>#N/A</v>
      </c>
    </row>
    <row r="44" spans="4:10" x14ac:dyDescent="0.2">
      <c r="D44" s="66" t="e">
        <v>#N/A</v>
      </c>
      <c r="E44" s="66" t="e">
        <f>_xll.qlRateHelperQuoteName(D44)</f>
        <v>#VALUE!</v>
      </c>
      <c r="F44" s="67" t="e">
        <f>_xll.qlRateHelperRate($D44)</f>
        <v>#VALUE!</v>
      </c>
      <c r="G44" s="67" t="str">
        <f>IF(ISERROR(_xll.qlSwapRateHelperSpread($D44)),IF(ISERROR(_xll.qlFuturesRateHelperConvexityAdjustment($D44)),"--",_xll.qlFuturesRateHelperConvexityAdjustment($D44)),_xll.qlSwapRateHelperSpread($D44))</f>
        <v>--</v>
      </c>
      <c r="H44" s="76" t="e">
        <f>_xll.qlRateHelperEarliestDate($D44)</f>
        <v>#VALUE!</v>
      </c>
      <c r="I44" s="77" t="e">
        <f>_xll.qlRateHelperLatestDate($D44)</f>
        <v>#VALUE!</v>
      </c>
      <c r="J44" s="63" t="e">
        <v>#N/A</v>
      </c>
    </row>
    <row r="45" spans="4:10" x14ac:dyDescent="0.2">
      <c r="D45" s="66" t="e">
        <v>#N/A</v>
      </c>
      <c r="E45" s="66" t="e">
        <f>_xll.qlRateHelperQuoteName(D45)</f>
        <v>#VALUE!</v>
      </c>
      <c r="F45" s="67" t="e">
        <f>_xll.qlRateHelperRate($D45)</f>
        <v>#VALUE!</v>
      </c>
      <c r="G45" s="67" t="str">
        <f>IF(ISERROR(_xll.qlSwapRateHelperSpread($D45)),IF(ISERROR(_xll.qlFuturesRateHelperConvexityAdjustment($D45)),"--",_xll.qlFuturesRateHelperConvexityAdjustment($D45)),_xll.qlSwapRateHelperSpread($D45))</f>
        <v>--</v>
      </c>
      <c r="H45" s="76" t="e">
        <f>_xll.qlRateHelperEarliestDate($D45)</f>
        <v>#VALUE!</v>
      </c>
      <c r="I45" s="77" t="e">
        <f>_xll.qlRateHelperLatestDate($D45)</f>
        <v>#VALUE!</v>
      </c>
      <c r="J45" s="63" t="e">
        <v>#N/A</v>
      </c>
    </row>
    <row r="46" spans="4:10" x14ac:dyDescent="0.2">
      <c r="D46" s="66" t="e">
        <v>#N/A</v>
      </c>
      <c r="E46" s="66" t="e">
        <f>_xll.qlRateHelperQuoteName(D46)</f>
        <v>#VALUE!</v>
      </c>
      <c r="F46" s="67" t="e">
        <f>_xll.qlRateHelperRate($D46)</f>
        <v>#VALUE!</v>
      </c>
      <c r="G46" s="67" t="str">
        <f>IF(ISERROR(_xll.qlSwapRateHelperSpread($D46)),IF(ISERROR(_xll.qlFuturesRateHelperConvexityAdjustment($D46)),"--",_xll.qlFuturesRateHelperConvexityAdjustment($D46)),_xll.qlSwapRateHelperSpread($D46))</f>
        <v>--</v>
      </c>
      <c r="H46" s="76" t="e">
        <f>_xll.qlRateHelperEarliestDate($D46)</f>
        <v>#VALUE!</v>
      </c>
      <c r="I46" s="77" t="e">
        <f>_xll.qlRateHelperLatestDate($D46)</f>
        <v>#VALUE!</v>
      </c>
      <c r="J46" s="63" t="e">
        <v>#N/A</v>
      </c>
    </row>
    <row r="47" spans="4:10" x14ac:dyDescent="0.2">
      <c r="D47" s="66" t="e">
        <v>#N/A</v>
      </c>
      <c r="E47" s="66" t="e">
        <f>_xll.qlRateHelperQuoteName(D47)</f>
        <v>#VALUE!</v>
      </c>
      <c r="F47" s="67" t="e">
        <f>_xll.qlRateHelperRate($D47)</f>
        <v>#VALUE!</v>
      </c>
      <c r="G47" s="67" t="str">
        <f>IF(ISERROR(_xll.qlSwapRateHelperSpread($D47)),IF(ISERROR(_xll.qlFuturesRateHelperConvexityAdjustment($D47)),"--",_xll.qlFuturesRateHelperConvexityAdjustment($D47)),_xll.qlSwapRateHelperSpread($D47))</f>
        <v>--</v>
      </c>
      <c r="H47" s="76" t="e">
        <f>_xll.qlRateHelperEarliestDate($D47)</f>
        <v>#VALUE!</v>
      </c>
      <c r="I47" s="77" t="e">
        <f>_xll.qlRateHelperLatestDate($D47)</f>
        <v>#VALUE!</v>
      </c>
      <c r="J47" s="63" t="e">
        <v>#N/A</v>
      </c>
    </row>
    <row r="48" spans="4:10" x14ac:dyDescent="0.2">
      <c r="D48" s="66" t="e">
        <v>#N/A</v>
      </c>
      <c r="E48" s="66" t="e">
        <f>_xll.qlRateHelperQuoteName(D48)</f>
        <v>#VALUE!</v>
      </c>
      <c r="F48" s="67" t="e">
        <f>_xll.qlRateHelperRate($D48)</f>
        <v>#VALUE!</v>
      </c>
      <c r="G48" s="67" t="str">
        <f>IF(ISERROR(_xll.qlSwapRateHelperSpread($D48)),IF(ISERROR(_xll.qlFuturesRateHelperConvexityAdjustment($D48)),"--",_xll.qlFuturesRateHelperConvexityAdjustment($D48)),_xll.qlSwapRateHelperSpread($D48))</f>
        <v>--</v>
      </c>
      <c r="H48" s="76" t="e">
        <f>_xll.qlRateHelperEarliestDate($D48)</f>
        <v>#VALUE!</v>
      </c>
      <c r="I48" s="77" t="e">
        <f>_xll.qlRateHelperLatestDate($D48)</f>
        <v>#VALUE!</v>
      </c>
      <c r="J48" s="63" t="e">
        <v>#N/A</v>
      </c>
    </row>
    <row r="49" spans="4:10" x14ac:dyDescent="0.2">
      <c r="D49" s="66" t="e">
        <v>#N/A</v>
      </c>
      <c r="E49" s="66" t="e">
        <f>_xll.qlRateHelperQuoteName(D49)</f>
        <v>#VALUE!</v>
      </c>
      <c r="F49" s="67" t="e">
        <f>_xll.qlRateHelperRate($D49)</f>
        <v>#VALUE!</v>
      </c>
      <c r="G49" s="67" t="str">
        <f>IF(ISERROR(_xll.qlSwapRateHelperSpread($D49)),IF(ISERROR(_xll.qlFuturesRateHelperConvexityAdjustment($D49)),"--",_xll.qlFuturesRateHelperConvexityAdjustment($D49)),_xll.qlSwapRateHelperSpread($D49))</f>
        <v>--</v>
      </c>
      <c r="H49" s="76" t="e">
        <f>_xll.qlRateHelperEarliestDate($D49)</f>
        <v>#VALUE!</v>
      </c>
      <c r="I49" s="77" t="e">
        <f>_xll.qlRateHelperLatestDate($D49)</f>
        <v>#VALUE!</v>
      </c>
      <c r="J49" s="63" t="e">
        <v>#N/A</v>
      </c>
    </row>
    <row r="50" spans="4:10" x14ac:dyDescent="0.2">
      <c r="D50" s="66" t="e">
        <v>#N/A</v>
      </c>
      <c r="E50" s="66" t="e">
        <f>_xll.qlRateHelperQuoteName(D50)</f>
        <v>#VALUE!</v>
      </c>
      <c r="F50" s="67" t="e">
        <f>_xll.qlRateHelperRate($D50)</f>
        <v>#VALUE!</v>
      </c>
      <c r="G50" s="67" t="str">
        <f>IF(ISERROR(_xll.qlSwapRateHelperSpread($D50)),IF(ISERROR(_xll.qlFuturesRateHelperConvexityAdjustment($D50)),"--",_xll.qlFuturesRateHelperConvexityAdjustment($D50)),_xll.qlSwapRateHelperSpread($D50))</f>
        <v>--</v>
      </c>
      <c r="H50" s="76" t="e">
        <f>_xll.qlRateHelperEarliestDate($D50)</f>
        <v>#VALUE!</v>
      </c>
      <c r="I50" s="77" t="e">
        <f>_xll.qlRateHelperLatestDate($D50)</f>
        <v>#VALUE!</v>
      </c>
      <c r="J50" s="63" t="e">
        <v>#N/A</v>
      </c>
    </row>
    <row r="51" spans="4:10" x14ac:dyDescent="0.2">
      <c r="D51" s="66" t="e">
        <v>#N/A</v>
      </c>
      <c r="E51" s="66" t="e">
        <f>_xll.qlRateHelperQuoteName(D51)</f>
        <v>#VALUE!</v>
      </c>
      <c r="F51" s="67" t="e">
        <f>_xll.qlRateHelperRate($D51)</f>
        <v>#VALUE!</v>
      </c>
      <c r="G51" s="67" t="str">
        <f>IF(ISERROR(_xll.qlSwapRateHelperSpread($D51)),IF(ISERROR(_xll.qlFuturesRateHelperConvexityAdjustment($D51)),"--",_xll.qlFuturesRateHelperConvexityAdjustment($D51)),_xll.qlSwapRateHelperSpread($D51))</f>
        <v>--</v>
      </c>
      <c r="H51" s="76" t="e">
        <f>_xll.qlRateHelperEarliestDate($D51)</f>
        <v>#VALUE!</v>
      </c>
      <c r="I51" s="77" t="e">
        <f>_xll.qlRateHelperLatestDate($D51)</f>
        <v>#VALUE!</v>
      </c>
      <c r="J51" s="63" t="e">
        <v>#N/A</v>
      </c>
    </row>
    <row r="52" spans="4:10" x14ac:dyDescent="0.2">
      <c r="D52" s="66" t="e">
        <v>#N/A</v>
      </c>
      <c r="E52" s="66" t="e">
        <f>_xll.qlRateHelperQuoteName(D52)</f>
        <v>#VALUE!</v>
      </c>
      <c r="F52" s="67" t="e">
        <f>_xll.qlRateHelperRate($D52)</f>
        <v>#VALUE!</v>
      </c>
      <c r="G52" s="67" t="str">
        <f>IF(ISERROR(_xll.qlSwapRateHelperSpread($D52)),IF(ISERROR(_xll.qlFuturesRateHelperConvexityAdjustment($D52)),"--",_xll.qlFuturesRateHelperConvexityAdjustment($D52)),_xll.qlSwapRateHelperSpread($D52))</f>
        <v>--</v>
      </c>
      <c r="H52" s="76" t="e">
        <f>_xll.qlRateHelperEarliestDate($D52)</f>
        <v>#VALUE!</v>
      </c>
      <c r="I52" s="77" t="e">
        <f>_xll.qlRateHelperLatestDate($D52)</f>
        <v>#VALUE!</v>
      </c>
      <c r="J52" s="63" t="e">
        <v>#N/A</v>
      </c>
    </row>
    <row r="53" spans="4:10" x14ac:dyDescent="0.2">
      <c r="D53" s="66" t="e">
        <v>#N/A</v>
      </c>
      <c r="E53" s="66" t="e">
        <f>_xll.qlRateHelperQuoteName(D53)</f>
        <v>#VALUE!</v>
      </c>
      <c r="F53" s="67" t="e">
        <f>_xll.qlRateHelperRate($D53)</f>
        <v>#VALUE!</v>
      </c>
      <c r="G53" s="67" t="str">
        <f>IF(ISERROR(_xll.qlSwapRateHelperSpread($D53)),IF(ISERROR(_xll.qlFuturesRateHelperConvexityAdjustment($D53)),"--",_xll.qlFuturesRateHelperConvexityAdjustment($D53)),_xll.qlSwapRateHelperSpread($D53))</f>
        <v>--</v>
      </c>
      <c r="H53" s="76" t="e">
        <f>_xll.qlRateHelperEarliestDate($D53)</f>
        <v>#VALUE!</v>
      </c>
      <c r="I53" s="77" t="e">
        <f>_xll.qlRateHelperLatestDate($D53)</f>
        <v>#VALUE!</v>
      </c>
      <c r="J53" s="63" t="e">
        <v>#N/A</v>
      </c>
    </row>
    <row r="54" spans="4:10" x14ac:dyDescent="0.2">
      <c r="D54" s="66" t="e">
        <v>#N/A</v>
      </c>
      <c r="E54" s="66" t="e">
        <f>_xll.qlRateHelperQuoteName(D54)</f>
        <v>#VALUE!</v>
      </c>
      <c r="F54" s="67" t="e">
        <f>_xll.qlRateHelperRate($D54)</f>
        <v>#VALUE!</v>
      </c>
      <c r="G54" s="67" t="str">
        <f>IF(ISERROR(_xll.qlSwapRateHelperSpread($D54)),IF(ISERROR(_xll.qlFuturesRateHelperConvexityAdjustment($D54)),"--",_xll.qlFuturesRateHelperConvexityAdjustment($D54)),_xll.qlSwapRateHelperSpread($D54))</f>
        <v>--</v>
      </c>
      <c r="H54" s="76" t="e">
        <f>_xll.qlRateHelperEarliestDate($D54)</f>
        <v>#VALUE!</v>
      </c>
      <c r="I54" s="77" t="e">
        <f>_xll.qlRateHelperLatestDate($D54)</f>
        <v>#VALUE!</v>
      </c>
      <c r="J54" s="63" t="e">
        <v>#N/A</v>
      </c>
    </row>
    <row r="55" spans="4:10" x14ac:dyDescent="0.2">
      <c r="D55" s="66" t="e">
        <v>#N/A</v>
      </c>
      <c r="E55" s="66" t="e">
        <f>_xll.qlRateHelperQuoteName(D55)</f>
        <v>#VALUE!</v>
      </c>
      <c r="F55" s="67" t="e">
        <f>_xll.qlRateHelperRate($D55)</f>
        <v>#VALUE!</v>
      </c>
      <c r="G55" s="67" t="str">
        <f>IF(ISERROR(_xll.qlSwapRateHelperSpread($D55)),IF(ISERROR(_xll.qlFuturesRateHelperConvexityAdjustment($D55)),"--",_xll.qlFuturesRateHelperConvexityAdjustment($D55)),_xll.qlSwapRateHelperSpread($D55))</f>
        <v>--</v>
      </c>
      <c r="H55" s="76" t="e">
        <f>_xll.qlRateHelperEarliestDate($D55)</f>
        <v>#VALUE!</v>
      </c>
      <c r="I55" s="77" t="e">
        <f>_xll.qlRateHelperLatestDate($D55)</f>
        <v>#VALUE!</v>
      </c>
      <c r="J55" s="63" t="e">
        <v>#N/A</v>
      </c>
    </row>
    <row r="56" spans="4:10" x14ac:dyDescent="0.2">
      <c r="D56" s="66" t="e">
        <v>#N/A</v>
      </c>
      <c r="E56" s="66" t="e">
        <f>_xll.qlRateHelperQuoteName(D56)</f>
        <v>#VALUE!</v>
      </c>
      <c r="F56" s="67" t="e">
        <f>_xll.qlRateHelperRate($D56)</f>
        <v>#VALUE!</v>
      </c>
      <c r="G56" s="67" t="str">
        <f>IF(ISERROR(_xll.qlSwapRateHelperSpread($D56)),IF(ISERROR(_xll.qlFuturesRateHelperConvexityAdjustment($D56)),"--",_xll.qlFuturesRateHelperConvexityAdjustment($D56)),_xll.qlSwapRateHelperSpread($D56))</f>
        <v>--</v>
      </c>
      <c r="H56" s="76" t="e">
        <f>_xll.qlRateHelperEarliestDate($D56)</f>
        <v>#VALUE!</v>
      </c>
      <c r="I56" s="77" t="e">
        <f>_xll.qlRateHelperLatestDate($D56)</f>
        <v>#VALUE!</v>
      </c>
      <c r="J56" s="63" t="e">
        <v>#N/A</v>
      </c>
    </row>
    <row r="57" spans="4:10" x14ac:dyDescent="0.2">
      <c r="D57" s="66" t="e">
        <v>#N/A</v>
      </c>
      <c r="E57" s="66" t="e">
        <f>_xll.qlRateHelperQuoteName(D57)</f>
        <v>#VALUE!</v>
      </c>
      <c r="F57" s="67" t="e">
        <f>_xll.qlRateHelperRate($D57)</f>
        <v>#VALUE!</v>
      </c>
      <c r="G57" s="67" t="str">
        <f>IF(ISERROR(_xll.qlSwapRateHelperSpread($D57)),IF(ISERROR(_xll.qlFuturesRateHelperConvexityAdjustment($D57)),"--",_xll.qlFuturesRateHelperConvexityAdjustment($D57)),_xll.qlSwapRateHelperSpread($D57))</f>
        <v>--</v>
      </c>
      <c r="H57" s="76" t="e">
        <f>_xll.qlRateHelperEarliestDate($D57)</f>
        <v>#VALUE!</v>
      </c>
      <c r="I57" s="77" t="e">
        <f>_xll.qlRateHelperLatestDate($D57)</f>
        <v>#VALUE!</v>
      </c>
      <c r="J57" s="63" t="e">
        <v>#N/A</v>
      </c>
    </row>
    <row r="58" spans="4:10" x14ac:dyDescent="0.2">
      <c r="D58" s="66" t="e">
        <v>#N/A</v>
      </c>
      <c r="E58" s="66" t="e">
        <f>_xll.qlRateHelperQuoteName(D58)</f>
        <v>#VALUE!</v>
      </c>
      <c r="F58" s="67" t="e">
        <f>_xll.qlRateHelperRate($D58)</f>
        <v>#VALUE!</v>
      </c>
      <c r="G58" s="67" t="str">
        <f>IF(ISERROR(_xll.qlSwapRateHelperSpread($D58)),IF(ISERROR(_xll.qlFuturesRateHelperConvexityAdjustment($D58)),"--",_xll.qlFuturesRateHelperConvexityAdjustment($D58)),_xll.qlSwapRateHelperSpread($D58))</f>
        <v>--</v>
      </c>
      <c r="H58" s="76" t="e">
        <f>_xll.qlRateHelperEarliestDate($D58)</f>
        <v>#VALUE!</v>
      </c>
      <c r="I58" s="77" t="e">
        <f>_xll.qlRateHelperLatestDate($D58)</f>
        <v>#VALUE!</v>
      </c>
      <c r="J58" s="63" t="e">
        <v>#N/A</v>
      </c>
    </row>
    <row r="59" spans="4:10" x14ac:dyDescent="0.2">
      <c r="D59" s="66" t="e">
        <v>#N/A</v>
      </c>
      <c r="E59" s="66" t="e">
        <f>_xll.qlRateHelperQuoteName(D59)</f>
        <v>#VALUE!</v>
      </c>
      <c r="F59" s="67" t="e">
        <f>_xll.qlRateHelperRate($D59)</f>
        <v>#VALUE!</v>
      </c>
      <c r="G59" s="67" t="str">
        <f>IF(ISERROR(_xll.qlSwapRateHelperSpread($D59)),IF(ISERROR(_xll.qlFuturesRateHelperConvexityAdjustment($D59)),"--",_xll.qlFuturesRateHelperConvexityAdjustment($D59)),_xll.qlSwapRateHelperSpread($D59))</f>
        <v>--</v>
      </c>
      <c r="H59" s="76" t="e">
        <f>_xll.qlRateHelperEarliestDate($D59)</f>
        <v>#VALUE!</v>
      </c>
      <c r="I59" s="77" t="e">
        <f>_xll.qlRateHelperLatestDate($D59)</f>
        <v>#VALUE!</v>
      </c>
      <c r="J59" s="63" t="e">
        <v>#N/A</v>
      </c>
    </row>
    <row r="60" spans="4:10" x14ac:dyDescent="0.2">
      <c r="D60" s="66" t="e">
        <v>#N/A</v>
      </c>
      <c r="E60" s="66" t="e">
        <f>_xll.qlRateHelperQuoteName(D60)</f>
        <v>#VALUE!</v>
      </c>
      <c r="F60" s="67" t="e">
        <f>_xll.qlRateHelperRate($D60)</f>
        <v>#VALUE!</v>
      </c>
      <c r="G60" s="67" t="str">
        <f>IF(ISERROR(_xll.qlSwapRateHelperSpread($D60)),IF(ISERROR(_xll.qlFuturesRateHelperConvexityAdjustment($D60)),"--",_xll.qlFuturesRateHelperConvexityAdjustment($D60)),_xll.qlSwapRateHelperSpread($D60))</f>
        <v>--</v>
      </c>
      <c r="H60" s="76" t="e">
        <f>_xll.qlRateHelperEarliestDate($D60)</f>
        <v>#VALUE!</v>
      </c>
      <c r="I60" s="77" t="e">
        <f>_xll.qlRateHelperLatestDate($D60)</f>
        <v>#VALUE!</v>
      </c>
      <c r="J60" s="63" t="e">
        <v>#N/A</v>
      </c>
    </row>
    <row r="61" spans="4:10" x14ac:dyDescent="0.2">
      <c r="D61" s="66" t="e">
        <v>#N/A</v>
      </c>
      <c r="E61" s="66" t="e">
        <f>_xll.qlRateHelperQuoteName(D61)</f>
        <v>#VALUE!</v>
      </c>
      <c r="F61" s="67" t="e">
        <f>_xll.qlRateHelperRate($D61)</f>
        <v>#VALUE!</v>
      </c>
      <c r="G61" s="67" t="str">
        <f>IF(ISERROR(_xll.qlSwapRateHelperSpread($D61)),IF(ISERROR(_xll.qlFuturesRateHelperConvexityAdjustment($D61)),"--",_xll.qlFuturesRateHelperConvexityAdjustment($D61)),_xll.qlSwapRateHelperSpread($D61))</f>
        <v>--</v>
      </c>
      <c r="H61" s="76" t="e">
        <f>_xll.qlRateHelperEarliestDate($D61)</f>
        <v>#VALUE!</v>
      </c>
      <c r="I61" s="77" t="e">
        <f>_xll.qlRateHelperLatestDate($D61)</f>
        <v>#VALUE!</v>
      </c>
      <c r="J61" s="63" t="e">
        <v>#N/A</v>
      </c>
    </row>
    <row r="62" spans="4:10" x14ac:dyDescent="0.2">
      <c r="D62" s="66" t="e">
        <v>#N/A</v>
      </c>
      <c r="E62" s="66" t="e">
        <f>_xll.qlRateHelperQuoteName(D62)</f>
        <v>#VALUE!</v>
      </c>
      <c r="F62" s="67" t="e">
        <f>_xll.qlRateHelperRate($D62)</f>
        <v>#VALUE!</v>
      </c>
      <c r="G62" s="67" t="str">
        <f>IF(ISERROR(_xll.qlSwapRateHelperSpread($D62)),IF(ISERROR(_xll.qlFuturesRateHelperConvexityAdjustment($D62)),"--",_xll.qlFuturesRateHelperConvexityAdjustment($D62)),_xll.qlSwapRateHelperSpread($D62))</f>
        <v>--</v>
      </c>
      <c r="H62" s="76" t="e">
        <f>_xll.qlRateHelperEarliestDate($D62)</f>
        <v>#VALUE!</v>
      </c>
      <c r="I62" s="77" t="e">
        <f>_xll.qlRateHelperLatestDate($D62)</f>
        <v>#VALUE!</v>
      </c>
      <c r="J62" s="63" t="e">
        <v>#N/A</v>
      </c>
    </row>
    <row r="63" spans="4:10" x14ac:dyDescent="0.2">
      <c r="D63" s="66" t="e">
        <v>#N/A</v>
      </c>
      <c r="E63" s="66" t="e">
        <f>_xll.qlRateHelperQuoteName(D63)</f>
        <v>#VALUE!</v>
      </c>
      <c r="F63" s="67" t="e">
        <f>_xll.qlRateHelperRate($D63)</f>
        <v>#VALUE!</v>
      </c>
      <c r="G63" s="67" t="str">
        <f>IF(ISERROR(_xll.qlSwapRateHelperSpread($D63)),IF(ISERROR(_xll.qlFuturesRateHelperConvexityAdjustment($D63)),"--",_xll.qlFuturesRateHelperConvexityAdjustment($D63)),_xll.qlSwapRateHelperSpread($D63))</f>
        <v>--</v>
      </c>
      <c r="H63" s="76" t="e">
        <f>_xll.qlRateHelperEarliestDate($D63)</f>
        <v>#VALUE!</v>
      </c>
      <c r="I63" s="77" t="e">
        <f>_xll.qlRateHelperLatestDate($D63)</f>
        <v>#VALUE!</v>
      </c>
      <c r="J63" s="63" t="e">
        <v>#N/A</v>
      </c>
    </row>
    <row r="64" spans="4:10" x14ac:dyDescent="0.2">
      <c r="D64" s="66" t="e">
        <v>#N/A</v>
      </c>
      <c r="E64" s="66" t="e">
        <f>_xll.qlRateHelperQuoteName(D64)</f>
        <v>#VALUE!</v>
      </c>
      <c r="F64" s="67" t="e">
        <f>_xll.qlRateHelperRate($D64)</f>
        <v>#VALUE!</v>
      </c>
      <c r="G64" s="67" t="str">
        <f>IF(ISERROR(_xll.qlSwapRateHelperSpread($D64)),IF(ISERROR(_xll.qlFuturesRateHelperConvexityAdjustment($D64)),"--",_xll.qlFuturesRateHelperConvexityAdjustment($D64)),_xll.qlSwapRateHelperSpread($D64))</f>
        <v>--</v>
      </c>
      <c r="H64" s="76" t="e">
        <f>_xll.qlRateHelperEarliestDate($D64)</f>
        <v>#VALUE!</v>
      </c>
      <c r="I64" s="77" t="e">
        <f>_xll.qlRateHelperLatestDate($D64)</f>
        <v>#VALUE!</v>
      </c>
      <c r="J64" s="63" t="e">
        <v>#N/A</v>
      </c>
    </row>
    <row r="65" spans="4:10" x14ac:dyDescent="0.2">
      <c r="D65" s="66" t="e">
        <v>#N/A</v>
      </c>
      <c r="E65" s="66" t="e">
        <f>_xll.qlRateHelperQuoteName(D65)</f>
        <v>#VALUE!</v>
      </c>
      <c r="F65" s="67" t="e">
        <f>_xll.qlRateHelperRate($D65)</f>
        <v>#VALUE!</v>
      </c>
      <c r="G65" s="67" t="str">
        <f>IF(ISERROR(_xll.qlSwapRateHelperSpread($D65)),IF(ISERROR(_xll.qlFuturesRateHelperConvexityAdjustment($D65)),"--",_xll.qlFuturesRateHelperConvexityAdjustment($D65)),_xll.qlSwapRateHelperSpread($D65))</f>
        <v>--</v>
      </c>
      <c r="H65" s="76" t="e">
        <f>_xll.qlRateHelperEarliestDate($D65)</f>
        <v>#VALUE!</v>
      </c>
      <c r="I65" s="77" t="e">
        <f>_xll.qlRateHelperLatestDate($D65)</f>
        <v>#VALUE!</v>
      </c>
      <c r="J65" s="63" t="e">
        <v>#N/A</v>
      </c>
    </row>
    <row r="66" spans="4:10" x14ac:dyDescent="0.2">
      <c r="D66" s="66" t="e">
        <v>#N/A</v>
      </c>
      <c r="E66" s="66" t="e">
        <f>_xll.qlRateHelperQuoteName(D66)</f>
        <v>#VALUE!</v>
      </c>
      <c r="F66" s="67" t="e">
        <f>_xll.qlRateHelperRate($D66)</f>
        <v>#VALUE!</v>
      </c>
      <c r="G66" s="67" t="str">
        <f>IF(ISERROR(_xll.qlSwapRateHelperSpread($D66)),IF(ISERROR(_xll.qlFuturesRateHelperConvexityAdjustment($D66)),"--",_xll.qlFuturesRateHelperConvexityAdjustment($D66)),_xll.qlSwapRateHelperSpread($D66))</f>
        <v>--</v>
      </c>
      <c r="H66" s="76" t="e">
        <f>_xll.qlRateHelperEarliestDate($D66)</f>
        <v>#VALUE!</v>
      </c>
      <c r="I66" s="77" t="e">
        <f>_xll.qlRateHelperLatestDate($D66)</f>
        <v>#VALUE!</v>
      </c>
      <c r="J66" s="63" t="e">
        <v>#N/A</v>
      </c>
    </row>
    <row r="67" spans="4:10" x14ac:dyDescent="0.2">
      <c r="D67" s="66" t="e">
        <v>#N/A</v>
      </c>
      <c r="E67" s="66" t="e">
        <f>_xll.qlRateHelperQuoteName(D67)</f>
        <v>#VALUE!</v>
      </c>
      <c r="F67" s="67" t="e">
        <f>_xll.qlRateHelperRate($D67)</f>
        <v>#VALUE!</v>
      </c>
      <c r="G67" s="67" t="str">
        <f>IF(ISERROR(_xll.qlSwapRateHelperSpread($D67)),IF(ISERROR(_xll.qlFuturesRateHelperConvexityAdjustment($D67)),"--",_xll.qlFuturesRateHelperConvexityAdjustment($D67)),_xll.qlSwapRateHelperSpread($D67))</f>
        <v>--</v>
      </c>
      <c r="H67" s="76" t="e">
        <f>_xll.qlRateHelperEarliestDate($D67)</f>
        <v>#VALUE!</v>
      </c>
      <c r="I67" s="77" t="e">
        <f>_xll.qlRateHelperLatestDate($D67)</f>
        <v>#VALUE!</v>
      </c>
      <c r="J67" s="63" t="e">
        <v>#N/A</v>
      </c>
    </row>
    <row r="68" spans="4:10" x14ac:dyDescent="0.2">
      <c r="D68" s="66" t="e">
        <v>#N/A</v>
      </c>
      <c r="E68" s="66" t="e">
        <f>_xll.qlRateHelperQuoteName(D68)</f>
        <v>#VALUE!</v>
      </c>
      <c r="F68" s="67" t="e">
        <f>_xll.qlRateHelperRate($D68)</f>
        <v>#VALUE!</v>
      </c>
      <c r="G68" s="67" t="str">
        <f>IF(ISERROR(_xll.qlSwapRateHelperSpread($D68)),IF(ISERROR(_xll.qlFuturesRateHelperConvexityAdjustment($D68)),"--",_xll.qlFuturesRateHelperConvexityAdjustment($D68)),_xll.qlSwapRateHelperSpread($D68))</f>
        <v>--</v>
      </c>
      <c r="H68" s="76" t="e">
        <f>_xll.qlRateHelperEarliestDate($D68)</f>
        <v>#VALUE!</v>
      </c>
      <c r="I68" s="77" t="e">
        <f>_xll.qlRateHelperLatestDate($D68)</f>
        <v>#VALUE!</v>
      </c>
      <c r="J68" s="63" t="e">
        <v>#N/A</v>
      </c>
    </row>
    <row r="69" spans="4:10" x14ac:dyDescent="0.2">
      <c r="D69" s="66" t="e">
        <v>#N/A</v>
      </c>
      <c r="E69" s="66" t="e">
        <f>_xll.qlRateHelperQuoteName(D69)</f>
        <v>#VALUE!</v>
      </c>
      <c r="F69" s="67" t="e">
        <f>_xll.qlRateHelperRate($D69)</f>
        <v>#VALUE!</v>
      </c>
      <c r="G69" s="67" t="str">
        <f>IF(ISERROR(_xll.qlSwapRateHelperSpread($D69)),IF(ISERROR(_xll.qlFuturesRateHelperConvexityAdjustment($D69)),"--",_xll.qlFuturesRateHelperConvexityAdjustment($D69)),_xll.qlSwapRateHelperSpread($D69))</f>
        <v>--</v>
      </c>
      <c r="H69" s="76" t="e">
        <f>_xll.qlRateHelperEarliestDate($D69)</f>
        <v>#VALUE!</v>
      </c>
      <c r="I69" s="77" t="e">
        <f>_xll.qlRateHelperLatestDate($D69)</f>
        <v>#VALUE!</v>
      </c>
      <c r="J69" s="63" t="e">
        <v>#N/A</v>
      </c>
    </row>
    <row r="70" spans="4:10" x14ac:dyDescent="0.2">
      <c r="D70" s="66" t="e">
        <v>#N/A</v>
      </c>
      <c r="E70" s="66" t="e">
        <f>_xll.qlRateHelperQuoteName(D70)</f>
        <v>#VALUE!</v>
      </c>
      <c r="F70" s="67" t="e">
        <f>_xll.qlRateHelperRate($D70)</f>
        <v>#VALUE!</v>
      </c>
      <c r="G70" s="67" t="str">
        <f>IF(ISERROR(_xll.qlSwapRateHelperSpread($D70)),IF(ISERROR(_xll.qlFuturesRateHelperConvexityAdjustment($D70)),"--",_xll.qlFuturesRateHelperConvexityAdjustment($D70)),_xll.qlSwapRateHelperSpread($D70))</f>
        <v>--</v>
      </c>
      <c r="H70" s="76" t="e">
        <f>_xll.qlRateHelperEarliestDate($D70)</f>
        <v>#VALUE!</v>
      </c>
      <c r="I70" s="77" t="e">
        <f>_xll.qlRateHelperLatestDate($D70)</f>
        <v>#VALUE!</v>
      </c>
      <c r="J70" s="63" t="e">
        <v>#N/A</v>
      </c>
    </row>
    <row r="71" spans="4:10" x14ac:dyDescent="0.2">
      <c r="D71" s="66" t="e">
        <v>#N/A</v>
      </c>
      <c r="E71" s="66" t="e">
        <f>_xll.qlRateHelperQuoteName(D71)</f>
        <v>#VALUE!</v>
      </c>
      <c r="F71" s="67" t="e">
        <f>_xll.qlRateHelperRate($D71)</f>
        <v>#VALUE!</v>
      </c>
      <c r="G71" s="67" t="str">
        <f>IF(ISERROR(_xll.qlSwapRateHelperSpread($D71)),IF(ISERROR(_xll.qlFuturesRateHelperConvexityAdjustment($D71)),"--",_xll.qlFuturesRateHelperConvexityAdjustment($D71)),_xll.qlSwapRateHelperSpread($D71))</f>
        <v>--</v>
      </c>
      <c r="H71" s="76" t="e">
        <f>_xll.qlRateHelperEarliestDate($D71)</f>
        <v>#VALUE!</v>
      </c>
      <c r="I71" s="77" t="e">
        <f>_xll.qlRateHelperLatestDate($D71)</f>
        <v>#VALUE!</v>
      </c>
      <c r="J71" s="63" t="e">
        <v>#N/A</v>
      </c>
    </row>
    <row r="72" spans="4:10" x14ac:dyDescent="0.2">
      <c r="D72" s="66" t="e">
        <v>#N/A</v>
      </c>
      <c r="E72" s="66" t="e">
        <f>_xll.qlRateHelperQuoteName(D72)</f>
        <v>#VALUE!</v>
      </c>
      <c r="F72" s="67" t="e">
        <f>_xll.qlRateHelperRate($D72)</f>
        <v>#VALUE!</v>
      </c>
      <c r="G72" s="67" t="str">
        <f>IF(ISERROR(_xll.qlSwapRateHelperSpread($D72)),IF(ISERROR(_xll.qlFuturesRateHelperConvexityAdjustment($D72)),"--",_xll.qlFuturesRateHelperConvexityAdjustment($D72)),_xll.qlSwapRateHelperSpread($D72))</f>
        <v>--</v>
      </c>
      <c r="H72" s="76" t="e">
        <f>_xll.qlRateHelperEarliestDate($D72)</f>
        <v>#VALUE!</v>
      </c>
      <c r="I72" s="77" t="e">
        <f>_xll.qlRateHelperLatestDate($D72)</f>
        <v>#VALUE!</v>
      </c>
      <c r="J72" s="63" t="e">
        <v>#N/A</v>
      </c>
    </row>
    <row r="73" spans="4:10" x14ac:dyDescent="0.2">
      <c r="D73" s="66" t="e">
        <v>#N/A</v>
      </c>
      <c r="E73" s="66" t="e">
        <f>_xll.qlRateHelperQuoteName(D73)</f>
        <v>#VALUE!</v>
      </c>
      <c r="F73" s="67" t="e">
        <f>_xll.qlRateHelperRate($D73)</f>
        <v>#VALUE!</v>
      </c>
      <c r="G73" s="67" t="str">
        <f>IF(ISERROR(_xll.qlSwapRateHelperSpread($D73)),IF(ISERROR(_xll.qlFuturesRateHelperConvexityAdjustment($D73)),"--",_xll.qlFuturesRateHelperConvexityAdjustment($D73)),_xll.qlSwapRateHelperSpread($D73))</f>
        <v>--</v>
      </c>
      <c r="H73" s="76" t="e">
        <f>_xll.qlRateHelperEarliestDate($D73)</f>
        <v>#VALUE!</v>
      </c>
      <c r="I73" s="77" t="e">
        <f>_xll.qlRateHelperLatestDate($D73)</f>
        <v>#VALUE!</v>
      </c>
      <c r="J73" s="63" t="e">
        <v>#N/A</v>
      </c>
    </row>
    <row r="74" spans="4:10" x14ac:dyDescent="0.2">
      <c r="D74" s="66" t="e">
        <v>#N/A</v>
      </c>
      <c r="E74" s="66" t="e">
        <f>_xll.qlRateHelperQuoteName(D74)</f>
        <v>#VALUE!</v>
      </c>
      <c r="F74" s="67" t="e">
        <f>_xll.qlRateHelperRate($D74)</f>
        <v>#VALUE!</v>
      </c>
      <c r="G74" s="67" t="str">
        <f>IF(ISERROR(_xll.qlSwapRateHelperSpread($D74)),IF(ISERROR(_xll.qlFuturesRateHelperConvexityAdjustment($D74)),"--",_xll.qlFuturesRateHelperConvexityAdjustment($D74)),_xll.qlSwapRateHelperSpread($D74))</f>
        <v>--</v>
      </c>
      <c r="H74" s="76" t="e">
        <f>_xll.qlRateHelperEarliestDate($D74)</f>
        <v>#VALUE!</v>
      </c>
      <c r="I74" s="77" t="e">
        <f>_xll.qlRateHelperLatestDate($D74)</f>
        <v>#VALUE!</v>
      </c>
      <c r="J74" s="63" t="e">
        <v>#N/A</v>
      </c>
    </row>
    <row r="75" spans="4:10" x14ac:dyDescent="0.2">
      <c r="D75" s="66" t="e">
        <v>#N/A</v>
      </c>
      <c r="E75" s="66" t="e">
        <f>_xll.qlRateHelperQuoteName(D75)</f>
        <v>#VALUE!</v>
      </c>
      <c r="F75" s="67" t="e">
        <f>_xll.qlRateHelperRate($D75)</f>
        <v>#VALUE!</v>
      </c>
      <c r="G75" s="67" t="str">
        <f>IF(ISERROR(_xll.qlSwapRateHelperSpread($D75)),IF(ISERROR(_xll.qlFuturesRateHelperConvexityAdjustment($D75)),"--",_xll.qlFuturesRateHelperConvexityAdjustment($D75)),_xll.qlSwapRateHelperSpread($D75))</f>
        <v>--</v>
      </c>
      <c r="H75" s="76" t="e">
        <f>_xll.qlRateHelperEarliestDate($D75)</f>
        <v>#VALUE!</v>
      </c>
      <c r="I75" s="77" t="e">
        <f>_xll.qlRateHelperLatestDate($D75)</f>
        <v>#VALUE!</v>
      </c>
      <c r="J75" s="63" t="e">
        <v>#N/A</v>
      </c>
    </row>
    <row r="76" spans="4:10" x14ac:dyDescent="0.2">
      <c r="D76" s="66" t="e">
        <v>#N/A</v>
      </c>
      <c r="E76" s="66" t="e">
        <f>_xll.qlRateHelperQuoteName(D76)</f>
        <v>#VALUE!</v>
      </c>
      <c r="F76" s="67" t="e">
        <f>_xll.qlRateHelperRate($D76)</f>
        <v>#VALUE!</v>
      </c>
      <c r="G76" s="67" t="str">
        <f>IF(ISERROR(_xll.qlSwapRateHelperSpread($D76)),IF(ISERROR(_xll.qlFuturesRateHelperConvexityAdjustment($D76)),"--",_xll.qlFuturesRateHelperConvexityAdjustment($D76)),_xll.qlSwapRateHelperSpread($D76))</f>
        <v>--</v>
      </c>
      <c r="H76" s="76" t="e">
        <f>_xll.qlRateHelperEarliestDate($D76)</f>
        <v>#VALUE!</v>
      </c>
      <c r="I76" s="77" t="e">
        <f>_xll.qlRateHelperLatestDate($D76)</f>
        <v>#VALUE!</v>
      </c>
      <c r="J76" s="63" t="e">
        <v>#N/A</v>
      </c>
    </row>
    <row r="77" spans="4:10" x14ac:dyDescent="0.2">
      <c r="D77" s="66" t="e">
        <v>#N/A</v>
      </c>
      <c r="E77" s="66" t="e">
        <f>_xll.qlRateHelperQuoteName(D77)</f>
        <v>#VALUE!</v>
      </c>
      <c r="F77" s="67" t="e">
        <f>_xll.qlRateHelperRate($D77)</f>
        <v>#VALUE!</v>
      </c>
      <c r="G77" s="67" t="str">
        <f>IF(ISERROR(_xll.qlSwapRateHelperSpread($D77)),IF(ISERROR(_xll.qlFuturesRateHelperConvexityAdjustment($D77)),"--",_xll.qlFuturesRateHelperConvexityAdjustment($D77)),_xll.qlSwapRateHelperSpread($D77))</f>
        <v>--</v>
      </c>
      <c r="H77" s="76" t="e">
        <f>_xll.qlRateHelperEarliestDate($D77)</f>
        <v>#VALUE!</v>
      </c>
      <c r="I77" s="77" t="e">
        <f>_xll.qlRateHelperLatestDate($D77)</f>
        <v>#VALUE!</v>
      </c>
      <c r="J77" s="63" t="e">
        <v>#N/A</v>
      </c>
    </row>
    <row r="78" spans="4:10" x14ac:dyDescent="0.2">
      <c r="D78" s="66" t="e">
        <v>#N/A</v>
      </c>
      <c r="E78" s="66" t="e">
        <f>_xll.qlRateHelperQuoteName(D78)</f>
        <v>#VALUE!</v>
      </c>
      <c r="F78" s="67" t="e">
        <f>_xll.qlRateHelperRate($D78)</f>
        <v>#VALUE!</v>
      </c>
      <c r="G78" s="67" t="str">
        <f>IF(ISERROR(_xll.qlSwapRateHelperSpread($D78)),IF(ISERROR(_xll.qlFuturesRateHelperConvexityAdjustment($D78)),"--",_xll.qlFuturesRateHelperConvexityAdjustment($D78)),_xll.qlSwapRateHelperSpread($D78))</f>
        <v>--</v>
      </c>
      <c r="H78" s="76" t="e">
        <f>_xll.qlRateHelperEarliestDate($D78)</f>
        <v>#VALUE!</v>
      </c>
      <c r="I78" s="77" t="e">
        <f>_xll.qlRateHelperLatestDate($D78)</f>
        <v>#VALUE!</v>
      </c>
      <c r="J78" s="63" t="e">
        <v>#N/A</v>
      </c>
    </row>
    <row r="79" spans="4:10" x14ac:dyDescent="0.2">
      <c r="D79" s="66" t="e">
        <v>#N/A</v>
      </c>
      <c r="E79" s="66" t="e">
        <f>_xll.qlRateHelperQuoteName(D79)</f>
        <v>#VALUE!</v>
      </c>
      <c r="F79" s="67" t="e">
        <f>_xll.qlRateHelperRate($D79)</f>
        <v>#VALUE!</v>
      </c>
      <c r="G79" s="67" t="str">
        <f>IF(ISERROR(_xll.qlSwapRateHelperSpread($D79)),IF(ISERROR(_xll.qlFuturesRateHelperConvexityAdjustment($D79)),"--",_xll.qlFuturesRateHelperConvexityAdjustment($D79)),_xll.qlSwapRateHelperSpread($D79))</f>
        <v>--</v>
      </c>
      <c r="H79" s="76" t="e">
        <f>_xll.qlRateHelperEarliestDate($D79)</f>
        <v>#VALUE!</v>
      </c>
      <c r="I79" s="77" t="e">
        <f>_xll.qlRateHelperLatestDate($D79)</f>
        <v>#VALUE!</v>
      </c>
      <c r="J79" s="63" t="e">
        <v>#N/A</v>
      </c>
    </row>
    <row r="80" spans="4:10" x14ac:dyDescent="0.2">
      <c r="D80" s="66" t="e">
        <v>#N/A</v>
      </c>
      <c r="E80" s="66" t="e">
        <f>_xll.qlRateHelperQuoteName(D80)</f>
        <v>#VALUE!</v>
      </c>
      <c r="F80" s="67" t="e">
        <f>_xll.qlRateHelperRate($D80)</f>
        <v>#VALUE!</v>
      </c>
      <c r="G80" s="67" t="str">
        <f>IF(ISERROR(_xll.qlSwapRateHelperSpread($D80)),IF(ISERROR(_xll.qlFuturesRateHelperConvexityAdjustment($D80)),"--",_xll.qlFuturesRateHelperConvexityAdjustment($D80)),_xll.qlSwapRateHelperSpread($D80))</f>
        <v>--</v>
      </c>
      <c r="H80" s="76" t="e">
        <f>_xll.qlRateHelperEarliestDate($D80)</f>
        <v>#VALUE!</v>
      </c>
      <c r="I80" s="77" t="e">
        <f>_xll.qlRateHelperLatestDate($D80)</f>
        <v>#VALUE!</v>
      </c>
      <c r="J80" s="63" t="e">
        <v>#N/A</v>
      </c>
    </row>
    <row r="81" spans="4:10" x14ac:dyDescent="0.2">
      <c r="D81" s="66" t="e">
        <v>#N/A</v>
      </c>
      <c r="E81" s="66" t="e">
        <f>_xll.qlRateHelperQuoteName(D81)</f>
        <v>#VALUE!</v>
      </c>
      <c r="F81" s="67" t="e">
        <f>_xll.qlRateHelperRate($D81)</f>
        <v>#VALUE!</v>
      </c>
      <c r="G81" s="67" t="str">
        <f>IF(ISERROR(_xll.qlSwapRateHelperSpread($D81)),IF(ISERROR(_xll.qlFuturesRateHelperConvexityAdjustment($D81)),"--",_xll.qlFuturesRateHelperConvexityAdjustment($D81)),_xll.qlSwapRateHelperSpread($D81))</f>
        <v>--</v>
      </c>
      <c r="H81" s="76" t="e">
        <f>_xll.qlRateHelperEarliestDate($D81)</f>
        <v>#VALUE!</v>
      </c>
      <c r="I81" s="77" t="e">
        <f>_xll.qlRateHelperLatestDate($D81)</f>
        <v>#VALUE!</v>
      </c>
      <c r="J81" s="63" t="e">
        <v>#N/A</v>
      </c>
    </row>
    <row r="82" spans="4:10" x14ac:dyDescent="0.2">
      <c r="D82" s="66" t="e">
        <v>#N/A</v>
      </c>
      <c r="E82" s="66" t="e">
        <f>_xll.qlRateHelperQuoteName(D82)</f>
        <v>#VALUE!</v>
      </c>
      <c r="F82" s="67" t="e">
        <f>_xll.qlRateHelperRate($D82)</f>
        <v>#VALUE!</v>
      </c>
      <c r="G82" s="67" t="str">
        <f>IF(ISERROR(_xll.qlSwapRateHelperSpread($D82)),IF(ISERROR(_xll.qlFuturesRateHelperConvexityAdjustment($D82)),"--",_xll.qlFuturesRateHelperConvexityAdjustment($D82)),_xll.qlSwapRateHelperSpread($D82))</f>
        <v>--</v>
      </c>
      <c r="H82" s="76" t="e">
        <f>_xll.qlRateHelperEarliestDate($D82)</f>
        <v>#VALUE!</v>
      </c>
      <c r="I82" s="77" t="e">
        <f>_xll.qlRateHelperLatestDate($D82)</f>
        <v>#VALUE!</v>
      </c>
      <c r="J82" s="63" t="e">
        <v>#N/A</v>
      </c>
    </row>
    <row r="83" spans="4:10" x14ac:dyDescent="0.2">
      <c r="D83" s="66" t="e">
        <v>#N/A</v>
      </c>
      <c r="E83" s="66" t="e">
        <f>_xll.qlRateHelperQuoteName(D83)</f>
        <v>#VALUE!</v>
      </c>
      <c r="F83" s="67" t="e">
        <f>_xll.qlRateHelperRate($D83)</f>
        <v>#VALUE!</v>
      </c>
      <c r="G83" s="67" t="str">
        <f>IF(ISERROR(_xll.qlSwapRateHelperSpread($D83)),IF(ISERROR(_xll.qlFuturesRateHelperConvexityAdjustment($D83)),"--",_xll.qlFuturesRateHelperConvexityAdjustment($D83)),_xll.qlSwapRateHelperSpread($D83))</f>
        <v>--</v>
      </c>
      <c r="H83" s="76" t="e">
        <f>_xll.qlRateHelperEarliestDate($D83)</f>
        <v>#VALUE!</v>
      </c>
      <c r="I83" s="77" t="e">
        <f>_xll.qlRateHelperLatestDate($D83)</f>
        <v>#VALUE!</v>
      </c>
      <c r="J83" s="63" t="e">
        <v>#N/A</v>
      </c>
    </row>
    <row r="84" spans="4:10" x14ac:dyDescent="0.2">
      <c r="D84" s="66" t="e">
        <v>#N/A</v>
      </c>
      <c r="E84" s="66" t="e">
        <f>_xll.qlRateHelperQuoteName(D84)</f>
        <v>#VALUE!</v>
      </c>
      <c r="F84" s="67" t="e">
        <f>_xll.qlRateHelperRate($D84)</f>
        <v>#VALUE!</v>
      </c>
      <c r="G84" s="67" t="str">
        <f>IF(ISERROR(_xll.qlSwapRateHelperSpread($D84)),IF(ISERROR(_xll.qlFuturesRateHelperConvexityAdjustment($D84)),"--",_xll.qlFuturesRateHelperConvexityAdjustment($D84)),_xll.qlSwapRateHelperSpread($D84))</f>
        <v>--</v>
      </c>
      <c r="H84" s="76" t="e">
        <f>_xll.qlRateHelperEarliestDate($D84)</f>
        <v>#VALUE!</v>
      </c>
      <c r="I84" s="77" t="e">
        <f>_xll.qlRateHelperLatestDate($D84)</f>
        <v>#VALUE!</v>
      </c>
      <c r="J84" s="63" t="e">
        <v>#N/A</v>
      </c>
    </row>
    <row r="85" spans="4:10" x14ac:dyDescent="0.2">
      <c r="D85" s="66" t="e">
        <v>#N/A</v>
      </c>
      <c r="E85" s="66" t="e">
        <f>_xll.qlRateHelperQuoteName(D85)</f>
        <v>#VALUE!</v>
      </c>
      <c r="F85" s="67" t="e">
        <f>_xll.qlRateHelperRate($D85)</f>
        <v>#VALUE!</v>
      </c>
      <c r="G85" s="67" t="str">
        <f>IF(ISERROR(_xll.qlSwapRateHelperSpread($D85)),IF(ISERROR(_xll.qlFuturesRateHelperConvexityAdjustment($D85)),"--",_xll.qlFuturesRateHelperConvexityAdjustment($D85)),_xll.qlSwapRateHelperSpread($D85))</f>
        <v>--</v>
      </c>
      <c r="H85" s="76" t="e">
        <f>_xll.qlRateHelperEarliestDate($D85)</f>
        <v>#VALUE!</v>
      </c>
      <c r="I85" s="77" t="e">
        <f>_xll.qlRateHelperLatestDate($D85)</f>
        <v>#VALUE!</v>
      </c>
      <c r="J85" s="63" t="e">
        <v>#N/A</v>
      </c>
    </row>
    <row r="86" spans="4:10" x14ac:dyDescent="0.2">
      <c r="D86" s="66" t="e">
        <v>#N/A</v>
      </c>
      <c r="E86" s="66" t="e">
        <f>_xll.qlRateHelperQuoteName(D86)</f>
        <v>#VALUE!</v>
      </c>
      <c r="F86" s="67" t="e">
        <f>_xll.qlRateHelperRate($D86)</f>
        <v>#VALUE!</v>
      </c>
      <c r="G86" s="67" t="str">
        <f>IF(ISERROR(_xll.qlSwapRateHelperSpread($D86)),IF(ISERROR(_xll.qlFuturesRateHelperConvexityAdjustment($D86)),"--",_xll.qlFuturesRateHelperConvexityAdjustment($D86)),_xll.qlSwapRateHelperSpread($D86))</f>
        <v>--</v>
      </c>
      <c r="H86" s="76" t="e">
        <f>_xll.qlRateHelperEarliestDate($D86)</f>
        <v>#VALUE!</v>
      </c>
      <c r="I86" s="77" t="e">
        <f>_xll.qlRateHelperLatestDate($D86)</f>
        <v>#VALUE!</v>
      </c>
      <c r="J86" s="63" t="e">
        <v>#N/A</v>
      </c>
    </row>
    <row r="87" spans="4:10" x14ac:dyDescent="0.2">
      <c r="D87" s="66" t="e">
        <v>#N/A</v>
      </c>
      <c r="E87" s="66" t="e">
        <f>_xll.qlRateHelperQuoteName(D87)</f>
        <v>#VALUE!</v>
      </c>
      <c r="F87" s="67" t="e">
        <f>_xll.qlRateHelperRate($D87)</f>
        <v>#VALUE!</v>
      </c>
      <c r="G87" s="67" t="str">
        <f>IF(ISERROR(_xll.qlSwapRateHelperSpread($D87)),IF(ISERROR(_xll.qlFuturesRateHelperConvexityAdjustment($D87)),"--",_xll.qlFuturesRateHelperConvexityAdjustment($D87)),_xll.qlSwapRateHelperSpread($D87))</f>
        <v>--</v>
      </c>
      <c r="H87" s="76" t="e">
        <f>_xll.qlRateHelperEarliestDate($D87)</f>
        <v>#VALUE!</v>
      </c>
      <c r="I87" s="77" t="e">
        <f>_xll.qlRateHelperLatestDate($D87)</f>
        <v>#VALUE!</v>
      </c>
      <c r="J87" s="63" t="e">
        <v>#N/A</v>
      </c>
    </row>
    <row r="88" spans="4:10" x14ac:dyDescent="0.2">
      <c r="D88" s="66" t="e">
        <v>#N/A</v>
      </c>
      <c r="E88" s="66" t="e">
        <f>_xll.qlRateHelperQuoteName(D88)</f>
        <v>#VALUE!</v>
      </c>
      <c r="F88" s="67" t="e">
        <f>_xll.qlRateHelperRate($D88)</f>
        <v>#VALUE!</v>
      </c>
      <c r="G88" s="67" t="str">
        <f>IF(ISERROR(_xll.qlSwapRateHelperSpread($D88)),IF(ISERROR(_xll.qlFuturesRateHelperConvexityAdjustment($D88)),"--",_xll.qlFuturesRateHelperConvexityAdjustment($D88)),_xll.qlSwapRateHelperSpread($D88))</f>
        <v>--</v>
      </c>
      <c r="H88" s="76" t="e">
        <f>_xll.qlRateHelperEarliestDate($D88)</f>
        <v>#VALUE!</v>
      </c>
      <c r="I88" s="77" t="e">
        <f>_xll.qlRateHelperLatestDate($D88)</f>
        <v>#VALUE!</v>
      </c>
      <c r="J88" s="63" t="e">
        <v>#N/A</v>
      </c>
    </row>
    <row r="89" spans="4:10" x14ac:dyDescent="0.2">
      <c r="D89" s="66" t="e">
        <v>#N/A</v>
      </c>
      <c r="E89" s="66" t="e">
        <f>_xll.qlRateHelperQuoteName(D89)</f>
        <v>#VALUE!</v>
      </c>
      <c r="F89" s="67" t="e">
        <f>_xll.qlRateHelperRate($D89)</f>
        <v>#VALUE!</v>
      </c>
      <c r="G89" s="67" t="str">
        <f>IF(ISERROR(_xll.qlSwapRateHelperSpread($D89)),IF(ISERROR(_xll.qlFuturesRateHelperConvexityAdjustment($D89)),"--",_xll.qlFuturesRateHelperConvexityAdjustment($D89)),_xll.qlSwapRateHelperSpread($D89))</f>
        <v>--</v>
      </c>
      <c r="H89" s="76" t="e">
        <f>_xll.qlRateHelperEarliestDate($D89)</f>
        <v>#VALUE!</v>
      </c>
      <c r="I89" s="77" t="e">
        <f>_xll.qlRateHelperLatestDate($D89)</f>
        <v>#VALUE!</v>
      </c>
      <c r="J89" s="63" t="e">
        <v>#N/A</v>
      </c>
    </row>
    <row r="90" spans="4:10" x14ac:dyDescent="0.2">
      <c r="D90" s="66" t="e">
        <v>#N/A</v>
      </c>
      <c r="E90" s="66" t="e">
        <f>_xll.qlRateHelperQuoteName(D90)</f>
        <v>#VALUE!</v>
      </c>
      <c r="F90" s="67" t="e">
        <f>_xll.qlRateHelperRate($D90)</f>
        <v>#VALUE!</v>
      </c>
      <c r="G90" s="67" t="str">
        <f>IF(ISERROR(_xll.qlSwapRateHelperSpread($D90)),IF(ISERROR(_xll.qlFuturesRateHelperConvexityAdjustment($D90)),"--",_xll.qlFuturesRateHelperConvexityAdjustment($D90)),_xll.qlSwapRateHelperSpread($D90))</f>
        <v>--</v>
      </c>
      <c r="H90" s="76" t="e">
        <f>_xll.qlRateHelperEarliestDate($D90)</f>
        <v>#VALUE!</v>
      </c>
      <c r="I90" s="77" t="e">
        <f>_xll.qlRateHelperLatestDate($D90)</f>
        <v>#VALUE!</v>
      </c>
      <c r="J90" s="63" t="e">
        <v>#N/A</v>
      </c>
    </row>
    <row r="91" spans="4:10" x14ac:dyDescent="0.2">
      <c r="D91" s="66" t="e">
        <v>#N/A</v>
      </c>
      <c r="E91" s="66" t="e">
        <f>_xll.qlRateHelperQuoteName(D91)</f>
        <v>#VALUE!</v>
      </c>
      <c r="F91" s="67" t="e">
        <f>_xll.qlRateHelperRate($D91)</f>
        <v>#VALUE!</v>
      </c>
      <c r="G91" s="67" t="str">
        <f>IF(ISERROR(_xll.qlSwapRateHelperSpread($D91)),IF(ISERROR(_xll.qlFuturesRateHelperConvexityAdjustment($D91)),"--",_xll.qlFuturesRateHelperConvexityAdjustment($D91)),_xll.qlSwapRateHelperSpread($D91))</f>
        <v>--</v>
      </c>
      <c r="H91" s="76" t="e">
        <f>_xll.qlRateHelperEarliestDate($D91)</f>
        <v>#VALUE!</v>
      </c>
      <c r="I91" s="77" t="e">
        <f>_xll.qlRateHelperLatestDate($D91)</f>
        <v>#VALUE!</v>
      </c>
      <c r="J91" s="63" t="e">
        <v>#N/A</v>
      </c>
    </row>
    <row r="92" spans="4:10" x14ac:dyDescent="0.2">
      <c r="D92" s="66" t="e">
        <v>#N/A</v>
      </c>
      <c r="E92" s="66" t="e">
        <f>_xll.qlRateHelperQuoteName(D92)</f>
        <v>#VALUE!</v>
      </c>
      <c r="F92" s="67" t="e">
        <f>_xll.qlRateHelperRate($D92)</f>
        <v>#VALUE!</v>
      </c>
      <c r="G92" s="67" t="str">
        <f>IF(ISERROR(_xll.qlSwapRateHelperSpread($D92)),IF(ISERROR(_xll.qlFuturesRateHelperConvexityAdjustment($D92)),"--",_xll.qlFuturesRateHelperConvexityAdjustment($D92)),_xll.qlSwapRateHelperSpread($D92))</f>
        <v>--</v>
      </c>
      <c r="H92" s="76" t="e">
        <f>_xll.qlRateHelperEarliestDate($D92)</f>
        <v>#VALUE!</v>
      </c>
      <c r="I92" s="77" t="e">
        <f>_xll.qlRateHelperLatestDate($D92)</f>
        <v>#VALUE!</v>
      </c>
      <c r="J92" s="63" t="e">
        <v>#N/A</v>
      </c>
    </row>
    <row r="93" spans="4:10" x14ac:dyDescent="0.2">
      <c r="D93" s="66" t="e">
        <v>#N/A</v>
      </c>
      <c r="E93" s="66" t="e">
        <f>_xll.qlRateHelperQuoteName(D93)</f>
        <v>#VALUE!</v>
      </c>
      <c r="F93" s="67" t="e">
        <f>_xll.qlRateHelperRate($D93)</f>
        <v>#VALUE!</v>
      </c>
      <c r="G93" s="67" t="str">
        <f>IF(ISERROR(_xll.qlSwapRateHelperSpread($D93)),IF(ISERROR(_xll.qlFuturesRateHelperConvexityAdjustment($D93)),"--",_xll.qlFuturesRateHelperConvexityAdjustment($D93)),_xll.qlSwapRateHelperSpread($D93))</f>
        <v>--</v>
      </c>
      <c r="H93" s="76" t="e">
        <f>_xll.qlRateHelperEarliestDate($D93)</f>
        <v>#VALUE!</v>
      </c>
      <c r="I93" s="77" t="e">
        <f>_xll.qlRateHelperLatestDate($D93)</f>
        <v>#VALUE!</v>
      </c>
      <c r="J93" s="63" t="e">
        <v>#N/A</v>
      </c>
    </row>
    <row r="94" spans="4:10" x14ac:dyDescent="0.2">
      <c r="D94" s="66" t="e">
        <v>#N/A</v>
      </c>
      <c r="E94" s="66" t="e">
        <f>_xll.qlRateHelperQuoteName(D94)</f>
        <v>#VALUE!</v>
      </c>
      <c r="F94" s="67" t="e">
        <f>_xll.qlRateHelperRate($D94)</f>
        <v>#VALUE!</v>
      </c>
      <c r="G94" s="67" t="str">
        <f>IF(ISERROR(_xll.qlSwapRateHelperSpread($D94)),IF(ISERROR(_xll.qlFuturesRateHelperConvexityAdjustment($D94)),"--",_xll.qlFuturesRateHelperConvexityAdjustment($D94)),_xll.qlSwapRateHelperSpread($D94))</f>
        <v>--</v>
      </c>
      <c r="H94" s="76" t="e">
        <f>_xll.qlRateHelperEarliestDate($D94)</f>
        <v>#VALUE!</v>
      </c>
      <c r="I94" s="77" t="e">
        <f>_xll.qlRateHelperLatestDate($D94)</f>
        <v>#VALUE!</v>
      </c>
      <c r="J94" s="63" t="e">
        <v>#N/A</v>
      </c>
    </row>
    <row r="95" spans="4:10" x14ac:dyDescent="0.2">
      <c r="D95" s="66" t="e">
        <v>#N/A</v>
      </c>
      <c r="E95" s="66" t="e">
        <f>_xll.qlRateHelperQuoteName(D95)</f>
        <v>#VALUE!</v>
      </c>
      <c r="F95" s="67" t="e">
        <f>_xll.qlRateHelperRate($D95)</f>
        <v>#VALUE!</v>
      </c>
      <c r="G95" s="67" t="str">
        <f>IF(ISERROR(_xll.qlSwapRateHelperSpread($D95)),IF(ISERROR(_xll.qlFuturesRateHelperConvexityAdjustment($D95)),"--",_xll.qlFuturesRateHelperConvexityAdjustment($D95)),_xll.qlSwapRateHelperSpread($D95))</f>
        <v>--</v>
      </c>
      <c r="H95" s="76" t="e">
        <f>_xll.qlRateHelperEarliestDate($D95)</f>
        <v>#VALUE!</v>
      </c>
      <c r="I95" s="77" t="e">
        <f>_xll.qlRateHelperLatestDate($D95)</f>
        <v>#VALUE!</v>
      </c>
      <c r="J95" s="63" t="e">
        <v>#N/A</v>
      </c>
    </row>
    <row r="96" spans="4:10" x14ac:dyDescent="0.2">
      <c r="D96" s="66" t="e">
        <v>#N/A</v>
      </c>
      <c r="E96" s="66" t="e">
        <f>_xll.qlRateHelperQuoteName(D96)</f>
        <v>#VALUE!</v>
      </c>
      <c r="F96" s="67" t="e">
        <f>_xll.qlRateHelperRate($D96)</f>
        <v>#VALUE!</v>
      </c>
      <c r="G96" s="67" t="str">
        <f>IF(ISERROR(_xll.qlSwapRateHelperSpread($D96)),IF(ISERROR(_xll.qlFuturesRateHelperConvexityAdjustment($D96)),"--",_xll.qlFuturesRateHelperConvexityAdjustment($D96)),_xll.qlSwapRateHelperSpread($D96))</f>
        <v>--</v>
      </c>
      <c r="H96" s="76" t="e">
        <f>_xll.qlRateHelperEarliestDate($D96)</f>
        <v>#VALUE!</v>
      </c>
      <c r="I96" s="77" t="e">
        <f>_xll.qlRateHelperLatestDate($D96)</f>
        <v>#VALUE!</v>
      </c>
      <c r="J96" s="63" t="e">
        <v>#N/A</v>
      </c>
    </row>
    <row r="97" spans="4:10" x14ac:dyDescent="0.2">
      <c r="D97" s="66" t="e">
        <v>#N/A</v>
      </c>
      <c r="E97" s="66" t="e">
        <f>_xll.qlRateHelperQuoteName(D97)</f>
        <v>#VALUE!</v>
      </c>
      <c r="F97" s="67" t="e">
        <f>_xll.qlRateHelperRate($D97)</f>
        <v>#VALUE!</v>
      </c>
      <c r="G97" s="67" t="str">
        <f>IF(ISERROR(_xll.qlSwapRateHelperSpread($D97)),IF(ISERROR(_xll.qlFuturesRateHelperConvexityAdjustment($D97)),"--",_xll.qlFuturesRateHelperConvexityAdjustment($D97)),_xll.qlSwapRateHelperSpread($D97))</f>
        <v>--</v>
      </c>
      <c r="H97" s="76" t="e">
        <f>_xll.qlRateHelperEarliestDate($D97)</f>
        <v>#VALUE!</v>
      </c>
      <c r="I97" s="77" t="e">
        <f>_xll.qlRateHelperLatestDate($D97)</f>
        <v>#VALUE!</v>
      </c>
      <c r="J97" s="63" t="e">
        <v>#N/A</v>
      </c>
    </row>
    <row r="98" spans="4:10" x14ac:dyDescent="0.2">
      <c r="D98" s="66" t="e">
        <v>#N/A</v>
      </c>
      <c r="E98" s="66" t="e">
        <f>_xll.qlRateHelperQuoteName(D98)</f>
        <v>#VALUE!</v>
      </c>
      <c r="F98" s="67" t="e">
        <f>_xll.qlRateHelperRate($D98)</f>
        <v>#VALUE!</v>
      </c>
      <c r="G98" s="67" t="str">
        <f>IF(ISERROR(_xll.qlSwapRateHelperSpread($D98)),IF(ISERROR(_xll.qlFuturesRateHelperConvexityAdjustment($D98)),"--",_xll.qlFuturesRateHelperConvexityAdjustment($D98)),_xll.qlSwapRateHelperSpread($D98))</f>
        <v>--</v>
      </c>
      <c r="H98" s="76" t="e">
        <f>_xll.qlRateHelperEarliestDate($D98)</f>
        <v>#VALUE!</v>
      </c>
      <c r="I98" s="77" t="e">
        <f>_xll.qlRateHelperLatestDate($D98)</f>
        <v>#VALUE!</v>
      </c>
      <c r="J98" s="63" t="e">
        <v>#N/A</v>
      </c>
    </row>
    <row r="99" spans="4:10" x14ac:dyDescent="0.2">
      <c r="D99" s="66" t="e">
        <v>#N/A</v>
      </c>
      <c r="E99" s="66" t="e">
        <f>_xll.qlRateHelperQuoteName(D99)</f>
        <v>#VALUE!</v>
      </c>
      <c r="F99" s="67" t="e">
        <f>_xll.qlRateHelperRate($D99)</f>
        <v>#VALUE!</v>
      </c>
      <c r="G99" s="67" t="str">
        <f>IF(ISERROR(_xll.qlSwapRateHelperSpread($D99)),IF(ISERROR(_xll.qlFuturesRateHelperConvexityAdjustment($D99)),"--",_xll.qlFuturesRateHelperConvexityAdjustment($D99)),_xll.qlSwapRateHelperSpread($D99))</f>
        <v>--</v>
      </c>
      <c r="H99" s="76" t="e">
        <f>_xll.qlRateHelperEarliestDate($D99)</f>
        <v>#VALUE!</v>
      </c>
      <c r="I99" s="77" t="e">
        <f>_xll.qlRateHelperLatestDate($D99)</f>
        <v>#VALUE!</v>
      </c>
      <c r="J99" s="63" t="e">
        <v>#N/A</v>
      </c>
    </row>
    <row r="100" spans="4:10" x14ac:dyDescent="0.2">
      <c r="D100" s="66" t="e">
        <v>#N/A</v>
      </c>
      <c r="E100" s="66" t="e">
        <f>_xll.qlRateHelperQuoteName(D100)</f>
        <v>#VALUE!</v>
      </c>
      <c r="F100" s="67" t="e">
        <f>_xll.qlRateHelperRate($D100)</f>
        <v>#VALUE!</v>
      </c>
      <c r="G100" s="67" t="str">
        <f>IF(ISERROR(_xll.qlSwapRateHelperSpread($D100)),IF(ISERROR(_xll.qlFuturesRateHelperConvexityAdjustment($D100)),"--",_xll.qlFuturesRateHelperConvexityAdjustment($D100)),_xll.qlSwapRateHelperSpread($D100))</f>
        <v>--</v>
      </c>
      <c r="H100" s="76" t="e">
        <f>_xll.qlRateHelperEarliestDate($D100)</f>
        <v>#VALUE!</v>
      </c>
      <c r="I100" s="77" t="e">
        <f>_xll.qlRateHelperLatestDate($D100)</f>
        <v>#VALUE!</v>
      </c>
      <c r="J100" s="63" t="e">
        <v>#N/A</v>
      </c>
    </row>
    <row r="101" spans="4:10" x14ac:dyDescent="0.2">
      <c r="D101" s="66" t="e">
        <v>#N/A</v>
      </c>
      <c r="E101" s="66" t="e">
        <f>_xll.qlRateHelperQuoteName(D101)</f>
        <v>#VALUE!</v>
      </c>
      <c r="F101" s="67" t="e">
        <f>_xll.qlRateHelperRate($D101)</f>
        <v>#VALUE!</v>
      </c>
      <c r="G101" s="67" t="str">
        <f>IF(ISERROR(_xll.qlSwapRateHelperSpread($D101)),IF(ISERROR(_xll.qlFuturesRateHelperConvexityAdjustment($D101)),"--",_xll.qlFuturesRateHelperConvexityAdjustment($D101)),_xll.qlSwapRateHelperSpread($D101))</f>
        <v>--</v>
      </c>
      <c r="H101" s="76" t="e">
        <f>_xll.qlRateHelperEarliestDate($D101)</f>
        <v>#VALUE!</v>
      </c>
      <c r="I101" s="77" t="e">
        <f>_xll.qlRateHelperLatestDate($D101)</f>
        <v>#VALUE!</v>
      </c>
      <c r="J101" s="63" t="e">
        <v>#N/A</v>
      </c>
    </row>
    <row r="102" spans="4:10" x14ac:dyDescent="0.2">
      <c r="D102" s="66" t="e">
        <v>#N/A</v>
      </c>
      <c r="E102" s="66" t="e">
        <f>_xll.qlRateHelperQuoteName(D102)</f>
        <v>#VALUE!</v>
      </c>
      <c r="F102" s="67" t="e">
        <f>_xll.qlRateHelperRate($D102)</f>
        <v>#VALUE!</v>
      </c>
      <c r="G102" s="67" t="str">
        <f>IF(ISERROR(_xll.qlSwapRateHelperSpread($D102)),IF(ISERROR(_xll.qlFuturesRateHelperConvexityAdjustment($D102)),"--",_xll.qlFuturesRateHelperConvexityAdjustment($D102)),_xll.qlSwapRateHelperSpread($D102))</f>
        <v>--</v>
      </c>
      <c r="H102" s="76" t="e">
        <f>_xll.qlRateHelperEarliestDate($D102)</f>
        <v>#VALUE!</v>
      </c>
      <c r="I102" s="77" t="e">
        <f>_xll.qlRateHelperLatestDate($D102)</f>
        <v>#VALUE!</v>
      </c>
      <c r="J102" s="63" t="e">
        <v>#N/A</v>
      </c>
    </row>
    <row r="103" spans="4:10" x14ac:dyDescent="0.2">
      <c r="D103" s="66" t="e">
        <v>#N/A</v>
      </c>
      <c r="E103" s="66" t="e">
        <f>_xll.qlRateHelperQuoteName(D103)</f>
        <v>#VALUE!</v>
      </c>
      <c r="F103" s="67" t="e">
        <f>_xll.qlRateHelperRate($D103)</f>
        <v>#VALUE!</v>
      </c>
      <c r="G103" s="67" t="str">
        <f>IF(ISERROR(_xll.qlSwapRateHelperSpread($D103)),IF(ISERROR(_xll.qlFuturesRateHelperConvexityAdjustment($D103)),"--",_xll.qlFuturesRateHelperConvexityAdjustment($D103)),_xll.qlSwapRateHelperSpread($D103))</f>
        <v>--</v>
      </c>
      <c r="H103" s="76" t="e">
        <f>_xll.qlRateHelperEarliestDate($D103)</f>
        <v>#VALUE!</v>
      </c>
      <c r="I103" s="77" t="e">
        <f>_xll.qlRateHelperLatestDate($D103)</f>
        <v>#VALUE!</v>
      </c>
      <c r="J103" s="63" t="e">
        <v>#N/A</v>
      </c>
    </row>
    <row r="104" spans="4:10" x14ac:dyDescent="0.2">
      <c r="D104" s="66" t="e">
        <v>#N/A</v>
      </c>
      <c r="E104" s="66" t="e">
        <f>_xll.qlRateHelperQuoteName(D104)</f>
        <v>#VALUE!</v>
      </c>
      <c r="F104" s="67" t="e">
        <f>_xll.qlRateHelperRate($D104)</f>
        <v>#VALUE!</v>
      </c>
      <c r="G104" s="67" t="str">
        <f>IF(ISERROR(_xll.qlSwapRateHelperSpread($D104)),IF(ISERROR(_xll.qlFuturesRateHelperConvexityAdjustment($D104)),"--",_xll.qlFuturesRateHelperConvexityAdjustment($D104)),_xll.qlSwapRateHelperSpread($D104))</f>
        <v>--</v>
      </c>
      <c r="H104" s="76" t="e">
        <f>_xll.qlRateHelperEarliestDate($D104)</f>
        <v>#VALUE!</v>
      </c>
      <c r="I104" s="77" t="e">
        <f>_xll.qlRateHelperLatestDate($D104)</f>
        <v>#VALUE!</v>
      </c>
      <c r="J104" s="63" t="e">
        <v>#N/A</v>
      </c>
    </row>
    <row r="105" spans="4:10" x14ac:dyDescent="0.2">
      <c r="D105" s="66" t="e">
        <v>#N/A</v>
      </c>
      <c r="E105" s="66" t="e">
        <f>_xll.qlRateHelperQuoteName(D105)</f>
        <v>#VALUE!</v>
      </c>
      <c r="F105" s="67" t="e">
        <f>_xll.qlRateHelperRate($D105)</f>
        <v>#VALUE!</v>
      </c>
      <c r="G105" s="67" t="str">
        <f>IF(ISERROR(_xll.qlSwapRateHelperSpread($D105)),IF(ISERROR(_xll.qlFuturesRateHelperConvexityAdjustment($D105)),"--",_xll.qlFuturesRateHelperConvexityAdjustment($D105)),_xll.qlSwapRateHelperSpread($D105))</f>
        <v>--</v>
      </c>
      <c r="H105" s="76" t="e">
        <f>_xll.qlRateHelperEarliestDate($D105)</f>
        <v>#VALUE!</v>
      </c>
      <c r="I105" s="77" t="e">
        <f>_xll.qlRateHelperLatestDate($D105)</f>
        <v>#VALUE!</v>
      </c>
      <c r="J105" s="63" t="e">
        <v>#N/A</v>
      </c>
    </row>
    <row r="106" spans="4:10" x14ac:dyDescent="0.2">
      <c r="D106" s="66" t="e">
        <v>#N/A</v>
      </c>
      <c r="E106" s="66" t="e">
        <f>_xll.qlRateHelperQuoteName(D106)</f>
        <v>#VALUE!</v>
      </c>
      <c r="F106" s="67" t="e">
        <f>_xll.qlRateHelperRate($D106)</f>
        <v>#VALUE!</v>
      </c>
      <c r="G106" s="67" t="str">
        <f>IF(ISERROR(_xll.qlSwapRateHelperSpread($D106)),IF(ISERROR(_xll.qlFuturesRateHelperConvexityAdjustment($D106)),"--",_xll.qlFuturesRateHelperConvexityAdjustment($D106)),_xll.qlSwapRateHelperSpread($D106))</f>
        <v>--</v>
      </c>
      <c r="H106" s="76" t="e">
        <f>_xll.qlRateHelperEarliestDate($D106)</f>
        <v>#VALUE!</v>
      </c>
      <c r="I106" s="77" t="e">
        <f>_xll.qlRateHelperLatestDate($D106)</f>
        <v>#VALUE!</v>
      </c>
      <c r="J106" s="63" t="e">
        <v>#N/A</v>
      </c>
    </row>
    <row r="107" spans="4:10" x14ac:dyDescent="0.2">
      <c r="D107" s="66" t="e">
        <v>#N/A</v>
      </c>
      <c r="E107" s="66" t="e">
        <f>_xll.qlRateHelperQuoteName(D107)</f>
        <v>#VALUE!</v>
      </c>
      <c r="F107" s="67" t="e">
        <f>_xll.qlRateHelperRate($D107)</f>
        <v>#VALUE!</v>
      </c>
      <c r="G107" s="67" t="str">
        <f>IF(ISERROR(_xll.qlSwapRateHelperSpread($D107)),IF(ISERROR(_xll.qlFuturesRateHelperConvexityAdjustment($D107)),"--",_xll.qlFuturesRateHelperConvexityAdjustment($D107)),_xll.qlSwapRateHelperSpread($D107))</f>
        <v>--</v>
      </c>
      <c r="H107" s="76" t="e">
        <f>_xll.qlRateHelperEarliestDate($D107)</f>
        <v>#VALUE!</v>
      </c>
      <c r="I107" s="77" t="e">
        <f>_xll.qlRateHelperLatestDate($D107)</f>
        <v>#VALUE!</v>
      </c>
      <c r="J107" s="63" t="e">
        <v>#N/A</v>
      </c>
    </row>
    <row r="108" spans="4:10" x14ac:dyDescent="0.2">
      <c r="D108" s="66" t="e">
        <v>#N/A</v>
      </c>
      <c r="E108" s="66" t="e">
        <f>_xll.qlRateHelperQuoteName(D108)</f>
        <v>#VALUE!</v>
      </c>
      <c r="F108" s="67" t="e">
        <f>_xll.qlRateHelperRate($D108)</f>
        <v>#VALUE!</v>
      </c>
      <c r="G108" s="67" t="str">
        <f>IF(ISERROR(_xll.qlSwapRateHelperSpread($D108)),IF(ISERROR(_xll.qlFuturesRateHelperConvexityAdjustment($D108)),"--",_xll.qlFuturesRateHelperConvexityAdjustment($D108)),_xll.qlSwapRateHelperSpread($D108))</f>
        <v>--</v>
      </c>
      <c r="H108" s="76" t="e">
        <f>_xll.qlRateHelperEarliestDate($D108)</f>
        <v>#VALUE!</v>
      </c>
      <c r="I108" s="77" t="e">
        <f>_xll.qlRateHelperLatestDate($D108)</f>
        <v>#VALUE!</v>
      </c>
      <c r="J108" s="63" t="e">
        <v>#N/A</v>
      </c>
    </row>
    <row r="109" spans="4:10" x14ac:dyDescent="0.2">
      <c r="D109" s="66" t="e">
        <v>#N/A</v>
      </c>
      <c r="E109" s="66" t="e">
        <f>_xll.qlRateHelperQuoteName(D109)</f>
        <v>#VALUE!</v>
      </c>
      <c r="F109" s="67" t="e">
        <f>_xll.qlRateHelperRate($D109)</f>
        <v>#VALUE!</v>
      </c>
      <c r="G109" s="67" t="str">
        <f>IF(ISERROR(_xll.qlSwapRateHelperSpread($D109)),IF(ISERROR(_xll.qlFuturesRateHelperConvexityAdjustment($D109)),"--",_xll.qlFuturesRateHelperConvexityAdjustment($D109)),_xll.qlSwapRateHelperSpread($D109))</f>
        <v>--</v>
      </c>
      <c r="H109" s="76" t="e">
        <f>_xll.qlRateHelperEarliestDate($D109)</f>
        <v>#VALUE!</v>
      </c>
      <c r="I109" s="77" t="e">
        <f>_xll.qlRateHelperLatestDate($D109)</f>
        <v>#VALUE!</v>
      </c>
      <c r="J109" s="63" t="e">
        <v>#N/A</v>
      </c>
    </row>
    <row r="110" spans="4:10" x14ac:dyDescent="0.2">
      <c r="D110" s="66" t="e">
        <v>#N/A</v>
      </c>
      <c r="E110" s="66" t="e">
        <f>_xll.qlRateHelperQuoteName(D110)</f>
        <v>#VALUE!</v>
      </c>
      <c r="F110" s="67" t="e">
        <f>_xll.qlRateHelperRate($D110)</f>
        <v>#VALUE!</v>
      </c>
      <c r="G110" s="67" t="str">
        <f>IF(ISERROR(_xll.qlSwapRateHelperSpread($D110)),IF(ISERROR(_xll.qlFuturesRateHelperConvexityAdjustment($D110)),"--",_xll.qlFuturesRateHelperConvexityAdjustment($D110)),_xll.qlSwapRateHelperSpread($D110))</f>
        <v>--</v>
      </c>
      <c r="H110" s="76" t="e">
        <f>_xll.qlRateHelperEarliestDate($D110)</f>
        <v>#VALUE!</v>
      </c>
      <c r="I110" s="77" t="e">
        <f>_xll.qlRateHelperLatestDate($D110)</f>
        <v>#VALUE!</v>
      </c>
      <c r="J110" s="63" t="e">
        <v>#N/A</v>
      </c>
    </row>
    <row r="111" spans="4:10" x14ac:dyDescent="0.2">
      <c r="D111" s="66" t="e">
        <v>#N/A</v>
      </c>
      <c r="E111" s="66" t="e">
        <f>_xll.qlRateHelperQuoteName(D111)</f>
        <v>#VALUE!</v>
      </c>
      <c r="F111" s="67" t="e">
        <f>_xll.qlRateHelperRate($D111)</f>
        <v>#VALUE!</v>
      </c>
      <c r="G111" s="67" t="str">
        <f>IF(ISERROR(_xll.qlSwapRateHelperSpread($D111)),IF(ISERROR(_xll.qlFuturesRateHelperConvexityAdjustment($D111)),"--",_xll.qlFuturesRateHelperConvexityAdjustment($D111)),_xll.qlSwapRateHelperSpread($D111))</f>
        <v>--</v>
      </c>
      <c r="H111" s="76" t="e">
        <f>_xll.qlRateHelperEarliestDate($D111)</f>
        <v>#VALUE!</v>
      </c>
      <c r="I111" s="77" t="e">
        <f>_xll.qlRateHelperLatestDate($D111)</f>
        <v>#VALUE!</v>
      </c>
      <c r="J111" s="63" t="e">
        <v>#N/A</v>
      </c>
    </row>
    <row r="112" spans="4:10" x14ac:dyDescent="0.2">
      <c r="D112" s="66" t="e">
        <v>#N/A</v>
      </c>
      <c r="E112" s="66" t="e">
        <f>_xll.qlRateHelperQuoteName(D112)</f>
        <v>#VALUE!</v>
      </c>
      <c r="F112" s="67" t="e">
        <f>_xll.qlRateHelperRate($D112)</f>
        <v>#VALUE!</v>
      </c>
      <c r="G112" s="67" t="str">
        <f>IF(ISERROR(_xll.qlSwapRateHelperSpread($D112)),IF(ISERROR(_xll.qlFuturesRateHelperConvexityAdjustment($D112)),"--",_xll.qlFuturesRateHelperConvexityAdjustment($D112)),_xll.qlSwapRateHelperSpread($D112))</f>
        <v>--</v>
      </c>
      <c r="H112" s="76" t="e">
        <f>_xll.qlRateHelperEarliestDate($D112)</f>
        <v>#VALUE!</v>
      </c>
      <c r="I112" s="77" t="e">
        <f>_xll.qlRateHelperLatestDate($D112)</f>
        <v>#VALUE!</v>
      </c>
      <c r="J112" s="63" t="e">
        <v>#N/A</v>
      </c>
    </row>
    <row r="113" spans="4:10" x14ac:dyDescent="0.2">
      <c r="D113" s="66" t="e">
        <v>#N/A</v>
      </c>
      <c r="E113" s="66" t="e">
        <f>_xll.qlRateHelperQuoteName(D113)</f>
        <v>#VALUE!</v>
      </c>
      <c r="F113" s="67" t="e">
        <f>_xll.qlRateHelperRate($D113)</f>
        <v>#VALUE!</v>
      </c>
      <c r="G113" s="67" t="str">
        <f>IF(ISERROR(_xll.qlSwapRateHelperSpread($D113)),IF(ISERROR(_xll.qlFuturesRateHelperConvexityAdjustment($D113)),"--",_xll.qlFuturesRateHelperConvexityAdjustment($D113)),_xll.qlSwapRateHelperSpread($D113))</f>
        <v>--</v>
      </c>
      <c r="H113" s="76" t="e">
        <f>_xll.qlRateHelperEarliestDate($D113)</f>
        <v>#VALUE!</v>
      </c>
      <c r="I113" s="77" t="e">
        <f>_xll.qlRateHelperLatestDate($D113)</f>
        <v>#VALUE!</v>
      </c>
      <c r="J113" s="63" t="e">
        <v>#N/A</v>
      </c>
    </row>
    <row r="114" spans="4:10" x14ac:dyDescent="0.2">
      <c r="D114" s="66" t="e">
        <v>#N/A</v>
      </c>
      <c r="E114" s="66" t="e">
        <f>_xll.qlRateHelperQuoteName(D114)</f>
        <v>#VALUE!</v>
      </c>
      <c r="F114" s="67" t="e">
        <f>_xll.qlRateHelperRate($D114)</f>
        <v>#VALUE!</v>
      </c>
      <c r="G114" s="67" t="str">
        <f>IF(ISERROR(_xll.qlSwapRateHelperSpread($D114)),IF(ISERROR(_xll.qlFuturesRateHelperConvexityAdjustment($D114)),"--",_xll.qlFuturesRateHelperConvexityAdjustment($D114)),_xll.qlSwapRateHelperSpread($D114))</f>
        <v>--</v>
      </c>
      <c r="H114" s="76" t="e">
        <f>_xll.qlRateHelperEarliestDate($D114)</f>
        <v>#VALUE!</v>
      </c>
      <c r="I114" s="77" t="e">
        <f>_xll.qlRateHelperLatestDate($D114)</f>
        <v>#VALUE!</v>
      </c>
      <c r="J114" s="63" t="e">
        <v>#N/A</v>
      </c>
    </row>
    <row r="115" spans="4:10" x14ac:dyDescent="0.2">
      <c r="D115" s="66" t="e">
        <v>#N/A</v>
      </c>
      <c r="E115" s="66" t="e">
        <f>_xll.qlRateHelperQuoteName(D115)</f>
        <v>#VALUE!</v>
      </c>
      <c r="F115" s="67" t="e">
        <f>_xll.qlRateHelperRate($D115)</f>
        <v>#VALUE!</v>
      </c>
      <c r="G115" s="67" t="str">
        <f>IF(ISERROR(_xll.qlSwapRateHelperSpread($D115)),IF(ISERROR(_xll.qlFuturesRateHelperConvexityAdjustment($D115)),"--",_xll.qlFuturesRateHelperConvexityAdjustment($D115)),_xll.qlSwapRateHelperSpread($D115))</f>
        <v>--</v>
      </c>
      <c r="H115" s="76" t="e">
        <f>_xll.qlRateHelperEarliestDate($D115)</f>
        <v>#VALUE!</v>
      </c>
      <c r="I115" s="77" t="e">
        <f>_xll.qlRateHelperLatestDate($D115)</f>
        <v>#VALUE!</v>
      </c>
      <c r="J115" s="63" t="e">
        <v>#N/A</v>
      </c>
    </row>
    <row r="116" spans="4:10" x14ac:dyDescent="0.2">
      <c r="D116" s="66" t="e">
        <v>#N/A</v>
      </c>
      <c r="E116" s="66" t="e">
        <f>_xll.qlRateHelperQuoteName(D116)</f>
        <v>#VALUE!</v>
      </c>
      <c r="F116" s="67" t="e">
        <f>_xll.qlRateHelperRate($D116)</f>
        <v>#VALUE!</v>
      </c>
      <c r="G116" s="67" t="str">
        <f>IF(ISERROR(_xll.qlSwapRateHelperSpread($D116)),IF(ISERROR(_xll.qlFuturesRateHelperConvexityAdjustment($D116)),"--",_xll.qlFuturesRateHelperConvexityAdjustment($D116)),_xll.qlSwapRateHelperSpread($D116))</f>
        <v>--</v>
      </c>
      <c r="H116" s="76" t="e">
        <f>_xll.qlRateHelperEarliestDate($D116)</f>
        <v>#VALUE!</v>
      </c>
      <c r="I116" s="77" t="e">
        <f>_xll.qlRateHelperLatestDate($D116)</f>
        <v>#VALUE!</v>
      </c>
      <c r="J116" s="63" t="e">
        <v>#N/A</v>
      </c>
    </row>
    <row r="117" spans="4:10" x14ac:dyDescent="0.2">
      <c r="D117" s="66" t="e">
        <v>#N/A</v>
      </c>
      <c r="E117" s="66" t="e">
        <f>_xll.qlRateHelperQuoteName(D117)</f>
        <v>#VALUE!</v>
      </c>
      <c r="F117" s="67" t="e">
        <f>_xll.qlRateHelperRate($D117)</f>
        <v>#VALUE!</v>
      </c>
      <c r="G117" s="67" t="str">
        <f>IF(ISERROR(_xll.qlSwapRateHelperSpread($D117)),IF(ISERROR(_xll.qlFuturesRateHelperConvexityAdjustment($D117)),"--",_xll.qlFuturesRateHelperConvexityAdjustment($D117)),_xll.qlSwapRateHelperSpread($D117))</f>
        <v>--</v>
      </c>
      <c r="H117" s="76" t="e">
        <f>_xll.qlRateHelperEarliestDate($D117)</f>
        <v>#VALUE!</v>
      </c>
      <c r="I117" s="77" t="e">
        <f>_xll.qlRateHelperLatestDate($D117)</f>
        <v>#VALUE!</v>
      </c>
      <c r="J117" s="63" t="e">
        <v>#N/A</v>
      </c>
    </row>
    <row r="118" spans="4:10" x14ac:dyDescent="0.2">
      <c r="D118" s="66" t="e">
        <v>#N/A</v>
      </c>
      <c r="E118" s="66" t="e">
        <f>_xll.qlRateHelperQuoteName(D118)</f>
        <v>#VALUE!</v>
      </c>
      <c r="F118" s="67" t="e">
        <f>_xll.qlRateHelperRate($D118)</f>
        <v>#VALUE!</v>
      </c>
      <c r="G118" s="67" t="str">
        <f>IF(ISERROR(_xll.qlSwapRateHelperSpread($D118)),IF(ISERROR(_xll.qlFuturesRateHelperConvexityAdjustment($D118)),"--",_xll.qlFuturesRateHelperConvexityAdjustment($D118)),_xll.qlSwapRateHelperSpread($D118))</f>
        <v>--</v>
      </c>
      <c r="H118" s="76" t="e">
        <f>_xll.qlRateHelperEarliestDate($D118)</f>
        <v>#VALUE!</v>
      </c>
      <c r="I118" s="77" t="e">
        <f>_xll.qlRateHelperLatestDate($D118)</f>
        <v>#VALUE!</v>
      </c>
      <c r="J118" s="63" t="e">
        <v>#N/A</v>
      </c>
    </row>
    <row r="119" spans="4:10" x14ac:dyDescent="0.2">
      <c r="D119" s="66" t="e">
        <v>#N/A</v>
      </c>
      <c r="E119" s="66" t="e">
        <f>_xll.qlRateHelperQuoteName(D119)</f>
        <v>#VALUE!</v>
      </c>
      <c r="F119" s="67" t="e">
        <f>_xll.qlRateHelperRate($D119)</f>
        <v>#VALUE!</v>
      </c>
      <c r="G119" s="67" t="str">
        <f>IF(ISERROR(_xll.qlSwapRateHelperSpread($D119)),IF(ISERROR(_xll.qlFuturesRateHelperConvexityAdjustment($D119)),"--",_xll.qlFuturesRateHelperConvexityAdjustment($D119)),_xll.qlSwapRateHelperSpread($D119))</f>
        <v>--</v>
      </c>
      <c r="H119" s="76" t="e">
        <f>_xll.qlRateHelperEarliestDate($D119)</f>
        <v>#VALUE!</v>
      </c>
      <c r="I119" s="77" t="e">
        <f>_xll.qlRateHelperLatestDate($D119)</f>
        <v>#VALUE!</v>
      </c>
      <c r="J119" s="63" t="e">
        <v>#N/A</v>
      </c>
    </row>
    <row r="120" spans="4:10" x14ac:dyDescent="0.2">
      <c r="D120" s="66" t="e">
        <v>#N/A</v>
      </c>
      <c r="E120" s="66" t="e">
        <f>_xll.qlRateHelperQuoteName(D120)</f>
        <v>#VALUE!</v>
      </c>
      <c r="F120" s="67" t="e">
        <f>_xll.qlRateHelperRate($D120)</f>
        <v>#VALUE!</v>
      </c>
      <c r="G120" s="67" t="str">
        <f>IF(ISERROR(_xll.qlSwapRateHelperSpread($D120)),IF(ISERROR(_xll.qlFuturesRateHelperConvexityAdjustment($D120)),"--",_xll.qlFuturesRateHelperConvexityAdjustment($D120)),_xll.qlSwapRateHelperSpread($D120))</f>
        <v>--</v>
      </c>
      <c r="H120" s="76" t="e">
        <f>_xll.qlRateHelperEarliestDate($D120)</f>
        <v>#VALUE!</v>
      </c>
      <c r="I120" s="77" t="e">
        <f>_xll.qlRateHelperLatestDate($D120)</f>
        <v>#VALUE!</v>
      </c>
      <c r="J120" s="63" t="e">
        <v>#N/A</v>
      </c>
    </row>
    <row r="121" spans="4:10" x14ac:dyDescent="0.2">
      <c r="D121" s="66" t="e">
        <v>#N/A</v>
      </c>
      <c r="E121" s="66" t="e">
        <f>_xll.qlRateHelperQuoteName(D121)</f>
        <v>#VALUE!</v>
      </c>
      <c r="F121" s="67" t="e">
        <f>_xll.qlRateHelperRate($D121)</f>
        <v>#VALUE!</v>
      </c>
      <c r="G121" s="67" t="str">
        <f>IF(ISERROR(_xll.qlSwapRateHelperSpread($D121)),IF(ISERROR(_xll.qlFuturesRateHelperConvexityAdjustment($D121)),"--",_xll.qlFuturesRateHelperConvexityAdjustment($D121)),_xll.qlSwapRateHelperSpread($D121))</f>
        <v>--</v>
      </c>
      <c r="H121" s="76" t="e">
        <f>_xll.qlRateHelperEarliestDate($D121)</f>
        <v>#VALUE!</v>
      </c>
      <c r="I121" s="77" t="e">
        <f>_xll.qlRateHelperLatestDate($D121)</f>
        <v>#VALUE!</v>
      </c>
      <c r="J121" s="63" t="e">
        <v>#N/A</v>
      </c>
    </row>
    <row r="122" spans="4:10" x14ac:dyDescent="0.2">
      <c r="D122" s="66" t="e">
        <v>#N/A</v>
      </c>
      <c r="E122" s="66" t="e">
        <f>_xll.qlRateHelperQuoteName(D122)</f>
        <v>#VALUE!</v>
      </c>
      <c r="F122" s="67" t="e">
        <f>_xll.qlRateHelperRate($D122)</f>
        <v>#VALUE!</v>
      </c>
      <c r="G122" s="67" t="str">
        <f>IF(ISERROR(_xll.qlSwapRateHelperSpread($D122)),IF(ISERROR(_xll.qlFuturesRateHelperConvexityAdjustment($D122)),"--",_xll.qlFuturesRateHelperConvexityAdjustment($D122)),_xll.qlSwapRateHelperSpread($D122))</f>
        <v>--</v>
      </c>
      <c r="H122" s="76" t="e">
        <f>_xll.qlRateHelperEarliestDate($D122)</f>
        <v>#VALUE!</v>
      </c>
      <c r="I122" s="77" t="e">
        <f>_xll.qlRateHelperLatestDate($D122)</f>
        <v>#VALUE!</v>
      </c>
      <c r="J122" s="63" t="e">
        <v>#N/A</v>
      </c>
    </row>
    <row r="123" spans="4:10" x14ac:dyDescent="0.2">
      <c r="D123" s="66" t="e">
        <v>#N/A</v>
      </c>
      <c r="E123" s="66" t="e">
        <f>_xll.qlRateHelperQuoteName(D123)</f>
        <v>#VALUE!</v>
      </c>
      <c r="F123" s="67" t="e">
        <f>_xll.qlRateHelperRate($D123)</f>
        <v>#VALUE!</v>
      </c>
      <c r="G123" s="67" t="str">
        <f>IF(ISERROR(_xll.qlSwapRateHelperSpread($D123)),IF(ISERROR(_xll.qlFuturesRateHelperConvexityAdjustment($D123)),"--",_xll.qlFuturesRateHelperConvexityAdjustment($D123)),_xll.qlSwapRateHelperSpread($D123))</f>
        <v>--</v>
      </c>
      <c r="H123" s="76" t="e">
        <f>_xll.qlRateHelperEarliestDate($D123)</f>
        <v>#VALUE!</v>
      </c>
      <c r="I123" s="77" t="e">
        <f>_xll.qlRateHelperLatestDate($D123)</f>
        <v>#VALUE!</v>
      </c>
      <c r="J123" s="63" t="e">
        <v>#N/A</v>
      </c>
    </row>
    <row r="124" spans="4:10" x14ac:dyDescent="0.2">
      <c r="D124" s="66" t="e">
        <v>#N/A</v>
      </c>
      <c r="E124" s="66" t="e">
        <f>_xll.qlRateHelperQuoteName(D124)</f>
        <v>#VALUE!</v>
      </c>
      <c r="F124" s="67" t="e">
        <f>_xll.qlRateHelperRate($D124)</f>
        <v>#VALUE!</v>
      </c>
      <c r="G124" s="67" t="str">
        <f>IF(ISERROR(_xll.qlSwapRateHelperSpread($D124)),IF(ISERROR(_xll.qlFuturesRateHelperConvexityAdjustment($D124)),"--",_xll.qlFuturesRateHelperConvexityAdjustment($D124)),_xll.qlSwapRateHelperSpread($D124))</f>
        <v>--</v>
      </c>
      <c r="H124" s="76" t="e">
        <f>_xll.qlRateHelperEarliestDate($D124)</f>
        <v>#VALUE!</v>
      </c>
      <c r="I124" s="77" t="e">
        <f>_xll.qlRateHelperLatestDate($D124)</f>
        <v>#VALUE!</v>
      </c>
      <c r="J124" s="63" t="e">
        <v>#N/A</v>
      </c>
    </row>
    <row r="125" spans="4:10" x14ac:dyDescent="0.2">
      <c r="D125" s="66" t="e">
        <v>#N/A</v>
      </c>
      <c r="E125" s="66" t="e">
        <f>_xll.qlRateHelperQuoteName(D125)</f>
        <v>#VALUE!</v>
      </c>
      <c r="F125" s="67" t="e">
        <f>_xll.qlRateHelperRate($D125)</f>
        <v>#VALUE!</v>
      </c>
      <c r="G125" s="67" t="str">
        <f>IF(ISERROR(_xll.qlSwapRateHelperSpread($D125)),IF(ISERROR(_xll.qlFuturesRateHelperConvexityAdjustment($D125)),"--",_xll.qlFuturesRateHelperConvexityAdjustment($D125)),_xll.qlSwapRateHelperSpread($D125))</f>
        <v>--</v>
      </c>
      <c r="H125" s="76" t="e">
        <f>_xll.qlRateHelperEarliestDate($D125)</f>
        <v>#VALUE!</v>
      </c>
      <c r="I125" s="77" t="e">
        <f>_xll.qlRateHelperLatestDate($D125)</f>
        <v>#VALUE!</v>
      </c>
      <c r="J125" s="63" t="e">
        <v>#N/A</v>
      </c>
    </row>
    <row r="126" spans="4:10" ht="12" thickBot="1" x14ac:dyDescent="0.25">
      <c r="D126" s="73" t="e">
        <v>#N/A</v>
      </c>
      <c r="E126" s="73" t="e">
        <f>_xll.qlRateHelperQuoteName(D126)</f>
        <v>#VALUE!</v>
      </c>
      <c r="F126" s="74" t="e">
        <f>_xll.qlRateHelperRate($D126)</f>
        <v>#VALUE!</v>
      </c>
      <c r="G126" s="74" t="str">
        <f>IF(ISERROR(_xll.qlSwapRateHelperSpread($D126)),IF(ISERROR(_xll.qlFuturesRateHelperConvexityAdjustment($D126)),"--",_xll.qlFuturesRateHelperConvexityAdjustment($D126)),_xll.qlSwapRateHelperSpread($D126))</f>
        <v>--</v>
      </c>
      <c r="H126" s="78" t="e">
        <f>_xll.qlRateHelperEarliestDate($D126)</f>
        <v>#VALUE!</v>
      </c>
      <c r="I126" s="79" t="e">
        <f>_xll.qlRateHelperLatestDate($D126)</f>
        <v>#VALUE!</v>
      </c>
      <c r="J126" s="63" t="e">
        <v>#N/A</v>
      </c>
    </row>
    <row r="127" spans="4:10" x14ac:dyDescent="0.2">
      <c r="H127" s="80"/>
      <c r="I127" s="80"/>
    </row>
    <row r="128" spans="4:10" x14ac:dyDescent="0.2">
      <c r="H128" s="80"/>
      <c r="I128" s="80"/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"/>
  <sheetViews>
    <sheetView workbookViewId="0"/>
  </sheetViews>
  <sheetFormatPr defaultRowHeight="13.5" x14ac:dyDescent="0.25"/>
  <cols>
    <col min="1" max="1" width="2.7109375" style="97" customWidth="1"/>
    <col min="2" max="2" width="6" style="97" bestFit="1" customWidth="1"/>
    <col min="3" max="3" width="15.85546875" style="97" customWidth="1"/>
    <col min="4" max="4" width="22" style="97" bestFit="1" customWidth="1"/>
    <col min="5" max="5" width="15.7109375" style="97" bestFit="1" customWidth="1"/>
    <col min="6" max="6" width="20.7109375" style="97" customWidth="1"/>
    <col min="7" max="7" width="2.28515625" style="97" customWidth="1"/>
    <col min="8" max="8" width="2.7109375" style="97" customWidth="1"/>
    <col min="9" max="9" width="9.140625" style="97"/>
    <col min="10" max="10" width="5" style="97" customWidth="1"/>
    <col min="11" max="11" width="17.5703125" style="97" customWidth="1"/>
    <col min="12" max="12" width="17.28515625" style="97" bestFit="1" customWidth="1"/>
    <col min="13" max="13" width="11" style="97" bestFit="1" customWidth="1"/>
    <col min="14" max="16384" width="9.140625" style="97"/>
  </cols>
  <sheetData>
    <row r="1" spans="1:8" ht="11.25" customHeight="1" x14ac:dyDescent="0.25">
      <c r="A1" s="239"/>
      <c r="B1" s="240"/>
      <c r="C1" s="240"/>
      <c r="D1" s="241" t="s">
        <v>168</v>
      </c>
      <c r="E1" s="241"/>
      <c r="F1" s="242"/>
      <c r="G1" s="243"/>
      <c r="H1" s="226"/>
    </row>
    <row r="2" spans="1:8" s="264" customFormat="1" ht="12" customHeight="1" x14ac:dyDescent="0.25">
      <c r="A2" s="260"/>
      <c r="B2" s="266" t="s">
        <v>147</v>
      </c>
      <c r="C2" s="266" t="s">
        <v>91</v>
      </c>
      <c r="D2" s="266" t="s">
        <v>90</v>
      </c>
      <c r="E2" s="261"/>
      <c r="F2" s="262" t="str">
        <f>_xll.ohRangeRetrieveError(E2)</f>
        <v/>
      </c>
      <c r="G2" s="263"/>
    </row>
    <row r="3" spans="1:8" s="264" customFormat="1" ht="12" customHeight="1" x14ac:dyDescent="0.25">
      <c r="A3" s="260"/>
      <c r="B3" s="267" t="s">
        <v>161</v>
      </c>
      <c r="C3" s="265" t="str">
        <f>_xll.qlLibor(,Currency,B3,,Permanent,Trigger,ObjectOverwrite)</f>
        <v>obj_0030a#0001</v>
      </c>
      <c r="D3" s="265" t="str">
        <f>UPPER(Currency)&amp;B3&amp;"D"&amp;QuoteSuffix</f>
        <v>CHFOND_Quote</v>
      </c>
      <c r="E3" s="265" t="str">
        <f>_xll.qlDepositRateHelper(,D3,C3,Permanent,Trigger,FileOverwrite)</f>
        <v>obj_0031b#0001</v>
      </c>
      <c r="F3" s="262" t="str">
        <f>_xll.ohRangeRetrieveError(E3)</f>
        <v/>
      </c>
      <c r="G3" s="263"/>
    </row>
    <row r="4" spans="1:8" s="264" customFormat="1" ht="12" customHeight="1" x14ac:dyDescent="0.25">
      <c r="A4" s="260"/>
      <c r="B4" s="267" t="s">
        <v>164</v>
      </c>
      <c r="C4" s="265" t="str">
        <f>_xll.qlLibor(,Currency,B4,,Permanent,Trigger,ObjectOverwrite)</f>
        <v>obj_0030d#0001</v>
      </c>
      <c r="D4" s="265" t="str">
        <f t="shared" ref="D4:D11" si="0">UPPER(Currency)&amp;B4&amp;"D"&amp;QuoteSuffix</f>
        <v>CHFTND_Quote</v>
      </c>
      <c r="E4" s="265" t="str">
        <f>_xll.qlDepositRateHelper(,D4,C4,Permanent,Trigger,FileOverwrite)</f>
        <v>obj_00319#0001</v>
      </c>
      <c r="F4" s="262"/>
      <c r="G4" s="263"/>
    </row>
    <row r="5" spans="1:8" s="264" customFormat="1" ht="12" customHeight="1" x14ac:dyDescent="0.25">
      <c r="A5" s="260"/>
      <c r="B5" s="267" t="s">
        <v>162</v>
      </c>
      <c r="C5" s="265" t="str">
        <f>_xll.qlLibor(,Currency,B5,,Permanent,Trigger,ObjectOverwrite)</f>
        <v>obj_0030b#0001</v>
      </c>
      <c r="D5" s="265" t="str">
        <f>UPPER(Currency)&amp;B5&amp;"D"&amp;$D$1&amp;IndexTenor&amp;QuoteSuffix</f>
        <v>CHFSND_SYNTH3M_Quote</v>
      </c>
      <c r="E5" s="265" t="str">
        <f>_xll.qlDepositRateHelper(,D5,C5,Permanent,Trigger,FileOverwrite)</f>
        <v>obj_00317#0001</v>
      </c>
      <c r="F5" s="262" t="str">
        <f>_xll.ohRangeRetrieveError(E5)</f>
        <v/>
      </c>
      <c r="G5" s="263"/>
    </row>
    <row r="6" spans="1:8" s="264" customFormat="1" ht="12" customHeight="1" x14ac:dyDescent="0.25">
      <c r="A6" s="260"/>
      <c r="B6" s="267" t="s">
        <v>89</v>
      </c>
      <c r="C6" s="265" t="str">
        <f>_xll.qlLibor(,Currency,B6,,Permanent,Trigger,ObjectOverwrite)</f>
        <v>obj_0030e#0001</v>
      </c>
      <c r="D6" s="265" t="str">
        <f>UPPER(Currency)&amp;B6&amp;"D"&amp;$D$1&amp;IndexTenor&amp;QuoteSuffix</f>
        <v>CHFSWD_SYNTH3M_Quote</v>
      </c>
      <c r="E6" s="265" t="str">
        <f>_xll.qlDepositRateHelper(,D6,C6,Permanent,Trigger,FileOverwrite)</f>
        <v>obj_00314#0001</v>
      </c>
      <c r="F6" s="262" t="str">
        <f>_xll.ohRangeRetrieveError(E6)</f>
        <v/>
      </c>
      <c r="G6" s="263"/>
    </row>
    <row r="7" spans="1:8" s="264" customFormat="1" ht="12" customHeight="1" x14ac:dyDescent="0.25">
      <c r="A7" s="260"/>
      <c r="B7" s="267" t="s">
        <v>88</v>
      </c>
      <c r="C7" s="265" t="str">
        <f>_xll.qlLibor(,Currency,B7,,Permanent,Trigger,ObjectOverwrite)</f>
        <v>obj_00309#0001</v>
      </c>
      <c r="D7" s="265" t="str">
        <f>UPPER(Currency)&amp;B7&amp;"D"&amp;$D$1&amp;IndexTenor&amp;QuoteSuffix</f>
        <v>CHF1MD_SYNTH3M_Quote</v>
      </c>
      <c r="E7" s="265" t="str">
        <f>_xll.qlDepositRateHelper(,D7,C7,Permanent,Trigger,FileOverwrite)</f>
        <v>obj_00316#0001</v>
      </c>
      <c r="F7" s="262" t="str">
        <f>_xll.ohRangeRetrieveError(E7)</f>
        <v/>
      </c>
      <c r="G7" s="263"/>
    </row>
    <row r="8" spans="1:8" s="264" customFormat="1" ht="12" customHeight="1" x14ac:dyDescent="0.25">
      <c r="A8" s="260"/>
      <c r="B8" s="267" t="s">
        <v>87</v>
      </c>
      <c r="C8" s="265" t="str">
        <f>_xll.qlLibor(,Currency,B8,,Permanent,Trigger,ObjectOverwrite)</f>
        <v>obj_0030f#0001</v>
      </c>
      <c r="D8" s="265" t="str">
        <f>UPPER(Currency)&amp;B8&amp;"D"&amp;$D$1&amp;IndexTenor&amp;QuoteSuffix</f>
        <v>CHF2MD_SYNTH3M_Quote</v>
      </c>
      <c r="E8" s="265" t="str">
        <f>_xll.qlDepositRateHelper(,D8,C8,Permanent,Trigger,FileOverwrite)</f>
        <v>obj_0031a#0001</v>
      </c>
      <c r="F8" s="262" t="str">
        <f>_xll.ohRangeRetrieveError(E8)</f>
        <v/>
      </c>
      <c r="G8" s="263"/>
    </row>
    <row r="9" spans="1:8" s="264" customFormat="1" ht="12" customHeight="1" x14ac:dyDescent="0.25">
      <c r="A9" s="260"/>
      <c r="B9" s="267" t="s">
        <v>86</v>
      </c>
      <c r="C9" s="265" t="str">
        <f>_xll.qlLibor(,Currency,B9,,Permanent,Trigger,ObjectOverwrite)</f>
        <v>obj_00310#0001</v>
      </c>
      <c r="D9" s="265" t="str">
        <f>UPPER(Currency)&amp;B9&amp;"D"&amp;$D$1&amp;IndexTenor&amp;QuoteSuffix</f>
        <v>CHF3MD_SYNTH3M_Quote</v>
      </c>
      <c r="E9" s="265" t="str">
        <f>_xll.qlDepositRateHelper(,D9,C9,Permanent,Trigger,FileOverwrite)</f>
        <v>obj_00315#0001</v>
      </c>
      <c r="F9" s="262" t="str">
        <f>_xll.ohRangeRetrieveError(E9)</f>
        <v/>
      </c>
      <c r="G9" s="263"/>
    </row>
    <row r="10" spans="1:8" s="264" customFormat="1" ht="12" customHeight="1" x14ac:dyDescent="0.25">
      <c r="A10" s="260"/>
      <c r="B10" s="267" t="s">
        <v>163</v>
      </c>
      <c r="C10" s="265" t="str">
        <f>_xll.qlLibor(,Currency,B10,,Permanent,Trigger,ObjectOverwrite)</f>
        <v>obj_00311#0001</v>
      </c>
      <c r="D10" s="265" t="str">
        <f t="shared" si="0"/>
        <v>CHF6MD_Quote</v>
      </c>
      <c r="E10" s="265" t="str">
        <f>_xll.qlDepositRateHelper(,D10,C10,Permanent,Trigger,FileOverwrite)</f>
        <v>obj_00312#0001</v>
      </c>
      <c r="F10" s="262" t="str">
        <f>_xll.ohRangeRetrieveError(E10)</f>
        <v/>
      </c>
      <c r="G10" s="263"/>
    </row>
    <row r="11" spans="1:8" s="264" customFormat="1" ht="12" customHeight="1" x14ac:dyDescent="0.25">
      <c r="A11" s="260"/>
      <c r="B11" s="267" t="s">
        <v>36</v>
      </c>
      <c r="C11" s="265" t="str">
        <f>_xll.qlLibor(,Currency,B11,,Permanent,Trigger,ObjectOverwrite)</f>
        <v>obj_0030c#0001</v>
      </c>
      <c r="D11" s="265" t="str">
        <f t="shared" si="0"/>
        <v>CHF1YD_Quote</v>
      </c>
      <c r="E11" s="265" t="str">
        <f>_xll.qlDepositRateHelper(,D11,C11,Permanent,Trigger,FileOverwrite)</f>
        <v>obj_00313#0001</v>
      </c>
      <c r="F11" s="262" t="str">
        <f>_xll.ohRangeRetrieveError(E11)</f>
        <v/>
      </c>
      <c r="G11" s="263"/>
    </row>
    <row r="12" spans="1:8" ht="14.25" thickBot="1" x14ac:dyDescent="0.3">
      <c r="A12" s="244"/>
      <c r="B12" s="245"/>
      <c r="C12" s="245"/>
      <c r="D12" s="245"/>
      <c r="E12" s="245"/>
      <c r="F12" s="245"/>
      <c r="G12" s="246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43"/>
  <sheetViews>
    <sheetView workbookViewId="0"/>
  </sheetViews>
  <sheetFormatPr defaultRowHeight="11.25" x14ac:dyDescent="0.2"/>
  <cols>
    <col min="1" max="1" width="2.7109375" style="149" customWidth="1"/>
    <col min="2" max="2" width="3" style="149" bestFit="1" customWidth="1"/>
    <col min="3" max="3" width="2" style="149" bestFit="1" customWidth="1"/>
    <col min="4" max="4" width="5" style="149" bestFit="1" customWidth="1"/>
    <col min="5" max="5" width="11" style="149" bestFit="1" customWidth="1"/>
    <col min="6" max="6" width="16.140625" style="149" bestFit="1" customWidth="1"/>
    <col min="7" max="7" width="15.140625" style="149" bestFit="1" customWidth="1"/>
    <col min="8" max="8" width="20.7109375" style="149" customWidth="1"/>
    <col min="9" max="9" width="2.7109375" style="149" customWidth="1"/>
    <col min="10" max="16384" width="9.140625" style="149"/>
  </cols>
  <sheetData>
    <row r="1" spans="1:9" ht="11.25" customHeight="1" x14ac:dyDescent="0.2">
      <c r="A1" s="274"/>
      <c r="B1" s="275"/>
      <c r="C1" s="275"/>
      <c r="D1" s="275"/>
      <c r="E1" s="275"/>
      <c r="F1" s="275"/>
      <c r="G1" s="275"/>
      <c r="H1" s="275"/>
      <c r="I1" s="276"/>
    </row>
    <row r="2" spans="1:9" x14ac:dyDescent="0.2">
      <c r="A2" s="277"/>
      <c r="B2" s="283"/>
      <c r="C2" s="283"/>
      <c r="D2" s="283"/>
      <c r="E2" s="283" t="s">
        <v>91</v>
      </c>
      <c r="F2" s="283" t="s">
        <v>90</v>
      </c>
      <c r="G2" s="116"/>
      <c r="H2" s="268" t="str">
        <f>_xll.ohRangeRetrieveError(G2)</f>
        <v/>
      </c>
      <c r="I2" s="278"/>
    </row>
    <row r="3" spans="1:9" x14ac:dyDescent="0.2">
      <c r="A3" s="277"/>
      <c r="B3" s="269" t="str">
        <f t="shared" ref="B3:B11" si="0">C3&amp;"M"</f>
        <v>1M</v>
      </c>
      <c r="C3" s="269">
        <v>1</v>
      </c>
      <c r="D3" s="269" t="str">
        <f t="shared" ref="D3:D11" si="1">"x"&amp;C3+Months&amp;"F"</f>
        <v>x4F</v>
      </c>
      <c r="E3" s="269" t="str">
        <f t="shared" ref="E3:E11" si="2">PROPER(Currency)&amp;FamilyName&amp;IndexTenor</f>
        <v>ChfLibor3M</v>
      </c>
      <c r="F3" s="269" t="str">
        <f t="shared" ref="F3:F8" si="3">Currency&amp;C3&amp;D3&amp;"_Quote"</f>
        <v>CHF1x4F_Quote</v>
      </c>
      <c r="G3" s="269" t="str">
        <f>_xll.qlFraRateHelper(,F3,B3,E3,Permanent,Trigger,ObjectOverwrite)</f>
        <v>obj_00307#0001</v>
      </c>
      <c r="H3" s="270" t="str">
        <f>_xll.ohRangeRetrieveError(G3)</f>
        <v/>
      </c>
      <c r="I3" s="278"/>
    </row>
    <row r="4" spans="1:9" x14ac:dyDescent="0.2">
      <c r="A4" s="277"/>
      <c r="B4" s="271" t="str">
        <f t="shared" si="0"/>
        <v>2M</v>
      </c>
      <c r="C4" s="271">
        <v>2</v>
      </c>
      <c r="D4" s="271" t="str">
        <f t="shared" si="1"/>
        <v>x5F</v>
      </c>
      <c r="E4" s="271" t="str">
        <f t="shared" si="2"/>
        <v>ChfLibor3M</v>
      </c>
      <c r="F4" s="271" t="str">
        <f t="shared" si="3"/>
        <v>CHF2x5F_Quote</v>
      </c>
      <c r="G4" s="271" t="str">
        <f>_xll.qlFraRateHelper(,F4,B4,E4,Permanent,Trigger,ObjectOverwrite)</f>
        <v>obj_00304#0001</v>
      </c>
      <c r="H4" s="272" t="str">
        <f>_xll.ohRangeRetrieveError(G4)</f>
        <v/>
      </c>
      <c r="I4" s="278"/>
    </row>
    <row r="5" spans="1:9" x14ac:dyDescent="0.2">
      <c r="A5" s="277"/>
      <c r="B5" s="271" t="str">
        <f t="shared" si="0"/>
        <v>3M</v>
      </c>
      <c r="C5" s="271">
        <v>3</v>
      </c>
      <c r="D5" s="271" t="str">
        <f t="shared" si="1"/>
        <v>x6F</v>
      </c>
      <c r="E5" s="271" t="str">
        <f t="shared" si="2"/>
        <v>ChfLibor3M</v>
      </c>
      <c r="F5" s="271" t="str">
        <f t="shared" si="3"/>
        <v>CHF3x6F_Quote</v>
      </c>
      <c r="G5" s="271" t="str">
        <f>_xll.qlFraRateHelper(,F5,B5,E5,Permanent,Trigger,ObjectOverwrite)</f>
        <v>obj_00303#0001</v>
      </c>
      <c r="H5" s="272" t="str">
        <f>_xll.ohRangeRetrieveError(G5)</f>
        <v/>
      </c>
      <c r="I5" s="278"/>
    </row>
    <row r="6" spans="1:9" x14ac:dyDescent="0.2">
      <c r="A6" s="277"/>
      <c r="B6" s="271" t="str">
        <f t="shared" si="0"/>
        <v>4M</v>
      </c>
      <c r="C6" s="271">
        <v>4</v>
      </c>
      <c r="D6" s="271" t="str">
        <f t="shared" si="1"/>
        <v>x7F</v>
      </c>
      <c r="E6" s="271" t="str">
        <f t="shared" si="2"/>
        <v>ChfLibor3M</v>
      </c>
      <c r="F6" s="271" t="str">
        <f t="shared" si="3"/>
        <v>CHF4x7F_Quote</v>
      </c>
      <c r="G6" s="271" t="str">
        <f>_xll.qlFraRateHelper(,F6,B6,E6,Permanent,Trigger,ObjectOverwrite)</f>
        <v>obj_00308#0001</v>
      </c>
      <c r="H6" s="272" t="str">
        <f>_xll.ohRangeRetrieveError(G6)</f>
        <v/>
      </c>
      <c r="I6" s="278"/>
    </row>
    <row r="7" spans="1:9" x14ac:dyDescent="0.2">
      <c r="A7" s="277"/>
      <c r="B7" s="271" t="str">
        <f t="shared" si="0"/>
        <v>5M</v>
      </c>
      <c r="C7" s="271">
        <v>5</v>
      </c>
      <c r="D7" s="271" t="str">
        <f t="shared" si="1"/>
        <v>x8F</v>
      </c>
      <c r="E7" s="271" t="str">
        <f t="shared" si="2"/>
        <v>ChfLibor3M</v>
      </c>
      <c r="F7" s="271" t="str">
        <f t="shared" si="3"/>
        <v>CHF5x8F_Quote</v>
      </c>
      <c r="G7" s="271" t="str">
        <f>_xll.qlFraRateHelper(,F7,B7,E7,Permanent,Trigger,ObjectOverwrite)</f>
        <v>obj_00306#0001</v>
      </c>
      <c r="H7" s="272" t="str">
        <f>_xll.ohRangeRetrieveError(G7)</f>
        <v/>
      </c>
      <c r="I7" s="278"/>
    </row>
    <row r="8" spans="1:9" x14ac:dyDescent="0.2">
      <c r="A8" s="277"/>
      <c r="B8" s="271" t="str">
        <f t="shared" si="0"/>
        <v>6M</v>
      </c>
      <c r="C8" s="271">
        <v>6</v>
      </c>
      <c r="D8" s="271" t="str">
        <f t="shared" si="1"/>
        <v>x9F</v>
      </c>
      <c r="E8" s="271" t="str">
        <f t="shared" si="2"/>
        <v>ChfLibor3M</v>
      </c>
      <c r="F8" s="271" t="str">
        <f t="shared" si="3"/>
        <v>CHF6x9F_Quote</v>
      </c>
      <c r="G8" s="271" t="str">
        <f>_xll.qlFraRateHelper(,F8,B8,E8,Permanent,Trigger,ObjectOverwrite)</f>
        <v>obj_00305#0001</v>
      </c>
      <c r="H8" s="272" t="str">
        <f>_xll.ohRangeRetrieveError(G8)</f>
        <v/>
      </c>
      <c r="I8" s="278"/>
    </row>
    <row r="9" spans="1:9" x14ac:dyDescent="0.2">
      <c r="A9" s="277"/>
      <c r="B9" s="271" t="str">
        <f t="shared" si="0"/>
        <v>7M</v>
      </c>
      <c r="C9" s="271">
        <v>7</v>
      </c>
      <c r="D9" s="271" t="str">
        <f t="shared" si="1"/>
        <v>x10F</v>
      </c>
      <c r="E9" s="271" t="str">
        <f t="shared" si="2"/>
        <v>ChfLibor3M</v>
      </c>
      <c r="F9" s="271" t="str">
        <f t="shared" ref="F9:F11" si="4">Currency&amp;C9&amp;D9&amp;"_Quote"</f>
        <v>CHF7x10F_Quote</v>
      </c>
      <c r="G9" s="271" t="str">
        <f>_xll.qlFraRateHelper(,F9,B9,E9,Permanent,Trigger,ObjectOverwrite)</f>
        <v>obj_00300#0001</v>
      </c>
      <c r="H9" s="272" t="str">
        <f>_xll.ohRangeRetrieveError(G9)</f>
        <v/>
      </c>
      <c r="I9" s="278"/>
    </row>
    <row r="10" spans="1:9" x14ac:dyDescent="0.2">
      <c r="A10" s="277"/>
      <c r="B10" s="271" t="str">
        <f t="shared" si="0"/>
        <v>8M</v>
      </c>
      <c r="C10" s="271">
        <v>8</v>
      </c>
      <c r="D10" s="271" t="str">
        <f t="shared" si="1"/>
        <v>x11F</v>
      </c>
      <c r="E10" s="271" t="str">
        <f t="shared" si="2"/>
        <v>ChfLibor3M</v>
      </c>
      <c r="F10" s="271" t="str">
        <f t="shared" si="4"/>
        <v>CHF8x11F_Quote</v>
      </c>
      <c r="G10" s="271" t="str">
        <f>_xll.qlFraRateHelper(,F10,B10,E10,Permanent,Trigger,ObjectOverwrite)</f>
        <v>obj_00302#0001</v>
      </c>
      <c r="H10" s="272" t="str">
        <f>_xll.ohRangeRetrieveError(G10)</f>
        <v/>
      </c>
      <c r="I10" s="278"/>
    </row>
    <row r="11" spans="1:9" x14ac:dyDescent="0.2">
      <c r="A11" s="277"/>
      <c r="B11" s="125" t="str">
        <f t="shared" si="0"/>
        <v>9M</v>
      </c>
      <c r="C11" s="125">
        <v>9</v>
      </c>
      <c r="D11" s="125" t="str">
        <f t="shared" si="1"/>
        <v>x12F</v>
      </c>
      <c r="E11" s="125" t="str">
        <f t="shared" si="2"/>
        <v>ChfLibor3M</v>
      </c>
      <c r="F11" s="125" t="str">
        <f t="shared" si="4"/>
        <v>CHF9x12F_Quote</v>
      </c>
      <c r="G11" s="125" t="str">
        <f>_xll.qlFraRateHelper(,F11,B11,E11,Permanent,Trigger,ObjectOverwrite)</f>
        <v>obj_00301#0001</v>
      </c>
      <c r="H11" s="273" t="str">
        <f>_xll.ohRangeRetrieveError(G11)</f>
        <v/>
      </c>
      <c r="I11" s="278"/>
    </row>
    <row r="12" spans="1:9" ht="11.25" customHeight="1" thickBot="1" x14ac:dyDescent="0.25">
      <c r="A12" s="279"/>
      <c r="B12" s="250"/>
      <c r="C12" s="250"/>
      <c r="D12" s="280"/>
      <c r="E12" s="280"/>
      <c r="F12" s="280"/>
      <c r="G12" s="280"/>
      <c r="H12" s="280"/>
      <c r="I12" s="281"/>
    </row>
    <row r="13" spans="1:9" x14ac:dyDescent="0.2">
      <c r="B13" s="231"/>
      <c r="C13" s="231"/>
      <c r="D13" s="282"/>
      <c r="E13" s="282"/>
    </row>
    <row r="14" spans="1:9" x14ac:dyDescent="0.2">
      <c r="B14" s="231"/>
      <c r="C14" s="231"/>
      <c r="D14" s="282"/>
      <c r="E14" s="282"/>
    </row>
    <row r="15" spans="1:9" x14ac:dyDescent="0.2">
      <c r="B15" s="231"/>
      <c r="C15" s="231"/>
      <c r="D15" s="282"/>
      <c r="E15" s="282"/>
    </row>
    <row r="16" spans="1:9" x14ac:dyDescent="0.2">
      <c r="B16" s="231"/>
      <c r="C16" s="231"/>
      <c r="D16" s="282"/>
      <c r="E16" s="282"/>
    </row>
    <row r="17" spans="2:5" x14ac:dyDescent="0.2">
      <c r="B17" s="231"/>
      <c r="C17" s="231"/>
      <c r="D17" s="282"/>
      <c r="E17" s="282"/>
    </row>
    <row r="18" spans="2:5" x14ac:dyDescent="0.2">
      <c r="B18" s="231"/>
      <c r="C18" s="231"/>
      <c r="D18" s="282"/>
      <c r="E18" s="282"/>
    </row>
    <row r="19" spans="2:5" x14ac:dyDescent="0.2">
      <c r="B19" s="231"/>
      <c r="C19" s="231"/>
      <c r="D19" s="282"/>
      <c r="E19" s="282"/>
    </row>
    <row r="20" spans="2:5" x14ac:dyDescent="0.2">
      <c r="B20" s="231"/>
      <c r="C20" s="231"/>
      <c r="D20" s="282"/>
      <c r="E20" s="282"/>
    </row>
    <row r="21" spans="2:5" x14ac:dyDescent="0.2">
      <c r="B21" s="231"/>
      <c r="C21" s="231"/>
      <c r="D21" s="282"/>
      <c r="E21" s="282"/>
    </row>
    <row r="22" spans="2:5" x14ac:dyDescent="0.2">
      <c r="B22" s="231"/>
      <c r="C22" s="231"/>
      <c r="D22" s="282"/>
      <c r="E22" s="282"/>
    </row>
    <row r="23" spans="2:5" x14ac:dyDescent="0.2">
      <c r="B23" s="231"/>
      <c r="C23" s="231"/>
      <c r="D23" s="282"/>
      <c r="E23" s="282"/>
    </row>
    <row r="24" spans="2:5" x14ac:dyDescent="0.2">
      <c r="B24" s="231"/>
      <c r="C24" s="231"/>
      <c r="D24" s="282"/>
      <c r="E24" s="282"/>
    </row>
    <row r="25" spans="2:5" x14ac:dyDescent="0.2">
      <c r="B25" s="231"/>
      <c r="C25" s="231"/>
      <c r="D25" s="282"/>
      <c r="E25" s="282"/>
    </row>
    <row r="26" spans="2:5" x14ac:dyDescent="0.2">
      <c r="B26" s="231"/>
      <c r="C26" s="231"/>
      <c r="D26" s="282"/>
      <c r="E26" s="282"/>
    </row>
    <row r="27" spans="2:5" x14ac:dyDescent="0.2">
      <c r="B27" s="231"/>
      <c r="C27" s="231"/>
      <c r="D27" s="282"/>
      <c r="E27" s="282"/>
    </row>
    <row r="28" spans="2:5" x14ac:dyDescent="0.2">
      <c r="B28" s="231"/>
      <c r="C28" s="231"/>
      <c r="D28" s="282"/>
      <c r="E28" s="282"/>
    </row>
    <row r="29" spans="2:5" x14ac:dyDescent="0.2">
      <c r="B29" s="231"/>
      <c r="C29" s="231"/>
      <c r="D29" s="282"/>
      <c r="E29" s="282"/>
    </row>
    <row r="30" spans="2:5" x14ac:dyDescent="0.2">
      <c r="B30" s="231"/>
      <c r="C30" s="231"/>
      <c r="D30" s="282"/>
      <c r="E30" s="282"/>
    </row>
    <row r="31" spans="2:5" x14ac:dyDescent="0.2">
      <c r="B31" s="231"/>
      <c r="C31" s="231"/>
      <c r="D31" s="282"/>
      <c r="E31" s="282"/>
    </row>
    <row r="32" spans="2:5" x14ac:dyDescent="0.2">
      <c r="B32" s="231"/>
      <c r="C32" s="231"/>
      <c r="D32" s="282"/>
      <c r="E32" s="282"/>
    </row>
    <row r="33" spans="2:5" x14ac:dyDescent="0.2">
      <c r="B33" s="231"/>
      <c r="C33" s="231"/>
      <c r="D33" s="282"/>
      <c r="E33" s="282"/>
    </row>
    <row r="34" spans="2:5" x14ac:dyDescent="0.2">
      <c r="B34" s="231"/>
      <c r="C34" s="231"/>
      <c r="D34" s="282"/>
      <c r="E34" s="282"/>
    </row>
    <row r="35" spans="2:5" x14ac:dyDescent="0.2">
      <c r="B35" s="231"/>
      <c r="C35" s="231"/>
      <c r="D35" s="282"/>
      <c r="E35" s="282"/>
    </row>
    <row r="36" spans="2:5" x14ac:dyDescent="0.2">
      <c r="B36" s="231"/>
      <c r="C36" s="231"/>
      <c r="D36" s="282"/>
      <c r="E36" s="282"/>
    </row>
    <row r="37" spans="2:5" x14ac:dyDescent="0.2">
      <c r="B37" s="231"/>
      <c r="C37" s="231"/>
      <c r="D37" s="282"/>
      <c r="E37" s="282"/>
    </row>
    <row r="38" spans="2:5" x14ac:dyDescent="0.2">
      <c r="B38" s="231"/>
      <c r="C38" s="231"/>
      <c r="D38" s="282"/>
      <c r="E38" s="282"/>
    </row>
    <row r="39" spans="2:5" x14ac:dyDescent="0.2">
      <c r="B39" s="231"/>
      <c r="C39" s="231"/>
      <c r="D39" s="282"/>
      <c r="E39" s="282"/>
    </row>
    <row r="40" spans="2:5" x14ac:dyDescent="0.2">
      <c r="B40" s="231"/>
      <c r="C40" s="231"/>
      <c r="D40" s="282"/>
      <c r="E40" s="282"/>
    </row>
    <row r="41" spans="2:5" x14ac:dyDescent="0.2">
      <c r="B41" s="282"/>
      <c r="C41" s="282"/>
      <c r="D41" s="282"/>
      <c r="E41" s="282"/>
    </row>
    <row r="42" spans="2:5" x14ac:dyDescent="0.2">
      <c r="B42" s="282"/>
      <c r="C42" s="282"/>
      <c r="D42" s="282"/>
      <c r="E42" s="282"/>
    </row>
    <row r="43" spans="2:5" x14ac:dyDescent="0.2">
      <c r="B43" s="282"/>
      <c r="C43" s="282"/>
      <c r="D43" s="282"/>
      <c r="E43" s="282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45"/>
  <sheetViews>
    <sheetView workbookViewId="0"/>
  </sheetViews>
  <sheetFormatPr defaultRowHeight="13.5" x14ac:dyDescent="0.25"/>
  <cols>
    <col min="1" max="1" width="2.28515625" style="97" customWidth="1"/>
    <col min="2" max="2" width="3" style="97" bestFit="1" customWidth="1"/>
    <col min="3" max="3" width="7" style="97" bestFit="1" customWidth="1"/>
    <col min="4" max="4" width="6" style="97" bestFit="1" customWidth="1"/>
    <col min="5" max="5" width="7" style="97" bestFit="1" customWidth="1"/>
    <col min="6" max="6" width="10" style="97" bestFit="1" customWidth="1"/>
    <col min="7" max="7" width="11" style="97" bestFit="1" customWidth="1"/>
    <col min="8" max="8" width="17.28515625" style="97" bestFit="1" customWidth="1"/>
    <col min="9" max="10" width="24.42578125" style="97" bestFit="1" customWidth="1"/>
    <col min="11" max="11" width="20.7109375" style="97" customWidth="1"/>
    <col min="12" max="12" width="2.7109375" style="97" customWidth="1"/>
    <col min="13" max="13" width="9.140625" style="97"/>
    <col min="14" max="15" width="11.28515625" style="97" bestFit="1" customWidth="1"/>
    <col min="16" max="16384" width="9.140625" style="97"/>
  </cols>
  <sheetData>
    <row r="1" spans="1:15" x14ac:dyDescent="0.25">
      <c r="A1" s="94"/>
      <c r="B1" s="284"/>
      <c r="C1" s="284"/>
      <c r="D1" s="284"/>
      <c r="E1" s="284"/>
      <c r="F1" s="284"/>
      <c r="H1" s="139"/>
      <c r="I1" s="134"/>
      <c r="J1" s="247"/>
      <c r="K1" s="248"/>
      <c r="L1" s="96"/>
      <c r="N1" s="106"/>
    </row>
    <row r="2" spans="1:15" ht="22.5" x14ac:dyDescent="0.25">
      <c r="A2" s="94"/>
      <c r="B2" s="285" t="s">
        <v>104</v>
      </c>
      <c r="C2" s="285" t="s">
        <v>165</v>
      </c>
      <c r="D2" s="283" t="s">
        <v>103</v>
      </c>
      <c r="E2" s="286" t="s">
        <v>102</v>
      </c>
      <c r="F2" s="286" t="s">
        <v>166</v>
      </c>
      <c r="G2" s="283" t="s">
        <v>91</v>
      </c>
      <c r="H2" s="283" t="s">
        <v>90</v>
      </c>
      <c r="I2" s="283" t="s">
        <v>101</v>
      </c>
      <c r="J2" s="99"/>
      <c r="K2" s="100" t="str">
        <f>_xll.ohRangeRetrieveError(J2)</f>
        <v/>
      </c>
      <c r="L2" s="96"/>
    </row>
    <row r="3" spans="1:15" ht="11.25" customHeight="1" x14ac:dyDescent="0.25">
      <c r="A3" s="107"/>
      <c r="B3" s="287">
        <v>1</v>
      </c>
      <c r="C3" s="287" t="s">
        <v>150</v>
      </c>
      <c r="D3" s="108" t="b">
        <v>0</v>
      </c>
      <c r="E3" s="108" t="str">
        <f t="array" ref="E3:E44">_xll.qlIMMNextCodes(_xll.qlSettingsEvaluationDate(Trigger)-1,$D3:$D44)</f>
        <v>K5</v>
      </c>
      <c r="F3" s="289">
        <f>_xll.qlIMMdate(E3)</f>
        <v>42144</v>
      </c>
      <c r="G3" s="108" t="str">
        <f t="shared" ref="G3:G44" si="0">PROPER(Currency)&amp;FamilyName&amp;IndexTenor</f>
        <v>ChfLibor3M</v>
      </c>
      <c r="H3" s="109" t="str">
        <f t="shared" ref="H3:H44" si="1">Currency&amp;"FUT"&amp;IndexTenor&amp;$E3&amp;QuoteSuffix</f>
        <v>CHFFUT3MK5_Quote</v>
      </c>
      <c r="I3" s="109" t="str">
        <f t="shared" ref="I3:I44" si="2">Currency&amp;"FUT"&amp;IndexTenor&amp;$E3&amp;"ConvAdj"&amp;QuoteSuffix</f>
        <v>CHFFUT3MK5ConvAdj_Quote</v>
      </c>
      <c r="J3" s="110" t="str">
        <f>_xll.qlFuturesRateHelper(,$H3,$C3,$F3,$G3,$I3,Permanent,Trigger,ObjectOverwrite)</f>
        <v>obj_00367#0001</v>
      </c>
      <c r="K3" s="111" t="str">
        <f>_xll.ohRangeRetrieveError(J3)</f>
        <v/>
      </c>
      <c r="L3" s="96"/>
      <c r="M3" s="112"/>
      <c r="O3" s="251"/>
    </row>
    <row r="4" spans="1:15" ht="11.25" customHeight="1" x14ac:dyDescent="0.25">
      <c r="A4" s="107"/>
      <c r="B4" s="288">
        <v>2</v>
      </c>
      <c r="C4" s="287" t="s">
        <v>150</v>
      </c>
      <c r="D4" s="113" t="b">
        <v>0</v>
      </c>
      <c r="E4" s="113" t="str">
        <v>M5</v>
      </c>
      <c r="F4" s="289">
        <f>_xll.qlIMMdate(E4)</f>
        <v>42172</v>
      </c>
      <c r="G4" s="108" t="str">
        <f t="shared" si="0"/>
        <v>ChfLibor3M</v>
      </c>
      <c r="H4" s="109" t="str">
        <f t="shared" si="1"/>
        <v>CHFFUT3MM5_Quote</v>
      </c>
      <c r="I4" s="109" t="str">
        <f t="shared" si="2"/>
        <v>CHFFUT3MM5ConvAdj_Quote</v>
      </c>
      <c r="J4" s="110" t="str">
        <f>_xll.qlFuturesRateHelper(,$H4,$C4,$F4,$G4,$I4,Permanent,Trigger,ObjectOverwrite)</f>
        <v>obj_00365#0001</v>
      </c>
      <c r="K4" s="102" t="str">
        <f>_xll.ohRangeRetrieveError(J4)</f>
        <v/>
      </c>
      <c r="L4" s="96"/>
      <c r="M4" s="112"/>
      <c r="O4" s="251"/>
    </row>
    <row r="5" spans="1:15" ht="11.25" customHeight="1" x14ac:dyDescent="0.25">
      <c r="A5" s="107"/>
      <c r="B5" s="288">
        <v>3</v>
      </c>
      <c r="C5" s="287" t="s">
        <v>150</v>
      </c>
      <c r="D5" s="113" t="b">
        <v>0</v>
      </c>
      <c r="E5" s="113" t="str">
        <v>N5</v>
      </c>
      <c r="F5" s="289">
        <f>_xll.qlIMMdate(E5)</f>
        <v>42200</v>
      </c>
      <c r="G5" s="108" t="str">
        <f t="shared" si="0"/>
        <v>ChfLibor3M</v>
      </c>
      <c r="H5" s="109" t="str">
        <f t="shared" si="1"/>
        <v>CHFFUT3MN5_Quote</v>
      </c>
      <c r="I5" s="109" t="str">
        <f t="shared" si="2"/>
        <v>CHFFUT3MN5ConvAdj_Quote</v>
      </c>
      <c r="J5" s="110" t="str">
        <f>_xll.qlFuturesRateHelper(,$H5,$C5,$F5,$G5,$I5,Permanent,Trigger,ObjectOverwrite)</f>
        <v>obj_0036a#0001</v>
      </c>
      <c r="K5" s="102" t="str">
        <f>_xll.ohRangeRetrieveError(J5)</f>
        <v/>
      </c>
      <c r="L5" s="96"/>
      <c r="M5" s="112"/>
      <c r="O5" s="251"/>
    </row>
    <row r="6" spans="1:15" ht="11.25" customHeight="1" x14ac:dyDescent="0.25">
      <c r="A6" s="107"/>
      <c r="B6" s="288">
        <v>4</v>
      </c>
      <c r="C6" s="287" t="s">
        <v>150</v>
      </c>
      <c r="D6" s="113" t="b">
        <v>0</v>
      </c>
      <c r="E6" s="113" t="str">
        <v>Q5</v>
      </c>
      <c r="F6" s="289">
        <f>_xll.qlIMMdate(E6)</f>
        <v>42235</v>
      </c>
      <c r="G6" s="108" t="str">
        <f t="shared" si="0"/>
        <v>ChfLibor3M</v>
      </c>
      <c r="H6" s="109" t="str">
        <f t="shared" si="1"/>
        <v>CHFFUT3MQ5_Quote</v>
      </c>
      <c r="I6" s="109" t="str">
        <f t="shared" si="2"/>
        <v>CHFFUT3MQ5ConvAdj_Quote</v>
      </c>
      <c r="J6" s="110" t="str">
        <f>_xll.qlFuturesRateHelper(,$H6,$C6,$F6,$G6,$I6,Permanent,Trigger,ObjectOverwrite)</f>
        <v>obj_00343#0001</v>
      </c>
      <c r="K6" s="102" t="str">
        <f>_xll.ohRangeRetrieveError(J6)</f>
        <v/>
      </c>
      <c r="L6" s="96"/>
      <c r="M6" s="112"/>
      <c r="O6" s="251"/>
    </row>
    <row r="7" spans="1:15" ht="11.25" customHeight="1" x14ac:dyDescent="0.25">
      <c r="A7" s="107"/>
      <c r="B7" s="288">
        <v>5</v>
      </c>
      <c r="C7" s="287" t="s">
        <v>150</v>
      </c>
      <c r="D7" s="113" t="b">
        <v>0</v>
      </c>
      <c r="E7" s="113" t="str">
        <v>U5</v>
      </c>
      <c r="F7" s="289">
        <f>_xll.qlIMMdate(E7)</f>
        <v>42263</v>
      </c>
      <c r="G7" s="108" t="str">
        <f t="shared" si="0"/>
        <v>ChfLibor3M</v>
      </c>
      <c r="H7" s="109" t="str">
        <f t="shared" si="1"/>
        <v>CHFFUT3MU5_Quote</v>
      </c>
      <c r="I7" s="109" t="str">
        <f t="shared" si="2"/>
        <v>CHFFUT3MU5ConvAdj_Quote</v>
      </c>
      <c r="J7" s="110" t="str">
        <f>_xll.qlFuturesRateHelper(,$H7,$C7,$F7,$G7,$I7,Permanent,Trigger,ObjectOverwrite)</f>
        <v>obj_0034a#0001</v>
      </c>
      <c r="K7" s="102" t="str">
        <f>_xll.ohRangeRetrieveError(J7)</f>
        <v/>
      </c>
      <c r="L7" s="96"/>
      <c r="M7" s="112"/>
      <c r="O7" s="251"/>
    </row>
    <row r="8" spans="1:15" ht="11.25" customHeight="1" x14ac:dyDescent="0.25">
      <c r="A8" s="107"/>
      <c r="B8" s="288">
        <v>6</v>
      </c>
      <c r="C8" s="287" t="s">
        <v>150</v>
      </c>
      <c r="D8" s="113" t="b">
        <v>0</v>
      </c>
      <c r="E8" s="113" t="str">
        <v>V5</v>
      </c>
      <c r="F8" s="289">
        <f>_xll.qlIMMdate(E8)</f>
        <v>42298</v>
      </c>
      <c r="G8" s="108" t="str">
        <f t="shared" si="0"/>
        <v>ChfLibor3M</v>
      </c>
      <c r="H8" s="109" t="str">
        <f t="shared" si="1"/>
        <v>CHFFUT3MV5_Quote</v>
      </c>
      <c r="I8" s="109" t="str">
        <f t="shared" si="2"/>
        <v>CHFFUT3MV5ConvAdj_Quote</v>
      </c>
      <c r="J8" s="110" t="str">
        <f>_xll.qlFuturesRateHelper(,$H8,$C8,$F8,$G8,$I8,Permanent,Trigger,ObjectOverwrite)</f>
        <v>obj_00354#0001</v>
      </c>
      <c r="K8" s="102" t="str">
        <f>_xll.ohRangeRetrieveError(J8)</f>
        <v/>
      </c>
      <c r="L8" s="96"/>
      <c r="M8" s="112"/>
      <c r="O8" s="251"/>
    </row>
    <row r="9" spans="1:15" ht="11.25" customHeight="1" x14ac:dyDescent="0.25">
      <c r="A9" s="107"/>
      <c r="B9" s="288">
        <v>7</v>
      </c>
      <c r="C9" s="287" t="s">
        <v>150</v>
      </c>
      <c r="D9" s="113" t="b">
        <v>0</v>
      </c>
      <c r="E9" s="113" t="str">
        <v>X5</v>
      </c>
      <c r="F9" s="289">
        <f>_xll.qlIMMdate(E9)</f>
        <v>42326</v>
      </c>
      <c r="G9" s="108" t="str">
        <f t="shared" si="0"/>
        <v>ChfLibor3M</v>
      </c>
      <c r="H9" s="109" t="str">
        <f t="shared" si="1"/>
        <v>CHFFUT3MX5_Quote</v>
      </c>
      <c r="I9" s="109" t="str">
        <f t="shared" si="2"/>
        <v>CHFFUT3MX5ConvAdj_Quote</v>
      </c>
      <c r="J9" s="110" t="str">
        <f>_xll.qlFuturesRateHelper(,$H9,$C9,$F9,$G9,$I9,Permanent,Trigger,ObjectOverwrite)</f>
        <v>obj_0035e#0001</v>
      </c>
      <c r="K9" s="102" t="str">
        <f>_xll.ohRangeRetrieveError(J9)</f>
        <v/>
      </c>
      <c r="L9" s="96"/>
      <c r="M9" s="112"/>
      <c r="O9" s="251"/>
    </row>
    <row r="10" spans="1:15" ht="11.25" customHeight="1" x14ac:dyDescent="0.25">
      <c r="A10" s="107"/>
      <c r="B10" s="288">
        <v>8</v>
      </c>
      <c r="C10" s="287" t="s">
        <v>150</v>
      </c>
      <c r="D10" s="113" t="b">
        <v>0</v>
      </c>
      <c r="E10" s="113" t="str">
        <v>Z5</v>
      </c>
      <c r="F10" s="289">
        <f>_xll.qlIMMdate(E10)</f>
        <v>42354</v>
      </c>
      <c r="G10" s="108" t="str">
        <f t="shared" si="0"/>
        <v>ChfLibor3M</v>
      </c>
      <c r="H10" s="109" t="str">
        <f t="shared" si="1"/>
        <v>CHFFUT3MZ5_Quote</v>
      </c>
      <c r="I10" s="109" t="str">
        <f t="shared" si="2"/>
        <v>CHFFUT3MZ5ConvAdj_Quote</v>
      </c>
      <c r="J10" s="110" t="str">
        <f>_xll.qlFuturesRateHelper(,$H10,$C10,$F10,$G10,$I10,Permanent,Trigger,ObjectOverwrite)</f>
        <v>obj_00361#0001</v>
      </c>
      <c r="K10" s="102" t="str">
        <f>_xll.ohRangeRetrieveError(J10)</f>
        <v/>
      </c>
      <c r="L10" s="96"/>
      <c r="M10" s="112"/>
      <c r="O10" s="251"/>
    </row>
    <row r="11" spans="1:15" ht="11.25" customHeight="1" x14ac:dyDescent="0.25">
      <c r="A11" s="107"/>
      <c r="B11" s="288">
        <v>9</v>
      </c>
      <c r="C11" s="287" t="s">
        <v>150</v>
      </c>
      <c r="D11" s="113" t="b">
        <v>0</v>
      </c>
      <c r="E11" s="113" t="str">
        <v>F6</v>
      </c>
      <c r="F11" s="289">
        <f>_xll.qlIMMdate(E11)</f>
        <v>42389</v>
      </c>
      <c r="G11" s="108" t="str">
        <f t="shared" si="0"/>
        <v>ChfLibor3M</v>
      </c>
      <c r="H11" s="109" t="str">
        <f t="shared" si="1"/>
        <v>CHFFUT3MF6_Quote</v>
      </c>
      <c r="I11" s="109" t="str">
        <f t="shared" si="2"/>
        <v>CHFFUT3MF6ConvAdj_Quote</v>
      </c>
      <c r="J11" s="110" t="str">
        <f>_xll.qlFuturesRateHelper(,$H11,$C11,$F11,$G11,$I11,Permanent,Trigger,ObjectOverwrite)</f>
        <v>obj_00362#0001</v>
      </c>
      <c r="K11" s="102" t="str">
        <f>_xll.ohRangeRetrieveError(J11)</f>
        <v/>
      </c>
      <c r="L11" s="96"/>
      <c r="M11" s="112"/>
      <c r="O11" s="251"/>
    </row>
    <row r="12" spans="1:15" ht="11.25" customHeight="1" x14ac:dyDescent="0.25">
      <c r="A12" s="107"/>
      <c r="B12" s="288">
        <v>10</v>
      </c>
      <c r="C12" s="287" t="s">
        <v>150</v>
      </c>
      <c r="D12" s="113" t="b">
        <v>0</v>
      </c>
      <c r="E12" s="113" t="str">
        <v>G6</v>
      </c>
      <c r="F12" s="289">
        <f>_xll.qlIMMdate(E12)</f>
        <v>42417</v>
      </c>
      <c r="G12" s="108" t="str">
        <f t="shared" si="0"/>
        <v>ChfLibor3M</v>
      </c>
      <c r="H12" s="109" t="str">
        <f t="shared" si="1"/>
        <v>CHFFUT3MG6_Quote</v>
      </c>
      <c r="I12" s="109" t="str">
        <f t="shared" si="2"/>
        <v>CHFFUT3MG6ConvAdj_Quote</v>
      </c>
      <c r="J12" s="110" t="str">
        <f>_xll.qlFuturesRateHelper(,$H12,$C12,$F12,$G12,$I12,Permanent,Trigger,ObjectOverwrite)</f>
        <v>obj_0035a#0001</v>
      </c>
      <c r="K12" s="102" t="str">
        <f>_xll.ohRangeRetrieveError(J12)</f>
        <v/>
      </c>
      <c r="L12" s="96"/>
      <c r="M12" s="112"/>
      <c r="O12" s="251"/>
    </row>
    <row r="13" spans="1:15" ht="11.25" customHeight="1" x14ac:dyDescent="0.25">
      <c r="A13" s="107"/>
      <c r="B13" s="288">
        <v>11</v>
      </c>
      <c r="C13" s="287" t="s">
        <v>150</v>
      </c>
      <c r="D13" s="113" t="b">
        <v>0</v>
      </c>
      <c r="E13" s="113" t="str">
        <v>H6</v>
      </c>
      <c r="F13" s="289">
        <f>_xll.qlIMMdate(E13)</f>
        <v>42445</v>
      </c>
      <c r="G13" s="108" t="str">
        <f t="shared" si="0"/>
        <v>ChfLibor3M</v>
      </c>
      <c r="H13" s="109" t="str">
        <f t="shared" si="1"/>
        <v>CHFFUT3MH6_Quote</v>
      </c>
      <c r="I13" s="109" t="str">
        <f t="shared" si="2"/>
        <v>CHFFUT3MH6ConvAdj_Quote</v>
      </c>
      <c r="J13" s="110" t="str">
        <f>_xll.qlFuturesRateHelper(,$H13,$C13,$F13,$G13,$I13,Permanent,Trigger,ObjectOverwrite)</f>
        <v>obj_00341#0001</v>
      </c>
      <c r="K13" s="102" t="str">
        <f>_xll.ohRangeRetrieveError(J13)</f>
        <v/>
      </c>
      <c r="L13" s="96"/>
      <c r="M13" s="112"/>
      <c r="O13" s="251"/>
    </row>
    <row r="14" spans="1:15" ht="11.25" customHeight="1" x14ac:dyDescent="0.25">
      <c r="A14" s="107"/>
      <c r="B14" s="288">
        <v>12</v>
      </c>
      <c r="C14" s="287" t="s">
        <v>150</v>
      </c>
      <c r="D14" s="113" t="b">
        <v>0</v>
      </c>
      <c r="E14" s="113" t="str">
        <v>J6</v>
      </c>
      <c r="F14" s="289">
        <f>_xll.qlIMMdate(E14)</f>
        <v>42480</v>
      </c>
      <c r="G14" s="108" t="str">
        <f t="shared" si="0"/>
        <v>ChfLibor3M</v>
      </c>
      <c r="H14" s="109" t="str">
        <f t="shared" si="1"/>
        <v>CHFFUT3MJ6_Quote</v>
      </c>
      <c r="I14" s="109" t="str">
        <f t="shared" si="2"/>
        <v>CHFFUT3MJ6ConvAdj_Quote</v>
      </c>
      <c r="J14" s="110" t="str">
        <f>_xll.qlFuturesRateHelper(,$H14,$C14,$F14,$G14,$I14,Permanent,Trigger,ObjectOverwrite)</f>
        <v>obj_00345#0001</v>
      </c>
      <c r="K14" s="102" t="str">
        <f>_xll.ohRangeRetrieveError(J14)</f>
        <v/>
      </c>
      <c r="L14" s="96"/>
      <c r="M14" s="112"/>
      <c r="O14" s="251"/>
    </row>
    <row r="15" spans="1:15" ht="11.25" customHeight="1" x14ac:dyDescent="0.25">
      <c r="A15" s="107"/>
      <c r="B15" s="288">
        <v>13</v>
      </c>
      <c r="C15" s="287" t="s">
        <v>150</v>
      </c>
      <c r="D15" s="113" t="b">
        <v>1</v>
      </c>
      <c r="E15" s="113" t="str">
        <v>M6</v>
      </c>
      <c r="F15" s="289">
        <f>_xll.qlIMMdate(E15)</f>
        <v>42536</v>
      </c>
      <c r="G15" s="108" t="str">
        <f t="shared" si="0"/>
        <v>ChfLibor3M</v>
      </c>
      <c r="H15" s="109" t="str">
        <f t="shared" si="1"/>
        <v>CHFFUT3MM6_Quote</v>
      </c>
      <c r="I15" s="109" t="str">
        <f t="shared" si="2"/>
        <v>CHFFUT3MM6ConvAdj_Quote</v>
      </c>
      <c r="J15" s="110" t="str">
        <f>_xll.qlFuturesRateHelper(,$H15,$C15,$F15,$G15,$I15,Permanent,Trigger,ObjectOverwrite)</f>
        <v>obj_00349#0001</v>
      </c>
      <c r="K15" s="102" t="str">
        <f>_xll.ohRangeRetrieveError(J15)</f>
        <v/>
      </c>
      <c r="L15" s="96"/>
      <c r="M15" s="112"/>
      <c r="O15" s="251"/>
    </row>
    <row r="16" spans="1:15" ht="11.25" customHeight="1" x14ac:dyDescent="0.25">
      <c r="A16" s="107"/>
      <c r="B16" s="288">
        <v>14</v>
      </c>
      <c r="C16" s="287" t="s">
        <v>150</v>
      </c>
      <c r="D16" s="113" t="b">
        <v>1</v>
      </c>
      <c r="E16" s="113" t="str">
        <v>U6</v>
      </c>
      <c r="F16" s="289">
        <f>_xll.qlIMMdate(E16)</f>
        <v>42634</v>
      </c>
      <c r="G16" s="108" t="str">
        <f t="shared" si="0"/>
        <v>ChfLibor3M</v>
      </c>
      <c r="H16" s="109" t="str">
        <f t="shared" si="1"/>
        <v>CHFFUT3MU6_Quote</v>
      </c>
      <c r="I16" s="109" t="str">
        <f t="shared" si="2"/>
        <v>CHFFUT3MU6ConvAdj_Quote</v>
      </c>
      <c r="J16" s="110" t="str">
        <f>_xll.qlFuturesRateHelper(,$H16,$C16,$F16,$G16,$I16,Permanent,Trigger,ObjectOverwrite)</f>
        <v>obj_0035d#0001</v>
      </c>
      <c r="K16" s="102" t="str">
        <f>_xll.ohRangeRetrieveError(J16)</f>
        <v/>
      </c>
      <c r="L16" s="96"/>
      <c r="M16" s="112"/>
      <c r="O16" s="251"/>
    </row>
    <row r="17" spans="1:15" ht="11.25" customHeight="1" x14ac:dyDescent="0.25">
      <c r="A17" s="107"/>
      <c r="B17" s="288">
        <v>15</v>
      </c>
      <c r="C17" s="287" t="s">
        <v>150</v>
      </c>
      <c r="D17" s="113" t="b">
        <v>1</v>
      </c>
      <c r="E17" s="113" t="str">
        <v>Z6</v>
      </c>
      <c r="F17" s="289">
        <f>_xll.qlIMMdate(E17)</f>
        <v>42725</v>
      </c>
      <c r="G17" s="108" t="str">
        <f t="shared" si="0"/>
        <v>ChfLibor3M</v>
      </c>
      <c r="H17" s="109" t="str">
        <f t="shared" si="1"/>
        <v>CHFFUT3MZ6_Quote</v>
      </c>
      <c r="I17" s="109" t="str">
        <f t="shared" si="2"/>
        <v>CHFFUT3MZ6ConvAdj_Quote</v>
      </c>
      <c r="J17" s="110" t="str">
        <f>_xll.qlFuturesRateHelper(,$H17,$C17,$F17,$G17,$I17,Permanent,Trigger,ObjectOverwrite)</f>
        <v>obj_00364#0001</v>
      </c>
      <c r="K17" s="102" t="str">
        <f>_xll.ohRangeRetrieveError(J17)</f>
        <v/>
      </c>
      <c r="L17" s="96"/>
      <c r="M17" s="112"/>
      <c r="O17" s="251"/>
    </row>
    <row r="18" spans="1:15" ht="11.25" customHeight="1" x14ac:dyDescent="0.25">
      <c r="A18" s="107"/>
      <c r="B18" s="288">
        <v>16</v>
      </c>
      <c r="C18" s="287" t="s">
        <v>150</v>
      </c>
      <c r="D18" s="113" t="b">
        <v>1</v>
      </c>
      <c r="E18" s="113" t="str">
        <v>H7</v>
      </c>
      <c r="F18" s="289">
        <f>_xll.qlIMMdate(E18)</f>
        <v>42809</v>
      </c>
      <c r="G18" s="108" t="str">
        <f t="shared" si="0"/>
        <v>ChfLibor3M</v>
      </c>
      <c r="H18" s="109" t="str">
        <f t="shared" si="1"/>
        <v>CHFFUT3MH7_Quote</v>
      </c>
      <c r="I18" s="109" t="str">
        <f t="shared" si="2"/>
        <v>CHFFUT3MH7ConvAdj_Quote</v>
      </c>
      <c r="J18" s="110" t="str">
        <f>_xll.qlFuturesRateHelper(,$H18,$C18,$F18,$G18,$I18,Permanent,Trigger,ObjectOverwrite)</f>
        <v>obj_00348#0001</v>
      </c>
      <c r="K18" s="102" t="str">
        <f>_xll.ohRangeRetrieveError(J18)</f>
        <v/>
      </c>
      <c r="L18" s="96"/>
      <c r="M18" s="112"/>
      <c r="O18" s="251"/>
    </row>
    <row r="19" spans="1:15" ht="11.25" customHeight="1" x14ac:dyDescent="0.25">
      <c r="A19" s="107"/>
      <c r="B19" s="288">
        <v>17</v>
      </c>
      <c r="C19" s="287" t="s">
        <v>150</v>
      </c>
      <c r="D19" s="113" t="b">
        <v>1</v>
      </c>
      <c r="E19" s="113" t="str">
        <v>M7</v>
      </c>
      <c r="F19" s="289">
        <f>_xll.qlIMMdate(E19)</f>
        <v>42907</v>
      </c>
      <c r="G19" s="108" t="str">
        <f t="shared" si="0"/>
        <v>ChfLibor3M</v>
      </c>
      <c r="H19" s="109" t="str">
        <f t="shared" si="1"/>
        <v>CHFFUT3MM7_Quote</v>
      </c>
      <c r="I19" s="109" t="str">
        <f t="shared" si="2"/>
        <v>CHFFUT3MM7ConvAdj_Quote</v>
      </c>
      <c r="J19" s="110" t="str">
        <f>_xll.qlFuturesRateHelper(,$H19,$C19,$F19,$G19,$I19,Permanent,Trigger,ObjectOverwrite)</f>
        <v>obj_00360#0001</v>
      </c>
      <c r="K19" s="102" t="str">
        <f>_xll.ohRangeRetrieveError(J19)</f>
        <v/>
      </c>
      <c r="L19" s="96"/>
      <c r="M19" s="112"/>
      <c r="O19" s="251"/>
    </row>
    <row r="20" spans="1:15" ht="11.25" customHeight="1" x14ac:dyDescent="0.25">
      <c r="A20" s="107"/>
      <c r="B20" s="288">
        <v>18</v>
      </c>
      <c r="C20" s="287" t="s">
        <v>150</v>
      </c>
      <c r="D20" s="113" t="b">
        <v>1</v>
      </c>
      <c r="E20" s="113" t="str">
        <v>U7</v>
      </c>
      <c r="F20" s="289">
        <f>_xll.qlIMMdate(E20)</f>
        <v>42998</v>
      </c>
      <c r="G20" s="108" t="str">
        <f t="shared" si="0"/>
        <v>ChfLibor3M</v>
      </c>
      <c r="H20" s="109" t="str">
        <f t="shared" si="1"/>
        <v>CHFFUT3MU7_Quote</v>
      </c>
      <c r="I20" s="109" t="str">
        <f t="shared" si="2"/>
        <v>CHFFUT3MU7ConvAdj_Quote</v>
      </c>
      <c r="J20" s="110" t="str">
        <f>_xll.qlFuturesRateHelper(,$H20,$C20,$F20,$G20,$I20,Permanent,Trigger,ObjectOverwrite)</f>
        <v>obj_0035c#0001</v>
      </c>
      <c r="K20" s="102" t="str">
        <f>_xll.ohRangeRetrieveError(J20)</f>
        <v/>
      </c>
      <c r="L20" s="96"/>
      <c r="M20" s="112"/>
      <c r="O20" s="251"/>
    </row>
    <row r="21" spans="1:15" ht="11.25" customHeight="1" x14ac:dyDescent="0.25">
      <c r="A21" s="107"/>
      <c r="B21" s="288">
        <v>19</v>
      </c>
      <c r="C21" s="287" t="s">
        <v>150</v>
      </c>
      <c r="D21" s="113" t="b">
        <v>1</v>
      </c>
      <c r="E21" s="113" t="str">
        <v>Z7</v>
      </c>
      <c r="F21" s="289">
        <f>_xll.qlIMMdate(E21)</f>
        <v>43089</v>
      </c>
      <c r="G21" s="108" t="str">
        <f t="shared" si="0"/>
        <v>ChfLibor3M</v>
      </c>
      <c r="H21" s="109" t="str">
        <f t="shared" si="1"/>
        <v>CHFFUT3MZ7_Quote</v>
      </c>
      <c r="I21" s="109" t="str">
        <f t="shared" si="2"/>
        <v>CHFFUT3MZ7ConvAdj_Quote</v>
      </c>
      <c r="J21" s="110" t="str">
        <f>_xll.qlFuturesRateHelper(,$H21,$C21,$F21,$G21,$I21,Permanent,Trigger,ObjectOverwrite)</f>
        <v>obj_00344#0001</v>
      </c>
      <c r="K21" s="102" t="str">
        <f>_xll.ohRangeRetrieveError(J21)</f>
        <v/>
      </c>
      <c r="L21" s="96"/>
      <c r="M21" s="112"/>
      <c r="O21" s="251"/>
    </row>
    <row r="22" spans="1:15" ht="11.25" customHeight="1" x14ac:dyDescent="0.25">
      <c r="A22" s="107"/>
      <c r="B22" s="288">
        <v>20</v>
      </c>
      <c r="C22" s="287" t="s">
        <v>150</v>
      </c>
      <c r="D22" s="113" t="b">
        <v>1</v>
      </c>
      <c r="E22" s="113" t="str">
        <v>H8</v>
      </c>
      <c r="F22" s="289">
        <f>_xll.qlIMMdate(E22)</f>
        <v>43180</v>
      </c>
      <c r="G22" s="108" t="str">
        <f t="shared" si="0"/>
        <v>ChfLibor3M</v>
      </c>
      <c r="H22" s="109" t="str">
        <f t="shared" si="1"/>
        <v>CHFFUT3MH8_Quote</v>
      </c>
      <c r="I22" s="109" t="str">
        <f t="shared" si="2"/>
        <v>CHFFUT3MH8ConvAdj_Quote</v>
      </c>
      <c r="J22" s="110" t="str">
        <f>_xll.qlFuturesRateHelper(,$H22,$C22,$F22,$G22,$I22,Permanent,Trigger,ObjectOverwrite)</f>
        <v>obj_00353#0001</v>
      </c>
      <c r="K22" s="102" t="str">
        <f>_xll.ohRangeRetrieveError(J22)</f>
        <v/>
      </c>
      <c r="L22" s="96"/>
      <c r="M22" s="112"/>
      <c r="O22" s="251"/>
    </row>
    <row r="23" spans="1:15" ht="11.25" customHeight="1" x14ac:dyDescent="0.25">
      <c r="A23" s="107"/>
      <c r="B23" s="288">
        <v>21</v>
      </c>
      <c r="C23" s="287" t="s">
        <v>150</v>
      </c>
      <c r="D23" s="113" t="b">
        <v>1</v>
      </c>
      <c r="E23" s="113" t="str">
        <v>M8</v>
      </c>
      <c r="F23" s="289">
        <f>_xll.qlIMMdate(E23)</f>
        <v>43271</v>
      </c>
      <c r="G23" s="108" t="str">
        <f t="shared" si="0"/>
        <v>ChfLibor3M</v>
      </c>
      <c r="H23" s="109" t="str">
        <f t="shared" si="1"/>
        <v>CHFFUT3MM8_Quote</v>
      </c>
      <c r="I23" s="109" t="str">
        <f t="shared" si="2"/>
        <v>CHFFUT3MM8ConvAdj_Quote</v>
      </c>
      <c r="J23" s="110" t="str">
        <f>_xll.qlFuturesRateHelper(,$H23,$C23,$F23,$G23,$I23,Permanent,Trigger,ObjectOverwrite)</f>
        <v>obj_0034d#0001</v>
      </c>
      <c r="K23" s="102" t="str">
        <f>_xll.ohRangeRetrieveError(J23)</f>
        <v/>
      </c>
      <c r="L23" s="96"/>
      <c r="M23" s="112"/>
      <c r="O23" s="251"/>
    </row>
    <row r="24" spans="1:15" ht="11.25" customHeight="1" x14ac:dyDescent="0.25">
      <c r="A24" s="107"/>
      <c r="B24" s="288">
        <v>22</v>
      </c>
      <c r="C24" s="287" t="s">
        <v>150</v>
      </c>
      <c r="D24" s="113" t="b">
        <v>1</v>
      </c>
      <c r="E24" s="113" t="str">
        <v>U8</v>
      </c>
      <c r="F24" s="289">
        <f>_xll.qlIMMdate(E24)</f>
        <v>43362</v>
      </c>
      <c r="G24" s="108" t="str">
        <f t="shared" si="0"/>
        <v>ChfLibor3M</v>
      </c>
      <c r="H24" s="109" t="str">
        <f t="shared" si="1"/>
        <v>CHFFUT3MU8_Quote</v>
      </c>
      <c r="I24" s="109" t="str">
        <f t="shared" si="2"/>
        <v>CHFFUT3MU8ConvAdj_Quote</v>
      </c>
      <c r="J24" s="110" t="str">
        <f>_xll.qlFuturesRateHelper(,$H24,$C24,$F24,$G24,$I24,Permanent,Trigger,ObjectOverwrite)</f>
        <v>obj_00346#0001</v>
      </c>
      <c r="K24" s="102" t="str">
        <f>_xll.ohRangeRetrieveError(J24)</f>
        <v/>
      </c>
      <c r="L24" s="96"/>
      <c r="M24" s="112"/>
      <c r="O24" s="251"/>
    </row>
    <row r="25" spans="1:15" ht="11.25" customHeight="1" x14ac:dyDescent="0.25">
      <c r="A25" s="107"/>
      <c r="B25" s="288">
        <v>23</v>
      </c>
      <c r="C25" s="287" t="s">
        <v>150</v>
      </c>
      <c r="D25" s="113" t="b">
        <v>1</v>
      </c>
      <c r="E25" s="113" t="str">
        <v>Z8</v>
      </c>
      <c r="F25" s="289">
        <f>_xll.qlIMMdate(E25)</f>
        <v>43453</v>
      </c>
      <c r="G25" s="108" t="str">
        <f t="shared" si="0"/>
        <v>ChfLibor3M</v>
      </c>
      <c r="H25" s="109" t="str">
        <f t="shared" si="1"/>
        <v>CHFFUT3MZ8_Quote</v>
      </c>
      <c r="I25" s="109" t="str">
        <f t="shared" si="2"/>
        <v>CHFFUT3MZ8ConvAdj_Quote</v>
      </c>
      <c r="J25" s="110" t="str">
        <f>_xll.qlFuturesRateHelper(,$H25,$C25,$F25,$G25,$I25,Permanent,Trigger,ObjectOverwrite)</f>
        <v>obj_0034c#0001</v>
      </c>
      <c r="K25" s="102" t="str">
        <f>_xll.ohRangeRetrieveError(J25)</f>
        <v/>
      </c>
      <c r="L25" s="96"/>
      <c r="M25" s="112"/>
      <c r="O25" s="251"/>
    </row>
    <row r="26" spans="1:15" ht="11.25" customHeight="1" x14ac:dyDescent="0.25">
      <c r="A26" s="107"/>
      <c r="B26" s="288">
        <v>24</v>
      </c>
      <c r="C26" s="287" t="s">
        <v>150</v>
      </c>
      <c r="D26" s="113" t="b">
        <v>1</v>
      </c>
      <c r="E26" s="113" t="str">
        <v>H9</v>
      </c>
      <c r="F26" s="289">
        <f>_xll.qlIMMdate(E26)</f>
        <v>43544</v>
      </c>
      <c r="G26" s="108" t="str">
        <f t="shared" si="0"/>
        <v>ChfLibor3M</v>
      </c>
      <c r="H26" s="109" t="str">
        <f t="shared" si="1"/>
        <v>CHFFUT3MH9_Quote</v>
      </c>
      <c r="I26" s="109" t="str">
        <f t="shared" si="2"/>
        <v>CHFFUT3MH9ConvAdj_Quote</v>
      </c>
      <c r="J26" s="110" t="str">
        <f>_xll.qlFuturesRateHelper(,$H26,$C26,$F26,$G26,$I26,Permanent,Trigger,ObjectOverwrite)</f>
        <v>obj_00355#0001</v>
      </c>
      <c r="K26" s="102" t="str">
        <f>_xll.ohRangeRetrieveError(J26)</f>
        <v/>
      </c>
      <c r="L26" s="96"/>
      <c r="M26" s="112"/>
      <c r="O26" s="251"/>
    </row>
    <row r="27" spans="1:15" ht="11.25" customHeight="1" x14ac:dyDescent="0.25">
      <c r="A27" s="107"/>
      <c r="B27" s="288">
        <v>25</v>
      </c>
      <c r="C27" s="287" t="s">
        <v>150</v>
      </c>
      <c r="D27" s="113" t="b">
        <v>1</v>
      </c>
      <c r="E27" s="113" t="str">
        <v>M9</v>
      </c>
      <c r="F27" s="289">
        <f>_xll.qlIMMdate(E27)</f>
        <v>43635</v>
      </c>
      <c r="G27" s="108" t="str">
        <f t="shared" si="0"/>
        <v>ChfLibor3M</v>
      </c>
      <c r="H27" s="109" t="str">
        <f t="shared" si="1"/>
        <v>CHFFUT3MM9_Quote</v>
      </c>
      <c r="I27" s="109" t="str">
        <f t="shared" si="2"/>
        <v>CHFFUT3MM9ConvAdj_Quote</v>
      </c>
      <c r="J27" s="110" t="str">
        <f>_xll.qlFuturesRateHelper(,$H27,$C27,$F27,$G27,$I27,Permanent,Trigger,ObjectOverwrite)</f>
        <v>obj_0035b#0001</v>
      </c>
      <c r="K27" s="102" t="str">
        <f>_xll.ohRangeRetrieveError(J27)</f>
        <v/>
      </c>
      <c r="L27" s="96"/>
      <c r="M27" s="112"/>
      <c r="O27" s="251"/>
    </row>
    <row r="28" spans="1:15" ht="11.25" customHeight="1" x14ac:dyDescent="0.25">
      <c r="A28" s="107"/>
      <c r="B28" s="288">
        <v>26</v>
      </c>
      <c r="C28" s="287" t="s">
        <v>150</v>
      </c>
      <c r="D28" s="113" t="b">
        <v>1</v>
      </c>
      <c r="E28" s="113" t="str">
        <v>U9</v>
      </c>
      <c r="F28" s="289">
        <f>_xll.qlIMMdate(E28)</f>
        <v>43726</v>
      </c>
      <c r="G28" s="108" t="str">
        <f t="shared" si="0"/>
        <v>ChfLibor3M</v>
      </c>
      <c r="H28" s="109" t="str">
        <f t="shared" si="1"/>
        <v>CHFFUT3MU9_Quote</v>
      </c>
      <c r="I28" s="109" t="str">
        <f t="shared" si="2"/>
        <v>CHFFUT3MU9ConvAdj_Quote</v>
      </c>
      <c r="J28" s="110" t="str">
        <f>_xll.qlFuturesRateHelper(,$H28,$C28,$F28,$G28,$I28,Permanent,Trigger,ObjectOverwrite)</f>
        <v>obj_00366#0001</v>
      </c>
      <c r="K28" s="102" t="str">
        <f>_xll.ohRangeRetrieveError(J28)</f>
        <v/>
      </c>
      <c r="L28" s="96"/>
      <c r="M28" s="112"/>
      <c r="O28" s="251"/>
    </row>
    <row r="29" spans="1:15" ht="11.25" customHeight="1" x14ac:dyDescent="0.25">
      <c r="A29" s="107"/>
      <c r="B29" s="288">
        <v>27</v>
      </c>
      <c r="C29" s="287" t="s">
        <v>150</v>
      </c>
      <c r="D29" s="113" t="b">
        <v>1</v>
      </c>
      <c r="E29" s="113" t="str">
        <v>Z9</v>
      </c>
      <c r="F29" s="289">
        <f>_xll.qlIMMdate(E29)</f>
        <v>43817</v>
      </c>
      <c r="G29" s="108" t="str">
        <f t="shared" si="0"/>
        <v>ChfLibor3M</v>
      </c>
      <c r="H29" s="109" t="str">
        <f t="shared" si="1"/>
        <v>CHFFUT3MZ9_Quote</v>
      </c>
      <c r="I29" s="109" t="str">
        <f t="shared" si="2"/>
        <v>CHFFUT3MZ9ConvAdj_Quote</v>
      </c>
      <c r="J29" s="110" t="str">
        <f>_xll.qlFuturesRateHelper(,$H29,$C29,$F29,$G29,$I29,Permanent,Trigger,ObjectOverwrite)</f>
        <v>obj_0034f#0001</v>
      </c>
      <c r="K29" s="102" t="str">
        <f>_xll.ohRangeRetrieveError(J29)</f>
        <v/>
      </c>
      <c r="L29" s="96"/>
      <c r="M29" s="112"/>
      <c r="O29" s="251"/>
    </row>
    <row r="30" spans="1:15" ht="11.25" customHeight="1" x14ac:dyDescent="0.25">
      <c r="A30" s="107"/>
      <c r="B30" s="288">
        <v>28</v>
      </c>
      <c r="C30" s="287" t="s">
        <v>150</v>
      </c>
      <c r="D30" s="113" t="b">
        <v>1</v>
      </c>
      <c r="E30" s="113" t="str">
        <v>H0</v>
      </c>
      <c r="F30" s="289">
        <f>_xll.qlIMMdate(E30)</f>
        <v>43908</v>
      </c>
      <c r="G30" s="108" t="str">
        <f t="shared" si="0"/>
        <v>ChfLibor3M</v>
      </c>
      <c r="H30" s="109" t="str">
        <f t="shared" si="1"/>
        <v>CHFFUT3MH0_Quote</v>
      </c>
      <c r="I30" s="109" t="str">
        <f t="shared" si="2"/>
        <v>CHFFUT3MH0ConvAdj_Quote</v>
      </c>
      <c r="J30" s="110" t="str">
        <f>_xll.qlFuturesRateHelper(,$H30,$C30,$F30,$G30,$I30,Permanent,Trigger,ObjectOverwrite)</f>
        <v>obj_00363#0001</v>
      </c>
      <c r="K30" s="102" t="str">
        <f>_xll.ohRangeRetrieveError(J30)</f>
        <v/>
      </c>
      <c r="L30" s="96"/>
      <c r="M30" s="112"/>
      <c r="O30" s="251"/>
    </row>
    <row r="31" spans="1:15" ht="11.25" customHeight="1" x14ac:dyDescent="0.25">
      <c r="A31" s="107"/>
      <c r="B31" s="288">
        <v>29</v>
      </c>
      <c r="C31" s="287" t="s">
        <v>150</v>
      </c>
      <c r="D31" s="113" t="b">
        <v>1</v>
      </c>
      <c r="E31" s="113" t="str">
        <v>M0</v>
      </c>
      <c r="F31" s="289">
        <f>_xll.qlIMMdate(E31)</f>
        <v>43999</v>
      </c>
      <c r="G31" s="108" t="str">
        <f t="shared" si="0"/>
        <v>ChfLibor3M</v>
      </c>
      <c r="H31" s="109" t="str">
        <f t="shared" si="1"/>
        <v>CHFFUT3MM0_Quote</v>
      </c>
      <c r="I31" s="109" t="str">
        <f t="shared" si="2"/>
        <v>CHFFUT3MM0ConvAdj_Quote</v>
      </c>
      <c r="J31" s="110" t="str">
        <f>_xll.qlFuturesRateHelper(,$H31,$C31,$F31,$G31,$I31,Permanent,Trigger,ObjectOverwrite)</f>
        <v>obj_00350#0001</v>
      </c>
      <c r="K31" s="102" t="str">
        <f>_xll.ohRangeRetrieveError(J31)</f>
        <v/>
      </c>
      <c r="L31" s="96"/>
      <c r="M31" s="112"/>
      <c r="O31" s="251"/>
    </row>
    <row r="32" spans="1:15" ht="11.25" customHeight="1" x14ac:dyDescent="0.25">
      <c r="A32" s="107"/>
      <c r="B32" s="288">
        <v>30</v>
      </c>
      <c r="C32" s="287" t="s">
        <v>150</v>
      </c>
      <c r="D32" s="113" t="b">
        <v>1</v>
      </c>
      <c r="E32" s="113" t="str">
        <v>U0</v>
      </c>
      <c r="F32" s="289">
        <f>_xll.qlIMMdate(E32)</f>
        <v>44090</v>
      </c>
      <c r="G32" s="108" t="str">
        <f t="shared" si="0"/>
        <v>ChfLibor3M</v>
      </c>
      <c r="H32" s="109" t="str">
        <f t="shared" si="1"/>
        <v>CHFFUT3MU0_Quote</v>
      </c>
      <c r="I32" s="109" t="str">
        <f t="shared" si="2"/>
        <v>CHFFUT3MU0ConvAdj_Quote</v>
      </c>
      <c r="J32" s="110" t="str">
        <f>_xll.qlFuturesRateHelper(,$H32,$C32,$F32,$G32,$I32,Permanent,Trigger,ObjectOverwrite)</f>
        <v>obj_00357#0001</v>
      </c>
      <c r="K32" s="102" t="str">
        <f>_xll.ohRangeRetrieveError(J32)</f>
        <v/>
      </c>
      <c r="L32" s="96"/>
      <c r="M32" s="112"/>
      <c r="O32" s="251"/>
    </row>
    <row r="33" spans="1:15" ht="11.25" customHeight="1" x14ac:dyDescent="0.25">
      <c r="A33" s="107"/>
      <c r="B33" s="288">
        <v>31</v>
      </c>
      <c r="C33" s="287" t="s">
        <v>150</v>
      </c>
      <c r="D33" s="113" t="b">
        <v>1</v>
      </c>
      <c r="E33" s="113" t="str">
        <v>Z0</v>
      </c>
      <c r="F33" s="289">
        <f>_xll.qlIMMdate(E33)</f>
        <v>44181</v>
      </c>
      <c r="G33" s="108" t="str">
        <f t="shared" si="0"/>
        <v>ChfLibor3M</v>
      </c>
      <c r="H33" s="109" t="str">
        <f t="shared" si="1"/>
        <v>CHFFUT3MZ0_Quote</v>
      </c>
      <c r="I33" s="109" t="str">
        <f t="shared" si="2"/>
        <v>CHFFUT3MZ0ConvAdj_Quote</v>
      </c>
      <c r="J33" s="110" t="str">
        <f>_xll.qlFuturesRateHelper(,$H33,$C33,$F33,$G33,$I33,Permanent,Trigger,ObjectOverwrite)</f>
        <v>obj_00368#0001</v>
      </c>
      <c r="K33" s="102" t="str">
        <f>_xll.ohRangeRetrieveError(J33)</f>
        <v/>
      </c>
      <c r="L33" s="96"/>
      <c r="M33" s="112"/>
      <c r="O33" s="251"/>
    </row>
    <row r="34" spans="1:15" ht="11.25" customHeight="1" x14ac:dyDescent="0.25">
      <c r="A34" s="107"/>
      <c r="B34" s="288">
        <v>32</v>
      </c>
      <c r="C34" s="287" t="s">
        <v>150</v>
      </c>
      <c r="D34" s="113" t="b">
        <v>1</v>
      </c>
      <c r="E34" s="113" t="str">
        <v>H1</v>
      </c>
      <c r="F34" s="289">
        <f>_xll.qlIMMdate(E34)</f>
        <v>44272</v>
      </c>
      <c r="G34" s="108" t="str">
        <f t="shared" si="0"/>
        <v>ChfLibor3M</v>
      </c>
      <c r="H34" s="109" t="str">
        <f t="shared" si="1"/>
        <v>CHFFUT3MH1_Quote</v>
      </c>
      <c r="I34" s="109" t="str">
        <f t="shared" si="2"/>
        <v>CHFFUT3MH1ConvAdj_Quote</v>
      </c>
      <c r="J34" s="110" t="str">
        <f>_xll.qlFuturesRateHelper(,$H34,$C34,$F34,$G34,$I34,Permanent,Trigger,ObjectOverwrite)</f>
        <v>obj_00352#0001</v>
      </c>
      <c r="K34" s="102" t="str">
        <f>_xll.ohRangeRetrieveError(J34)</f>
        <v/>
      </c>
      <c r="L34" s="96"/>
      <c r="M34" s="112"/>
      <c r="O34" s="251"/>
    </row>
    <row r="35" spans="1:15" ht="11.25" customHeight="1" x14ac:dyDescent="0.25">
      <c r="A35" s="107"/>
      <c r="B35" s="288">
        <v>33</v>
      </c>
      <c r="C35" s="287" t="s">
        <v>150</v>
      </c>
      <c r="D35" s="113" t="b">
        <v>1</v>
      </c>
      <c r="E35" s="113" t="str">
        <v>M1</v>
      </c>
      <c r="F35" s="289">
        <f>_xll.qlIMMdate(E35)</f>
        <v>44363</v>
      </c>
      <c r="G35" s="108" t="str">
        <f t="shared" si="0"/>
        <v>ChfLibor3M</v>
      </c>
      <c r="H35" s="109" t="str">
        <f t="shared" si="1"/>
        <v>CHFFUT3MM1_Quote</v>
      </c>
      <c r="I35" s="109" t="str">
        <f t="shared" si="2"/>
        <v>CHFFUT3MM1ConvAdj_Quote</v>
      </c>
      <c r="J35" s="110" t="str">
        <f>_xll.qlFuturesRateHelper(,$H35,$C35,$F35,$G35,$I35,Permanent,Trigger,ObjectOverwrite)</f>
        <v>obj_0035f#0001</v>
      </c>
      <c r="K35" s="102" t="str">
        <f>_xll.ohRangeRetrieveError(J35)</f>
        <v/>
      </c>
      <c r="L35" s="96"/>
      <c r="M35" s="112"/>
      <c r="O35" s="251"/>
    </row>
    <row r="36" spans="1:15" ht="11.25" customHeight="1" x14ac:dyDescent="0.25">
      <c r="A36" s="107"/>
      <c r="B36" s="288">
        <v>34</v>
      </c>
      <c r="C36" s="287" t="s">
        <v>150</v>
      </c>
      <c r="D36" s="113" t="b">
        <v>1</v>
      </c>
      <c r="E36" s="113" t="str">
        <v>U1</v>
      </c>
      <c r="F36" s="289">
        <f>_xll.qlIMMdate(E36)</f>
        <v>44454</v>
      </c>
      <c r="G36" s="108" t="str">
        <f t="shared" si="0"/>
        <v>ChfLibor3M</v>
      </c>
      <c r="H36" s="109" t="str">
        <f t="shared" si="1"/>
        <v>CHFFUT3MU1_Quote</v>
      </c>
      <c r="I36" s="109" t="str">
        <f t="shared" si="2"/>
        <v>CHFFUT3MU1ConvAdj_Quote</v>
      </c>
      <c r="J36" s="110" t="str">
        <f>_xll.qlFuturesRateHelper(,$H36,$C36,$F36,$G36,$I36,Permanent,Trigger,ObjectOverwrite)</f>
        <v>obj_00351#0001</v>
      </c>
      <c r="K36" s="102" t="str">
        <f>_xll.ohRangeRetrieveError(J36)</f>
        <v/>
      </c>
      <c r="L36" s="96"/>
      <c r="M36" s="112"/>
      <c r="O36" s="251"/>
    </row>
    <row r="37" spans="1:15" ht="11.25" customHeight="1" x14ac:dyDescent="0.25">
      <c r="A37" s="107"/>
      <c r="B37" s="288">
        <v>35</v>
      </c>
      <c r="C37" s="287" t="s">
        <v>150</v>
      </c>
      <c r="D37" s="113" t="b">
        <v>1</v>
      </c>
      <c r="E37" s="113" t="str">
        <v>Z1</v>
      </c>
      <c r="F37" s="289">
        <f>_xll.qlIMMdate(E37)</f>
        <v>44545</v>
      </c>
      <c r="G37" s="108" t="str">
        <f t="shared" si="0"/>
        <v>ChfLibor3M</v>
      </c>
      <c r="H37" s="109" t="str">
        <f t="shared" si="1"/>
        <v>CHFFUT3MZ1_Quote</v>
      </c>
      <c r="I37" s="109" t="str">
        <f t="shared" si="2"/>
        <v>CHFFUT3MZ1ConvAdj_Quote</v>
      </c>
      <c r="J37" s="110" t="str">
        <f>_xll.qlFuturesRateHelper(,$H37,$C37,$F37,$G37,$I37,Permanent,Trigger,ObjectOverwrite)</f>
        <v>obj_00359#0001</v>
      </c>
      <c r="K37" s="102" t="str">
        <f>_xll.ohRangeRetrieveError(J37)</f>
        <v/>
      </c>
      <c r="L37" s="96"/>
      <c r="M37" s="112"/>
      <c r="O37" s="251"/>
    </row>
    <row r="38" spans="1:15" ht="11.25" customHeight="1" x14ac:dyDescent="0.25">
      <c r="A38" s="107"/>
      <c r="B38" s="288">
        <v>36</v>
      </c>
      <c r="C38" s="287" t="s">
        <v>150</v>
      </c>
      <c r="D38" s="113" t="b">
        <v>1</v>
      </c>
      <c r="E38" s="113" t="str">
        <v>H2</v>
      </c>
      <c r="F38" s="289">
        <f>_xll.qlIMMdate(E38)</f>
        <v>44636</v>
      </c>
      <c r="G38" s="108" t="str">
        <f t="shared" si="0"/>
        <v>ChfLibor3M</v>
      </c>
      <c r="H38" s="109" t="str">
        <f t="shared" si="1"/>
        <v>CHFFUT3MH2_Quote</v>
      </c>
      <c r="I38" s="109" t="str">
        <f t="shared" si="2"/>
        <v>CHFFUT3MH2ConvAdj_Quote</v>
      </c>
      <c r="J38" s="110" t="str">
        <f>_xll.qlFuturesRateHelper(,$H38,$C38,$F38,$G38,$I38,Permanent,Trigger,ObjectOverwrite)</f>
        <v>obj_00347#0001</v>
      </c>
      <c r="K38" s="102" t="str">
        <f>_xll.ohRangeRetrieveError(J38)</f>
        <v/>
      </c>
      <c r="L38" s="96"/>
      <c r="M38" s="112"/>
      <c r="O38" s="251"/>
    </row>
    <row r="39" spans="1:15" ht="11.25" customHeight="1" x14ac:dyDescent="0.25">
      <c r="A39" s="107"/>
      <c r="B39" s="288">
        <v>37</v>
      </c>
      <c r="C39" s="287" t="s">
        <v>150</v>
      </c>
      <c r="D39" s="113" t="b">
        <v>1</v>
      </c>
      <c r="E39" s="113" t="str">
        <v>M2</v>
      </c>
      <c r="F39" s="289">
        <f>_xll.qlIMMdate(E39)</f>
        <v>44727</v>
      </c>
      <c r="G39" s="108" t="str">
        <f t="shared" si="0"/>
        <v>ChfLibor3M</v>
      </c>
      <c r="H39" s="109" t="str">
        <f t="shared" si="1"/>
        <v>CHFFUT3MM2_Quote</v>
      </c>
      <c r="I39" s="109" t="str">
        <f t="shared" si="2"/>
        <v>CHFFUT3MM2ConvAdj_Quote</v>
      </c>
      <c r="J39" s="110" t="str">
        <f>_xll.qlFuturesRateHelper(,$H39,$C39,$F39,$G39,$I39,Permanent,Trigger,ObjectOverwrite)</f>
        <v>obj_00342#0001</v>
      </c>
      <c r="K39" s="102" t="str">
        <f>_xll.ohRangeRetrieveError(J39)</f>
        <v/>
      </c>
      <c r="L39" s="96"/>
      <c r="M39" s="112"/>
      <c r="O39" s="251"/>
    </row>
    <row r="40" spans="1:15" ht="11.25" customHeight="1" x14ac:dyDescent="0.25">
      <c r="A40" s="107"/>
      <c r="B40" s="288">
        <v>38</v>
      </c>
      <c r="C40" s="287" t="s">
        <v>150</v>
      </c>
      <c r="D40" s="113" t="b">
        <v>1</v>
      </c>
      <c r="E40" s="113" t="str">
        <v>U2</v>
      </c>
      <c r="F40" s="289">
        <f>_xll.qlIMMdate(E40)</f>
        <v>44825</v>
      </c>
      <c r="G40" s="108" t="str">
        <f t="shared" si="0"/>
        <v>ChfLibor3M</v>
      </c>
      <c r="H40" s="109" t="str">
        <f t="shared" si="1"/>
        <v>CHFFUT3MU2_Quote</v>
      </c>
      <c r="I40" s="109" t="str">
        <f t="shared" si="2"/>
        <v>CHFFUT3MU2ConvAdj_Quote</v>
      </c>
      <c r="J40" s="110" t="str">
        <f>_xll.qlFuturesRateHelper(,$H40,$C40,$F40,$G40,$I40,Permanent,Trigger,ObjectOverwrite)</f>
        <v>obj_0034b#0001</v>
      </c>
      <c r="K40" s="102" t="str">
        <f>_xll.ohRangeRetrieveError(J40)</f>
        <v/>
      </c>
      <c r="L40" s="96"/>
      <c r="O40" s="251"/>
    </row>
    <row r="41" spans="1:15" ht="11.25" customHeight="1" x14ac:dyDescent="0.25">
      <c r="A41" s="107"/>
      <c r="B41" s="288">
        <v>39</v>
      </c>
      <c r="C41" s="287" t="s">
        <v>150</v>
      </c>
      <c r="D41" s="113" t="b">
        <v>1</v>
      </c>
      <c r="E41" s="113" t="str">
        <v>Z2</v>
      </c>
      <c r="F41" s="289">
        <f>_xll.qlIMMdate(E41)</f>
        <v>44916</v>
      </c>
      <c r="G41" s="108" t="str">
        <f t="shared" si="0"/>
        <v>ChfLibor3M</v>
      </c>
      <c r="H41" s="109" t="str">
        <f t="shared" si="1"/>
        <v>CHFFUT3MZ2_Quote</v>
      </c>
      <c r="I41" s="109" t="str">
        <f t="shared" si="2"/>
        <v>CHFFUT3MZ2ConvAdj_Quote</v>
      </c>
      <c r="J41" s="110" t="str">
        <f>_xll.qlFuturesRateHelper(,$H41,$C41,$F41,$G41,$I41,Permanent,Trigger,ObjectOverwrite)</f>
        <v>obj_00358#0001</v>
      </c>
      <c r="K41" s="102" t="str">
        <f>_xll.ohRangeRetrieveError(J41)</f>
        <v/>
      </c>
      <c r="L41" s="96"/>
      <c r="O41" s="251"/>
    </row>
    <row r="42" spans="1:15" ht="11.25" customHeight="1" x14ac:dyDescent="0.25">
      <c r="A42" s="107"/>
      <c r="B42" s="288">
        <v>40</v>
      </c>
      <c r="C42" s="287" t="s">
        <v>150</v>
      </c>
      <c r="D42" s="113" t="b">
        <v>1</v>
      </c>
      <c r="E42" s="113" t="str">
        <v>H3</v>
      </c>
      <c r="F42" s="289">
        <f>_xll.qlIMMdate(E42)</f>
        <v>45000</v>
      </c>
      <c r="G42" s="108" t="str">
        <f t="shared" si="0"/>
        <v>ChfLibor3M</v>
      </c>
      <c r="H42" s="109" t="str">
        <f t="shared" si="1"/>
        <v>CHFFUT3MH3_Quote</v>
      </c>
      <c r="I42" s="109" t="str">
        <f t="shared" si="2"/>
        <v>CHFFUT3MH3ConvAdj_Quote</v>
      </c>
      <c r="J42" s="110" t="str">
        <f>_xll.qlFuturesRateHelper(,$H42,$C42,$F42,$G42,$I42,Permanent,Trigger,ObjectOverwrite)</f>
        <v>obj_00356#0001</v>
      </c>
      <c r="K42" s="102" t="str">
        <f>_xll.ohRangeRetrieveError(J42)</f>
        <v/>
      </c>
      <c r="L42" s="96"/>
      <c r="O42" s="251"/>
    </row>
    <row r="43" spans="1:15" ht="11.25" customHeight="1" x14ac:dyDescent="0.25">
      <c r="A43" s="107"/>
      <c r="B43" s="288">
        <v>41</v>
      </c>
      <c r="C43" s="287" t="s">
        <v>150</v>
      </c>
      <c r="D43" s="113" t="b">
        <v>1</v>
      </c>
      <c r="E43" s="113" t="str">
        <v>M3</v>
      </c>
      <c r="F43" s="289">
        <f>_xll.qlIMMdate(E43)</f>
        <v>45098</v>
      </c>
      <c r="G43" s="108" t="str">
        <f t="shared" si="0"/>
        <v>ChfLibor3M</v>
      </c>
      <c r="H43" s="109" t="str">
        <f t="shared" si="1"/>
        <v>CHFFUT3MM3_Quote</v>
      </c>
      <c r="I43" s="109" t="str">
        <f t="shared" si="2"/>
        <v>CHFFUT3MM3ConvAdj_Quote</v>
      </c>
      <c r="J43" s="110" t="str">
        <f>_xll.qlFuturesRateHelper(,$H43,$C43,$F43,$G43,$I43,Permanent,Trigger,ObjectOverwrite)</f>
        <v>obj_0034e#0001</v>
      </c>
      <c r="K43" s="102" t="str">
        <f>_xll.ohRangeRetrieveError(J43)</f>
        <v/>
      </c>
      <c r="L43" s="96"/>
      <c r="O43" s="251"/>
    </row>
    <row r="44" spans="1:15" ht="11.25" customHeight="1" x14ac:dyDescent="0.25">
      <c r="A44" s="107"/>
      <c r="B44" s="288">
        <v>42</v>
      </c>
      <c r="C44" s="287" t="s">
        <v>150</v>
      </c>
      <c r="D44" s="113" t="b">
        <v>1</v>
      </c>
      <c r="E44" s="113" t="str">
        <v>U3</v>
      </c>
      <c r="F44" s="289">
        <f>_xll.qlIMMdate(E44)</f>
        <v>45189</v>
      </c>
      <c r="G44" s="108" t="str">
        <f t="shared" si="0"/>
        <v>ChfLibor3M</v>
      </c>
      <c r="H44" s="109" t="str">
        <f t="shared" si="1"/>
        <v>CHFFUT3MU3_Quote</v>
      </c>
      <c r="I44" s="109" t="str">
        <f t="shared" si="2"/>
        <v>CHFFUT3MU3ConvAdj_Quote</v>
      </c>
      <c r="J44" s="110" t="str">
        <f>_xll.qlFuturesRateHelper(,$H44,$C44,$F44,$G44,$I44,Permanent,Trigger,ObjectOverwrite)</f>
        <v>obj_00369#0001</v>
      </c>
      <c r="K44" s="102" t="str">
        <f>_xll.ohRangeRetrieveError(J44)</f>
        <v/>
      </c>
      <c r="L44" s="96"/>
      <c r="O44" s="251"/>
    </row>
    <row r="45" spans="1:15" ht="11.25" customHeight="1" thickBot="1" x14ac:dyDescent="0.3">
      <c r="A45" s="114"/>
      <c r="B45" s="115"/>
      <c r="C45" s="115"/>
      <c r="D45" s="115"/>
      <c r="E45" s="115"/>
      <c r="F45" s="115"/>
      <c r="G45" s="115"/>
      <c r="H45" s="115"/>
      <c r="I45" s="115"/>
      <c r="J45" s="115"/>
      <c r="K45" s="115"/>
      <c r="L45" s="105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54"/>
  <sheetViews>
    <sheetView workbookViewId="0"/>
  </sheetViews>
  <sheetFormatPr defaultRowHeight="11.25" x14ac:dyDescent="0.2"/>
  <cols>
    <col min="1" max="1" width="2.7109375" style="130" customWidth="1"/>
    <col min="2" max="3" width="5.85546875" style="130" customWidth="1"/>
    <col min="4" max="4" width="3.85546875" style="130" bestFit="1" customWidth="1"/>
    <col min="5" max="6" width="3" style="130" bestFit="1" customWidth="1"/>
    <col min="7" max="7" width="7" style="130" bestFit="1" customWidth="1"/>
    <col min="8" max="8" width="19.28515625" style="130" bestFit="1" customWidth="1"/>
    <col min="9" max="9" width="20.28515625" style="130" bestFit="1" customWidth="1"/>
    <col min="10" max="10" width="8" style="130" bestFit="1" customWidth="1"/>
    <col min="11" max="11" width="17.28515625" style="130" bestFit="1" customWidth="1"/>
    <col min="12" max="12" width="15.140625" style="131" bestFit="1" customWidth="1"/>
    <col min="13" max="13" width="20.7109375" style="130" customWidth="1"/>
    <col min="14" max="14" width="2.7109375" style="130" customWidth="1"/>
    <col min="15" max="15" width="2.5703125" style="130" customWidth="1"/>
    <col min="16" max="16" width="4" style="130" customWidth="1"/>
    <col min="17" max="17" width="3.140625" style="130" customWidth="1"/>
    <col min="18" max="18" width="2.7109375" style="130" customWidth="1"/>
    <col min="19" max="16384" width="9.140625" style="130"/>
  </cols>
  <sheetData>
    <row r="1" spans="1:19" ht="12" x14ac:dyDescent="0.2">
      <c r="A1" s="234"/>
      <c r="B1" s="235"/>
      <c r="C1" s="235"/>
      <c r="D1" s="235"/>
      <c r="E1" s="235"/>
      <c r="F1" s="235"/>
      <c r="G1" s="235"/>
      <c r="H1" s="235"/>
      <c r="I1" s="208"/>
      <c r="J1" s="236"/>
      <c r="K1" s="134"/>
      <c r="L1" s="249"/>
      <c r="M1" s="235"/>
      <c r="N1" s="290"/>
    </row>
    <row r="2" spans="1:19" ht="24.95" customHeight="1" x14ac:dyDescent="0.2">
      <c r="A2" s="98"/>
      <c r="B2" s="283" t="s">
        <v>167</v>
      </c>
      <c r="C2" s="283" t="s">
        <v>112</v>
      </c>
      <c r="D2" s="283"/>
      <c r="E2" s="283"/>
      <c r="F2" s="283"/>
      <c r="G2" s="283" t="s">
        <v>111</v>
      </c>
      <c r="H2" s="283" t="s">
        <v>110</v>
      </c>
      <c r="I2" s="283" t="s">
        <v>109</v>
      </c>
      <c r="J2" s="283" t="s">
        <v>108</v>
      </c>
      <c r="K2" s="283" t="s">
        <v>90</v>
      </c>
      <c r="L2" s="116"/>
      <c r="M2" s="117" t="str">
        <f>_xll.ohRangeRetrieveError(L2)</f>
        <v/>
      </c>
      <c r="N2" s="291"/>
    </row>
    <row r="3" spans="1:19" ht="12" customHeight="1" x14ac:dyDescent="0.2">
      <c r="A3" s="94"/>
      <c r="B3" s="95"/>
      <c r="C3" s="95"/>
      <c r="D3" s="95"/>
      <c r="E3" s="95"/>
      <c r="F3" s="95"/>
      <c r="G3" s="95"/>
      <c r="H3" s="95"/>
      <c r="I3" s="95"/>
      <c r="J3" s="95"/>
      <c r="K3" s="95"/>
      <c r="L3" s="118" t="str">
        <f>_xll.qlLibor(,Currency,IndexTenor,,Permanent,Trigger,ObjectOverwrite)</f>
        <v>obj_00318#0001</v>
      </c>
      <c r="M3" s="119" t="str">
        <f>_xll.ohRangeRetrieveError(L3)</f>
        <v/>
      </c>
      <c r="N3" s="291"/>
    </row>
    <row r="4" spans="1:19" ht="12" customHeight="1" x14ac:dyDescent="0.2">
      <c r="A4" s="94"/>
      <c r="B4" s="95"/>
      <c r="C4" s="95"/>
      <c r="D4" s="95"/>
      <c r="E4" s="95"/>
      <c r="F4" s="95"/>
      <c r="G4" s="95"/>
      <c r="H4" s="95"/>
      <c r="I4" s="95"/>
      <c r="J4" s="95"/>
      <c r="K4" s="95"/>
      <c r="L4" s="95"/>
      <c r="M4" s="95"/>
      <c r="N4" s="291"/>
    </row>
    <row r="5" spans="1:19" ht="12" customHeight="1" x14ac:dyDescent="0.2">
      <c r="A5" s="98"/>
      <c r="B5" s="120">
        <v>2</v>
      </c>
      <c r="C5" s="120" t="s">
        <v>107</v>
      </c>
      <c r="D5" s="121" t="s">
        <v>36</v>
      </c>
      <c r="E5" s="120" t="str">
        <f t="array" ref="E5:E41">SwapFixedFreq</f>
        <v>AB</v>
      </c>
      <c r="F5" s="120" t="str">
        <f t="array" ref="F5:F41">IborType</f>
        <v>3L</v>
      </c>
      <c r="G5" s="120" t="str">
        <f t="shared" ref="G5:G41" si="0">IF(UPPER(LEFT($E5))="A","Annual",IF(UPPER(LEFT($E5))="S","Semiannual","--"))</f>
        <v>Annual</v>
      </c>
      <c r="H5" s="113" t="s">
        <v>106</v>
      </c>
      <c r="I5" s="113" t="str">
        <f t="shared" ref="I5:I41" si="1">IF(UPPER(RIGHT($E5))="B",BondBasisDayCounter,IF(UPPER(RIGHT($E5))="M",MoneyMarketDayCounter,"--"))</f>
        <v>30/360 (Bond Basis)</v>
      </c>
      <c r="J5" s="122">
        <v>0</v>
      </c>
      <c r="K5" s="123" t="str">
        <f t="shared" ref="K5:K41" si="2">Currency&amp;$E5&amp;$F5&amp;$D5&amp;"_Quote"</f>
        <v>CHFAB3L1Y_Quote</v>
      </c>
      <c r="L5" s="124" t="str">
        <f>_xll.qlSwapRateHelper2(,$K5,$B5,$D5,Calendar,$G5,$H5,$I5,$L$3,$J5,C5,Discounting,Permanent,Trigger,ObjectOverwrite)</f>
        <v>obj_00320#0001</v>
      </c>
      <c r="M5" s="117" t="str">
        <f>_xll.ohRangeRetrieveError(L5)</f>
        <v/>
      </c>
      <c r="N5" s="291"/>
      <c r="P5" s="178"/>
      <c r="Q5" s="126"/>
      <c r="R5" s="126"/>
      <c r="S5" s="178"/>
    </row>
    <row r="6" spans="1:19" ht="12" customHeight="1" x14ac:dyDescent="0.2">
      <c r="A6" s="98"/>
      <c r="B6" s="120">
        <v>2</v>
      </c>
      <c r="C6" s="120" t="s">
        <v>107</v>
      </c>
      <c r="D6" s="121" t="s">
        <v>35</v>
      </c>
      <c r="E6" s="120" t="str">
        <v>AB</v>
      </c>
      <c r="F6" s="120" t="str">
        <v>3L</v>
      </c>
      <c r="G6" s="120" t="str">
        <f t="shared" si="0"/>
        <v>Annual</v>
      </c>
      <c r="H6" s="108" t="s">
        <v>106</v>
      </c>
      <c r="I6" s="108" t="str">
        <f t="shared" si="1"/>
        <v>30/360 (Bond Basis)</v>
      </c>
      <c r="J6" s="122">
        <v>0</v>
      </c>
      <c r="K6" s="125" t="str">
        <f t="shared" si="2"/>
        <v>CHFAB3L15M_Quote</v>
      </c>
      <c r="L6" s="124" t="str">
        <f>_xll.qlSwapRateHelper2(,$K6,$B6,$D6,Calendar,$G6,$H6,$I6,$L$3,$J6,C6,Discounting,Permanent,Trigger,ObjectOverwrite)</f>
        <v>obj_00336#0001</v>
      </c>
      <c r="M6" s="117" t="str">
        <f>_xll.ohRangeRetrieveError(L6)</f>
        <v/>
      </c>
      <c r="N6" s="291"/>
      <c r="P6" s="178"/>
      <c r="Q6" s="126"/>
      <c r="R6" s="126"/>
      <c r="S6" s="178"/>
    </row>
    <row r="7" spans="1:19" ht="12" customHeight="1" x14ac:dyDescent="0.2">
      <c r="A7" s="98"/>
      <c r="B7" s="120">
        <v>2</v>
      </c>
      <c r="C7" s="120" t="s">
        <v>107</v>
      </c>
      <c r="D7" s="121" t="s">
        <v>34</v>
      </c>
      <c r="E7" s="120" t="str">
        <v>AB</v>
      </c>
      <c r="F7" s="120" t="str">
        <v>3L</v>
      </c>
      <c r="G7" s="120" t="str">
        <f t="shared" si="0"/>
        <v>Annual</v>
      </c>
      <c r="H7" s="108" t="s">
        <v>106</v>
      </c>
      <c r="I7" s="108" t="str">
        <f t="shared" si="1"/>
        <v>30/360 (Bond Basis)</v>
      </c>
      <c r="J7" s="122">
        <v>0</v>
      </c>
      <c r="K7" s="125" t="str">
        <f t="shared" si="2"/>
        <v>CHFAB3L18M_Quote</v>
      </c>
      <c r="L7" s="124" t="str">
        <f>_xll.qlSwapRateHelper2(,$K7,$B7,$D7,Calendar,$G7,$H7,$I7,$L$3,$J7,C7,Discounting,Permanent,Trigger,ObjectOverwrite)</f>
        <v>obj_0031e#0001</v>
      </c>
      <c r="M7" s="117" t="str">
        <f>_xll.ohRangeRetrieveError(L7)</f>
        <v/>
      </c>
      <c r="N7" s="291"/>
      <c r="P7" s="178"/>
      <c r="Q7" s="126"/>
      <c r="R7" s="126"/>
      <c r="S7" s="178"/>
    </row>
    <row r="8" spans="1:19" ht="12" customHeight="1" x14ac:dyDescent="0.2">
      <c r="A8" s="98"/>
      <c r="B8" s="120">
        <v>2</v>
      </c>
      <c r="C8" s="120" t="s">
        <v>107</v>
      </c>
      <c r="D8" s="121" t="s">
        <v>33</v>
      </c>
      <c r="E8" s="120" t="str">
        <v>AB</v>
      </c>
      <c r="F8" s="120" t="str">
        <v>3L</v>
      </c>
      <c r="G8" s="120" t="str">
        <f t="shared" si="0"/>
        <v>Annual</v>
      </c>
      <c r="H8" s="108" t="s">
        <v>106</v>
      </c>
      <c r="I8" s="108" t="str">
        <f t="shared" si="1"/>
        <v>30/360 (Bond Basis)</v>
      </c>
      <c r="J8" s="122">
        <v>0</v>
      </c>
      <c r="K8" s="125" t="str">
        <f t="shared" si="2"/>
        <v>CHFAB3L21M_Quote</v>
      </c>
      <c r="L8" s="124" t="str">
        <f>_xll.qlSwapRateHelper2(,$K8,$B8,$D8,Calendar,$G8,$H8,$I8,$L$3,$J8,C8,Discounting,Permanent,Trigger,ObjectOverwrite)</f>
        <v>obj_00332#0001</v>
      </c>
      <c r="M8" s="117" t="str">
        <f>_xll.ohRangeRetrieveError(L8)</f>
        <v/>
      </c>
      <c r="N8" s="291"/>
      <c r="P8" s="178"/>
      <c r="Q8" s="126"/>
      <c r="R8" s="126"/>
      <c r="S8" s="178"/>
    </row>
    <row r="9" spans="1:19" ht="12" customHeight="1" x14ac:dyDescent="0.2">
      <c r="A9" s="98"/>
      <c r="B9" s="120">
        <v>2</v>
      </c>
      <c r="C9" s="120" t="s">
        <v>107</v>
      </c>
      <c r="D9" s="127" t="s">
        <v>32</v>
      </c>
      <c r="E9" s="120" t="str">
        <v>AB</v>
      </c>
      <c r="F9" s="120" t="str">
        <v>3L</v>
      </c>
      <c r="G9" s="120" t="str">
        <f t="shared" si="0"/>
        <v>Annual</v>
      </c>
      <c r="H9" s="108" t="s">
        <v>106</v>
      </c>
      <c r="I9" s="108" t="str">
        <f t="shared" si="1"/>
        <v>30/360 (Bond Basis)</v>
      </c>
      <c r="J9" s="122">
        <v>0</v>
      </c>
      <c r="K9" s="125" t="str">
        <f t="shared" si="2"/>
        <v>CHFAB3L2Y_Quote</v>
      </c>
      <c r="L9" s="124" t="str">
        <f>_xll.qlSwapRateHelper2(,$K9,$B9,$D9,Calendar,$G9,$H9,$I9,$L$3,$J9,C9,Discounting,Permanent,Trigger,ObjectOverwrite)</f>
        <v>obj_00324#0001</v>
      </c>
      <c r="M9" s="117" t="str">
        <f>_xll.ohRangeRetrieveError(L9)</f>
        <v/>
      </c>
      <c r="N9" s="291"/>
      <c r="P9" s="178"/>
      <c r="Q9" s="126"/>
      <c r="R9" s="126"/>
      <c r="S9" s="178"/>
    </row>
    <row r="10" spans="1:19" ht="12" customHeight="1" x14ac:dyDescent="0.2">
      <c r="A10" s="98"/>
      <c r="B10" s="120">
        <v>2</v>
      </c>
      <c r="C10" s="120" t="s">
        <v>107</v>
      </c>
      <c r="D10" s="127" t="s">
        <v>31</v>
      </c>
      <c r="E10" s="120" t="str">
        <v>AB</v>
      </c>
      <c r="F10" s="120" t="str">
        <v>3L</v>
      </c>
      <c r="G10" s="120" t="str">
        <f t="shared" si="0"/>
        <v>Annual</v>
      </c>
      <c r="H10" s="108" t="s">
        <v>106</v>
      </c>
      <c r="I10" s="108" t="str">
        <f t="shared" si="1"/>
        <v>30/360 (Bond Basis)</v>
      </c>
      <c r="J10" s="122">
        <v>0</v>
      </c>
      <c r="K10" s="125" t="str">
        <f t="shared" si="2"/>
        <v>CHFAB3L3Y_Quote</v>
      </c>
      <c r="L10" s="124" t="str">
        <f>_xll.qlSwapRateHelper2(,$K10,$B10,$D10,Calendar,$G10,$H10,$I10,$L$3,$J10,C10,Discounting,Permanent,Trigger,ObjectOverwrite)</f>
        <v>obj_00335#0001</v>
      </c>
      <c r="M10" s="117" t="str">
        <f>_xll.ohRangeRetrieveError(L10)</f>
        <v/>
      </c>
      <c r="N10" s="291"/>
    </row>
    <row r="11" spans="1:19" ht="12" customHeight="1" x14ac:dyDescent="0.2">
      <c r="A11" s="98"/>
      <c r="B11" s="120">
        <v>2</v>
      </c>
      <c r="C11" s="120" t="s">
        <v>107</v>
      </c>
      <c r="D11" s="127" t="s">
        <v>30</v>
      </c>
      <c r="E11" s="120" t="str">
        <v>AB</v>
      </c>
      <c r="F11" s="120" t="str">
        <v>3L</v>
      </c>
      <c r="G11" s="120" t="str">
        <f t="shared" si="0"/>
        <v>Annual</v>
      </c>
      <c r="H11" s="108" t="s">
        <v>106</v>
      </c>
      <c r="I11" s="108" t="str">
        <f t="shared" si="1"/>
        <v>30/360 (Bond Basis)</v>
      </c>
      <c r="J11" s="122">
        <v>0</v>
      </c>
      <c r="K11" s="125" t="str">
        <f t="shared" si="2"/>
        <v>CHFAB3L4Y_Quote</v>
      </c>
      <c r="L11" s="124" t="str">
        <f>_xll.qlSwapRateHelper2(,$K11,$B11,$D11,Calendar,$G11,$H11,$I11,$L$3,$J11,C11,Discounting,Permanent,Trigger,ObjectOverwrite)</f>
        <v>obj_0033e#0001</v>
      </c>
      <c r="M11" s="117" t="str">
        <f>_xll.ohRangeRetrieveError(L11)</f>
        <v/>
      </c>
      <c r="N11" s="291"/>
    </row>
    <row r="12" spans="1:19" ht="12" customHeight="1" x14ac:dyDescent="0.2">
      <c r="A12" s="98"/>
      <c r="B12" s="120">
        <v>2</v>
      </c>
      <c r="C12" s="120" t="s">
        <v>107</v>
      </c>
      <c r="D12" s="127" t="s">
        <v>29</v>
      </c>
      <c r="E12" s="120" t="str">
        <v>AB</v>
      </c>
      <c r="F12" s="120" t="str">
        <v>3L</v>
      </c>
      <c r="G12" s="120" t="str">
        <f t="shared" si="0"/>
        <v>Annual</v>
      </c>
      <c r="H12" s="108" t="s">
        <v>106</v>
      </c>
      <c r="I12" s="108" t="str">
        <f t="shared" si="1"/>
        <v>30/360 (Bond Basis)</v>
      </c>
      <c r="J12" s="122">
        <v>0</v>
      </c>
      <c r="K12" s="125" t="str">
        <f t="shared" si="2"/>
        <v>CHFAB3L5Y_Quote</v>
      </c>
      <c r="L12" s="124" t="str">
        <f>_xll.qlSwapRateHelper2(,$K12,$B12,$D12,Calendar,$G12,$H12,$I12,$L$3,$J12,C12,Discounting,Permanent,Trigger,ObjectOverwrite)</f>
        <v>obj_00322#0001</v>
      </c>
      <c r="M12" s="117" t="str">
        <f>_xll.ohRangeRetrieveError(L12)</f>
        <v/>
      </c>
      <c r="N12" s="291"/>
    </row>
    <row r="13" spans="1:19" ht="12" customHeight="1" x14ac:dyDescent="0.2">
      <c r="A13" s="98"/>
      <c r="B13" s="120">
        <v>2</v>
      </c>
      <c r="C13" s="120" t="s">
        <v>107</v>
      </c>
      <c r="D13" s="127" t="s">
        <v>28</v>
      </c>
      <c r="E13" s="120" t="str">
        <v>AB</v>
      </c>
      <c r="F13" s="120" t="str">
        <v>3L</v>
      </c>
      <c r="G13" s="120" t="str">
        <f t="shared" si="0"/>
        <v>Annual</v>
      </c>
      <c r="H13" s="108" t="s">
        <v>106</v>
      </c>
      <c r="I13" s="108" t="str">
        <f t="shared" si="1"/>
        <v>30/360 (Bond Basis)</v>
      </c>
      <c r="J13" s="122">
        <v>0</v>
      </c>
      <c r="K13" s="125" t="str">
        <f t="shared" si="2"/>
        <v>CHFAB3L6Y_Quote</v>
      </c>
      <c r="L13" s="124" t="str">
        <f>_xll.qlSwapRateHelper2(,$K13,$B13,$D13,Calendar,$G13,$H13,$I13,$L$3,$J13,C13,Discounting,Permanent,Trigger,ObjectOverwrite)</f>
        <v>obj_0032c#0001</v>
      </c>
      <c r="M13" s="117" t="str">
        <f>_xll.ohRangeRetrieveError(L13)</f>
        <v/>
      </c>
      <c r="N13" s="291"/>
    </row>
    <row r="14" spans="1:19" ht="12" customHeight="1" x14ac:dyDescent="0.2">
      <c r="A14" s="98"/>
      <c r="B14" s="120">
        <v>2</v>
      </c>
      <c r="C14" s="120" t="s">
        <v>107</v>
      </c>
      <c r="D14" s="127" t="s">
        <v>27</v>
      </c>
      <c r="E14" s="120" t="str">
        <v>AB</v>
      </c>
      <c r="F14" s="120" t="str">
        <v>3L</v>
      </c>
      <c r="G14" s="120" t="str">
        <f t="shared" si="0"/>
        <v>Annual</v>
      </c>
      <c r="H14" s="108" t="s">
        <v>106</v>
      </c>
      <c r="I14" s="108" t="str">
        <f t="shared" si="1"/>
        <v>30/360 (Bond Basis)</v>
      </c>
      <c r="J14" s="122">
        <v>0</v>
      </c>
      <c r="K14" s="125" t="str">
        <f t="shared" si="2"/>
        <v>CHFAB3L7Y_Quote</v>
      </c>
      <c r="L14" s="124" t="str">
        <f>_xll.qlSwapRateHelper2(,$K14,$B14,$D14,Calendar,$G14,$H14,$I14,$L$3,$J14,C14,Discounting,Permanent,Trigger,ObjectOverwrite)</f>
        <v>obj_00326#0001</v>
      </c>
      <c r="M14" s="117" t="str">
        <f>_xll.ohRangeRetrieveError(L14)</f>
        <v/>
      </c>
      <c r="N14" s="291"/>
    </row>
    <row r="15" spans="1:19" ht="12" customHeight="1" x14ac:dyDescent="0.2">
      <c r="A15" s="98"/>
      <c r="B15" s="120">
        <v>2</v>
      </c>
      <c r="C15" s="120" t="s">
        <v>107</v>
      </c>
      <c r="D15" s="127" t="s">
        <v>26</v>
      </c>
      <c r="E15" s="120" t="str">
        <v>AB</v>
      </c>
      <c r="F15" s="120" t="str">
        <v>3L</v>
      </c>
      <c r="G15" s="120" t="str">
        <f t="shared" si="0"/>
        <v>Annual</v>
      </c>
      <c r="H15" s="108" t="s">
        <v>106</v>
      </c>
      <c r="I15" s="108" t="str">
        <f t="shared" si="1"/>
        <v>30/360 (Bond Basis)</v>
      </c>
      <c r="J15" s="122">
        <v>0</v>
      </c>
      <c r="K15" s="125" t="str">
        <f t="shared" si="2"/>
        <v>CHFAB3L8Y_Quote</v>
      </c>
      <c r="L15" s="124" t="str">
        <f>_xll.qlSwapRateHelper2(,$K15,$B15,$D15,Calendar,$G15,$H15,$I15,$L$3,$J15,C15,Discounting,Permanent,Trigger,ObjectOverwrite)</f>
        <v>obj_00323#0001</v>
      </c>
      <c r="M15" s="117" t="str">
        <f>_xll.ohRangeRetrieveError(L15)</f>
        <v/>
      </c>
      <c r="N15" s="291"/>
    </row>
    <row r="16" spans="1:19" ht="12" customHeight="1" x14ac:dyDescent="0.2">
      <c r="A16" s="98"/>
      <c r="B16" s="120">
        <v>2</v>
      </c>
      <c r="C16" s="120" t="s">
        <v>107</v>
      </c>
      <c r="D16" s="127" t="s">
        <v>25</v>
      </c>
      <c r="E16" s="120" t="str">
        <v>AB</v>
      </c>
      <c r="F16" s="120" t="str">
        <v>3L</v>
      </c>
      <c r="G16" s="120" t="str">
        <f t="shared" si="0"/>
        <v>Annual</v>
      </c>
      <c r="H16" s="108" t="s">
        <v>106</v>
      </c>
      <c r="I16" s="108" t="str">
        <f t="shared" si="1"/>
        <v>30/360 (Bond Basis)</v>
      </c>
      <c r="J16" s="122">
        <v>0</v>
      </c>
      <c r="K16" s="125" t="str">
        <f t="shared" si="2"/>
        <v>CHFAB3L9Y_Quote</v>
      </c>
      <c r="L16" s="124" t="str">
        <f>_xll.qlSwapRateHelper2(,$K16,$B16,$D16,Calendar,$G16,$H16,$I16,$L$3,$J16,C16,Discounting,Permanent,Trigger,ObjectOverwrite)</f>
        <v>obj_00337#0001</v>
      </c>
      <c r="M16" s="117" t="str">
        <f>_xll.ohRangeRetrieveError(L16)</f>
        <v/>
      </c>
      <c r="N16" s="291"/>
    </row>
    <row r="17" spans="1:14" ht="12" customHeight="1" x14ac:dyDescent="0.2">
      <c r="A17" s="98"/>
      <c r="B17" s="120">
        <v>2</v>
      </c>
      <c r="C17" s="120" t="s">
        <v>107</v>
      </c>
      <c r="D17" s="127" t="s">
        <v>24</v>
      </c>
      <c r="E17" s="120" t="str">
        <v>AB</v>
      </c>
      <c r="F17" s="120" t="str">
        <v>3L</v>
      </c>
      <c r="G17" s="120" t="str">
        <f t="shared" si="0"/>
        <v>Annual</v>
      </c>
      <c r="H17" s="108" t="s">
        <v>106</v>
      </c>
      <c r="I17" s="108" t="str">
        <f t="shared" si="1"/>
        <v>30/360 (Bond Basis)</v>
      </c>
      <c r="J17" s="122">
        <v>0</v>
      </c>
      <c r="K17" s="125" t="str">
        <f t="shared" si="2"/>
        <v>CHFAB3L10Y_Quote</v>
      </c>
      <c r="L17" s="124" t="str">
        <f>_xll.qlSwapRateHelper2(,$K17,$B17,$D17,Calendar,$G17,$H17,$I17,$L$3,$J17,C17,Discounting,Permanent,Trigger,ObjectOverwrite)</f>
        <v>obj_00329#0001</v>
      </c>
      <c r="M17" s="117" t="str">
        <f>_xll.ohRangeRetrieveError(L17)</f>
        <v/>
      </c>
      <c r="N17" s="291"/>
    </row>
    <row r="18" spans="1:14" ht="12" customHeight="1" x14ac:dyDescent="0.2">
      <c r="A18" s="98"/>
      <c r="B18" s="120">
        <v>2</v>
      </c>
      <c r="C18" s="120" t="s">
        <v>107</v>
      </c>
      <c r="D18" s="127" t="s">
        <v>23</v>
      </c>
      <c r="E18" s="120" t="str">
        <v>AB</v>
      </c>
      <c r="F18" s="120" t="str">
        <v>3L</v>
      </c>
      <c r="G18" s="120" t="str">
        <f t="shared" si="0"/>
        <v>Annual</v>
      </c>
      <c r="H18" s="108" t="s">
        <v>106</v>
      </c>
      <c r="I18" s="108" t="str">
        <f t="shared" si="1"/>
        <v>30/360 (Bond Basis)</v>
      </c>
      <c r="J18" s="122">
        <v>0</v>
      </c>
      <c r="K18" s="125" t="str">
        <f t="shared" si="2"/>
        <v>CHFAB3L11Y_Quote</v>
      </c>
      <c r="L18" s="124" t="str">
        <f>_xll.qlSwapRateHelper2(,$K18,$B18,$D18,Calendar,$G18,$H18,$I18,$L$3,$J18,C18,Discounting,Permanent,Trigger,ObjectOverwrite)</f>
        <v>obj_00325#0001</v>
      </c>
      <c r="M18" s="117" t="str">
        <f>_xll.ohRangeRetrieveError(L18)</f>
        <v/>
      </c>
      <c r="N18" s="291"/>
    </row>
    <row r="19" spans="1:14" ht="12" customHeight="1" x14ac:dyDescent="0.2">
      <c r="A19" s="98"/>
      <c r="B19" s="120">
        <v>2</v>
      </c>
      <c r="C19" s="120" t="s">
        <v>107</v>
      </c>
      <c r="D19" s="127" t="s">
        <v>22</v>
      </c>
      <c r="E19" s="120" t="str">
        <v>AB</v>
      </c>
      <c r="F19" s="120" t="str">
        <v>3L</v>
      </c>
      <c r="G19" s="120" t="str">
        <f t="shared" si="0"/>
        <v>Annual</v>
      </c>
      <c r="H19" s="108" t="s">
        <v>106</v>
      </c>
      <c r="I19" s="108" t="str">
        <f t="shared" si="1"/>
        <v>30/360 (Bond Basis)</v>
      </c>
      <c r="J19" s="122">
        <v>0</v>
      </c>
      <c r="K19" s="125" t="str">
        <f t="shared" si="2"/>
        <v>CHFAB3L12Y_Quote</v>
      </c>
      <c r="L19" s="124" t="str">
        <f>_xll.qlSwapRateHelper2(,$K19,$B19,$D19,Calendar,$G19,$H19,$I19,$L$3,$J19,C19,Discounting,Permanent,Trigger,ObjectOverwrite)</f>
        <v>obj_0032f#0001</v>
      </c>
      <c r="M19" s="117" t="str">
        <f>_xll.ohRangeRetrieveError(L19)</f>
        <v/>
      </c>
      <c r="N19" s="291"/>
    </row>
    <row r="20" spans="1:14" ht="12" customHeight="1" x14ac:dyDescent="0.2">
      <c r="A20" s="98"/>
      <c r="B20" s="120">
        <v>2</v>
      </c>
      <c r="C20" s="120" t="s">
        <v>107</v>
      </c>
      <c r="D20" s="127" t="s">
        <v>21</v>
      </c>
      <c r="E20" s="120" t="str">
        <v>AB</v>
      </c>
      <c r="F20" s="120" t="str">
        <v>3L</v>
      </c>
      <c r="G20" s="120" t="str">
        <f t="shared" si="0"/>
        <v>Annual</v>
      </c>
      <c r="H20" s="108" t="s">
        <v>106</v>
      </c>
      <c r="I20" s="108" t="str">
        <f t="shared" si="1"/>
        <v>30/360 (Bond Basis)</v>
      </c>
      <c r="J20" s="122">
        <v>0</v>
      </c>
      <c r="K20" s="125" t="str">
        <f t="shared" si="2"/>
        <v>CHFAB3L13Y_Quote</v>
      </c>
      <c r="L20" s="124" t="str">
        <f>_xll.qlSwapRateHelper2(,$K20,$B20,$D20,Calendar,$G20,$H20,$I20,$L$3,$J20,C20,Discounting,Permanent,Trigger,ObjectOverwrite)</f>
        <v>obj_00339#0001</v>
      </c>
      <c r="M20" s="117" t="str">
        <f>_xll.ohRangeRetrieveError(L20)</f>
        <v/>
      </c>
      <c r="N20" s="291"/>
    </row>
    <row r="21" spans="1:14" ht="12" customHeight="1" x14ac:dyDescent="0.2">
      <c r="A21" s="98"/>
      <c r="B21" s="120">
        <v>2</v>
      </c>
      <c r="C21" s="120" t="s">
        <v>107</v>
      </c>
      <c r="D21" s="127" t="s">
        <v>20</v>
      </c>
      <c r="E21" s="120" t="str">
        <v>AB</v>
      </c>
      <c r="F21" s="120" t="str">
        <v>3L</v>
      </c>
      <c r="G21" s="120" t="str">
        <f t="shared" si="0"/>
        <v>Annual</v>
      </c>
      <c r="H21" s="108" t="s">
        <v>106</v>
      </c>
      <c r="I21" s="108" t="str">
        <f t="shared" si="1"/>
        <v>30/360 (Bond Basis)</v>
      </c>
      <c r="J21" s="122">
        <v>0</v>
      </c>
      <c r="K21" s="125" t="str">
        <f t="shared" si="2"/>
        <v>CHFAB3L14Y_Quote</v>
      </c>
      <c r="L21" s="124" t="str">
        <f>_xll.qlSwapRateHelper2(,$K21,$B21,$D21,Calendar,$G21,$H21,$I21,$L$3,$J21,C21,Discounting,Permanent,Trigger,ObjectOverwrite)</f>
        <v>obj_0031c#0001</v>
      </c>
      <c r="M21" s="117" t="str">
        <f>_xll.ohRangeRetrieveError(L21)</f>
        <v/>
      </c>
      <c r="N21" s="291"/>
    </row>
    <row r="22" spans="1:14" ht="12" customHeight="1" x14ac:dyDescent="0.2">
      <c r="A22" s="98"/>
      <c r="B22" s="120">
        <v>2</v>
      </c>
      <c r="C22" s="120" t="s">
        <v>107</v>
      </c>
      <c r="D22" s="127" t="s">
        <v>19</v>
      </c>
      <c r="E22" s="120" t="str">
        <v>AB</v>
      </c>
      <c r="F22" s="120" t="str">
        <v>3L</v>
      </c>
      <c r="G22" s="120" t="str">
        <f t="shared" si="0"/>
        <v>Annual</v>
      </c>
      <c r="H22" s="108" t="s">
        <v>106</v>
      </c>
      <c r="I22" s="108" t="str">
        <f t="shared" si="1"/>
        <v>30/360 (Bond Basis)</v>
      </c>
      <c r="J22" s="122">
        <v>0</v>
      </c>
      <c r="K22" s="125" t="str">
        <f t="shared" si="2"/>
        <v>CHFAB3L15Y_Quote</v>
      </c>
      <c r="L22" s="124" t="str">
        <f>_xll.qlSwapRateHelper2(,$K22,$B22,$D22,Calendar,$G22,$H22,$I22,$L$3,$J22,C22,Discounting,Permanent,Trigger,ObjectOverwrite)</f>
        <v>obj_0033b#0001</v>
      </c>
      <c r="M22" s="117" t="str">
        <f>_xll.ohRangeRetrieveError(L22)</f>
        <v/>
      </c>
      <c r="N22" s="291"/>
    </row>
    <row r="23" spans="1:14" ht="12" customHeight="1" x14ac:dyDescent="0.2">
      <c r="A23" s="98"/>
      <c r="B23" s="120">
        <v>2</v>
      </c>
      <c r="C23" s="120" t="s">
        <v>107</v>
      </c>
      <c r="D23" s="127" t="s">
        <v>18</v>
      </c>
      <c r="E23" s="120" t="str">
        <v>AB</v>
      </c>
      <c r="F23" s="120" t="str">
        <v>3L</v>
      </c>
      <c r="G23" s="120" t="str">
        <f t="shared" si="0"/>
        <v>Annual</v>
      </c>
      <c r="H23" s="108" t="s">
        <v>106</v>
      </c>
      <c r="I23" s="108" t="str">
        <f t="shared" si="1"/>
        <v>30/360 (Bond Basis)</v>
      </c>
      <c r="J23" s="122">
        <v>0</v>
      </c>
      <c r="K23" s="125" t="str">
        <f t="shared" si="2"/>
        <v>CHFAB3L16Y_Quote</v>
      </c>
      <c r="L23" s="124" t="str">
        <f>_xll.qlSwapRateHelper2(,$K23,$B23,$D23,Calendar,$G23,$H23,$I23,$L$3,$J23,C23,Discounting,Permanent,Trigger,ObjectOverwrite)</f>
        <v>obj_00328#0001</v>
      </c>
      <c r="M23" s="117" t="str">
        <f>_xll.ohRangeRetrieveError(L23)</f>
        <v/>
      </c>
      <c r="N23" s="291"/>
    </row>
    <row r="24" spans="1:14" ht="12" customHeight="1" x14ac:dyDescent="0.2">
      <c r="A24" s="98"/>
      <c r="B24" s="120">
        <v>2</v>
      </c>
      <c r="C24" s="120" t="s">
        <v>107</v>
      </c>
      <c r="D24" s="127" t="s">
        <v>17</v>
      </c>
      <c r="E24" s="120" t="str">
        <v>AB</v>
      </c>
      <c r="F24" s="120" t="str">
        <v>3L</v>
      </c>
      <c r="G24" s="120" t="str">
        <f t="shared" si="0"/>
        <v>Annual</v>
      </c>
      <c r="H24" s="108" t="s">
        <v>106</v>
      </c>
      <c r="I24" s="108" t="str">
        <f t="shared" si="1"/>
        <v>30/360 (Bond Basis)</v>
      </c>
      <c r="J24" s="122">
        <v>0</v>
      </c>
      <c r="K24" s="125" t="str">
        <f t="shared" si="2"/>
        <v>CHFAB3L17Y_Quote</v>
      </c>
      <c r="L24" s="124" t="str">
        <f>_xll.qlSwapRateHelper2(,$K24,$B24,$D24,Calendar,$G24,$H24,$I24,$L$3,$J24,C24,Discounting,Permanent,Trigger,ObjectOverwrite)</f>
        <v>obj_0033c#0001</v>
      </c>
      <c r="M24" s="117" t="str">
        <f>_xll.ohRangeRetrieveError(L24)</f>
        <v/>
      </c>
      <c r="N24" s="291"/>
    </row>
    <row r="25" spans="1:14" ht="12" customHeight="1" x14ac:dyDescent="0.2">
      <c r="A25" s="98"/>
      <c r="B25" s="120">
        <v>2</v>
      </c>
      <c r="C25" s="120" t="s">
        <v>107</v>
      </c>
      <c r="D25" s="127" t="s">
        <v>16</v>
      </c>
      <c r="E25" s="120" t="str">
        <v>AB</v>
      </c>
      <c r="F25" s="120" t="str">
        <v>3L</v>
      </c>
      <c r="G25" s="120" t="str">
        <f t="shared" si="0"/>
        <v>Annual</v>
      </c>
      <c r="H25" s="108" t="s">
        <v>106</v>
      </c>
      <c r="I25" s="108" t="str">
        <f t="shared" si="1"/>
        <v>30/360 (Bond Basis)</v>
      </c>
      <c r="J25" s="122">
        <v>0</v>
      </c>
      <c r="K25" s="125" t="str">
        <f t="shared" si="2"/>
        <v>CHFAB3L18Y_Quote</v>
      </c>
      <c r="L25" s="124" t="str">
        <f>_xll.qlSwapRateHelper2(,$K25,$B25,$D25,Calendar,$G25,$H25,$I25,$L$3,$J25,C25,Discounting,Permanent,Trigger,ObjectOverwrite)</f>
        <v>obj_0032e#0001</v>
      </c>
      <c r="M25" s="117" t="str">
        <f>_xll.ohRangeRetrieveError(L25)</f>
        <v/>
      </c>
      <c r="N25" s="291"/>
    </row>
    <row r="26" spans="1:14" ht="12" customHeight="1" x14ac:dyDescent="0.2">
      <c r="A26" s="98"/>
      <c r="B26" s="120">
        <v>2</v>
      </c>
      <c r="C26" s="120" t="s">
        <v>107</v>
      </c>
      <c r="D26" s="127" t="s">
        <v>15</v>
      </c>
      <c r="E26" s="120" t="str">
        <v>AB</v>
      </c>
      <c r="F26" s="120" t="str">
        <v>3L</v>
      </c>
      <c r="G26" s="120" t="str">
        <f t="shared" si="0"/>
        <v>Annual</v>
      </c>
      <c r="H26" s="108" t="s">
        <v>106</v>
      </c>
      <c r="I26" s="108" t="str">
        <f t="shared" si="1"/>
        <v>30/360 (Bond Basis)</v>
      </c>
      <c r="J26" s="122">
        <v>0</v>
      </c>
      <c r="K26" s="125" t="str">
        <f t="shared" si="2"/>
        <v>CHFAB3L19Y_Quote</v>
      </c>
      <c r="L26" s="124" t="str">
        <f>_xll.qlSwapRateHelper2(,$K26,$B26,$D26,Calendar,$G26,$H26,$I26,$L$3,$J26,C26,Discounting,Permanent,Trigger,ObjectOverwrite)</f>
        <v>obj_0033a#0001</v>
      </c>
      <c r="M26" s="117" t="str">
        <f>_xll.ohRangeRetrieveError(L26)</f>
        <v/>
      </c>
      <c r="N26" s="291"/>
    </row>
    <row r="27" spans="1:14" ht="12" customHeight="1" x14ac:dyDescent="0.2">
      <c r="A27" s="98"/>
      <c r="B27" s="120">
        <v>2</v>
      </c>
      <c r="C27" s="120" t="s">
        <v>107</v>
      </c>
      <c r="D27" s="127" t="s">
        <v>14</v>
      </c>
      <c r="E27" s="120" t="str">
        <v>AB</v>
      </c>
      <c r="F27" s="120" t="str">
        <v>3L</v>
      </c>
      <c r="G27" s="120" t="str">
        <f t="shared" si="0"/>
        <v>Annual</v>
      </c>
      <c r="H27" s="108" t="s">
        <v>106</v>
      </c>
      <c r="I27" s="108" t="str">
        <f t="shared" si="1"/>
        <v>30/360 (Bond Basis)</v>
      </c>
      <c r="J27" s="122">
        <v>0</v>
      </c>
      <c r="K27" s="125" t="str">
        <f t="shared" si="2"/>
        <v>CHFAB3L20Y_Quote</v>
      </c>
      <c r="L27" s="124" t="str">
        <f>_xll.qlSwapRateHelper2(,$K27,$B27,$D27,Calendar,$G27,$H27,$I27,$L$3,$J27,C27,Discounting,Permanent,Trigger,ObjectOverwrite)</f>
        <v>obj_0031d#0001</v>
      </c>
      <c r="M27" s="117" t="str">
        <f>_xll.ohRangeRetrieveError(L27)</f>
        <v/>
      </c>
      <c r="N27" s="291"/>
    </row>
    <row r="28" spans="1:14" ht="12" customHeight="1" x14ac:dyDescent="0.2">
      <c r="A28" s="98"/>
      <c r="B28" s="120">
        <v>2</v>
      </c>
      <c r="C28" s="120" t="s">
        <v>107</v>
      </c>
      <c r="D28" s="127" t="s">
        <v>13</v>
      </c>
      <c r="E28" s="120" t="str">
        <v>AB</v>
      </c>
      <c r="F28" s="120" t="str">
        <v>3L</v>
      </c>
      <c r="G28" s="120" t="str">
        <f t="shared" si="0"/>
        <v>Annual</v>
      </c>
      <c r="H28" s="108" t="s">
        <v>106</v>
      </c>
      <c r="I28" s="108" t="str">
        <f t="shared" si="1"/>
        <v>30/360 (Bond Basis)</v>
      </c>
      <c r="J28" s="122">
        <v>0</v>
      </c>
      <c r="K28" s="125" t="str">
        <f t="shared" si="2"/>
        <v>CHFAB3L21Y_Quote</v>
      </c>
      <c r="L28" s="124" t="str">
        <f>_xll.qlSwapRateHelper2(,$K28,$B28,$D28,Calendar,$G28,$H28,$I28,$L$3,$J28,C28,Discounting,Permanent,Trigger,ObjectOverwrite)</f>
        <v>obj_00327#0001</v>
      </c>
      <c r="M28" s="117" t="str">
        <f>_xll.ohRangeRetrieveError(L28)</f>
        <v/>
      </c>
      <c r="N28" s="291"/>
    </row>
    <row r="29" spans="1:14" ht="12" customHeight="1" x14ac:dyDescent="0.2">
      <c r="A29" s="98"/>
      <c r="B29" s="120">
        <v>2</v>
      </c>
      <c r="C29" s="120" t="s">
        <v>107</v>
      </c>
      <c r="D29" s="127" t="s">
        <v>12</v>
      </c>
      <c r="E29" s="120" t="str">
        <v>AB</v>
      </c>
      <c r="F29" s="120" t="str">
        <v>3L</v>
      </c>
      <c r="G29" s="120" t="str">
        <f t="shared" si="0"/>
        <v>Annual</v>
      </c>
      <c r="H29" s="108" t="s">
        <v>106</v>
      </c>
      <c r="I29" s="108" t="str">
        <f t="shared" si="1"/>
        <v>30/360 (Bond Basis)</v>
      </c>
      <c r="J29" s="122">
        <v>0</v>
      </c>
      <c r="K29" s="125" t="str">
        <f t="shared" si="2"/>
        <v>CHFAB3L22Y_Quote</v>
      </c>
      <c r="L29" s="124" t="str">
        <f>_xll.qlSwapRateHelper2(,$K29,$B29,$D29,Calendar,$G29,$H29,$I29,$L$3,$J29,C29,Discounting,Permanent,Trigger,ObjectOverwrite)</f>
        <v>obj_00331#0001</v>
      </c>
      <c r="M29" s="117" t="str">
        <f>_xll.ohRangeRetrieveError(L29)</f>
        <v/>
      </c>
      <c r="N29" s="291"/>
    </row>
    <row r="30" spans="1:14" ht="12" customHeight="1" x14ac:dyDescent="0.2">
      <c r="A30" s="98"/>
      <c r="B30" s="120">
        <v>2</v>
      </c>
      <c r="C30" s="120" t="s">
        <v>107</v>
      </c>
      <c r="D30" s="127" t="s">
        <v>11</v>
      </c>
      <c r="E30" s="120" t="str">
        <v>AB</v>
      </c>
      <c r="F30" s="120" t="str">
        <v>3L</v>
      </c>
      <c r="G30" s="120" t="str">
        <f t="shared" si="0"/>
        <v>Annual</v>
      </c>
      <c r="H30" s="108" t="s">
        <v>106</v>
      </c>
      <c r="I30" s="108" t="str">
        <f t="shared" si="1"/>
        <v>30/360 (Bond Basis)</v>
      </c>
      <c r="J30" s="122">
        <v>0</v>
      </c>
      <c r="K30" s="125" t="str">
        <f t="shared" si="2"/>
        <v>CHFAB3L23Y_Quote</v>
      </c>
      <c r="L30" s="124" t="str">
        <f>_xll.qlSwapRateHelper2(,$K30,$B30,$D30,Calendar,$G30,$H30,$I30,$L$3,$J30,C30,Discounting,Permanent,Trigger,ObjectOverwrite)</f>
        <v>obj_0032b#0001</v>
      </c>
      <c r="M30" s="117" t="str">
        <f>_xll.ohRangeRetrieveError(L30)</f>
        <v/>
      </c>
      <c r="N30" s="291"/>
    </row>
    <row r="31" spans="1:14" ht="12" customHeight="1" x14ac:dyDescent="0.2">
      <c r="A31" s="98"/>
      <c r="B31" s="120">
        <v>2</v>
      </c>
      <c r="C31" s="120" t="s">
        <v>107</v>
      </c>
      <c r="D31" s="127" t="s">
        <v>10</v>
      </c>
      <c r="E31" s="120" t="str">
        <v>AB</v>
      </c>
      <c r="F31" s="120" t="str">
        <v>3L</v>
      </c>
      <c r="G31" s="120" t="str">
        <f t="shared" si="0"/>
        <v>Annual</v>
      </c>
      <c r="H31" s="108" t="s">
        <v>106</v>
      </c>
      <c r="I31" s="108" t="str">
        <f t="shared" si="1"/>
        <v>30/360 (Bond Basis)</v>
      </c>
      <c r="J31" s="122">
        <v>0</v>
      </c>
      <c r="K31" s="125" t="str">
        <f t="shared" si="2"/>
        <v>CHFAB3L24Y_Quote</v>
      </c>
      <c r="L31" s="124" t="str">
        <f>_xll.qlSwapRateHelper2(,$K31,$B31,$D31,Calendar,$G31,$H31,$I31,$L$3,$J31,C31,Discounting,Permanent,Trigger,ObjectOverwrite)</f>
        <v>obj_0032d#0001</v>
      </c>
      <c r="M31" s="117" t="str">
        <f>_xll.ohRangeRetrieveError(L31)</f>
        <v/>
      </c>
      <c r="N31" s="291"/>
    </row>
    <row r="32" spans="1:14" ht="12" customHeight="1" x14ac:dyDescent="0.2">
      <c r="A32" s="98"/>
      <c r="B32" s="120">
        <v>2</v>
      </c>
      <c r="C32" s="120" t="s">
        <v>107</v>
      </c>
      <c r="D32" s="127" t="s">
        <v>9</v>
      </c>
      <c r="E32" s="120" t="str">
        <v>AB</v>
      </c>
      <c r="F32" s="120" t="str">
        <v>3L</v>
      </c>
      <c r="G32" s="120" t="str">
        <f t="shared" si="0"/>
        <v>Annual</v>
      </c>
      <c r="H32" s="108" t="s">
        <v>106</v>
      </c>
      <c r="I32" s="108" t="str">
        <f t="shared" si="1"/>
        <v>30/360 (Bond Basis)</v>
      </c>
      <c r="J32" s="122">
        <v>0</v>
      </c>
      <c r="K32" s="125" t="str">
        <f t="shared" si="2"/>
        <v>CHFAB3L25Y_Quote</v>
      </c>
      <c r="L32" s="124" t="str">
        <f>_xll.qlSwapRateHelper2(,$K32,$B32,$D32,Calendar,$G32,$H32,$I32,$L$3,$J32,C32,Discounting,Permanent,Trigger,ObjectOverwrite)</f>
        <v>obj_00340#0001</v>
      </c>
      <c r="M32" s="117" t="str">
        <f>_xll.ohRangeRetrieveError(L32)</f>
        <v/>
      </c>
      <c r="N32" s="291"/>
    </row>
    <row r="33" spans="1:17" ht="12" customHeight="1" x14ac:dyDescent="0.2">
      <c r="A33" s="98"/>
      <c r="B33" s="120">
        <v>2</v>
      </c>
      <c r="C33" s="120" t="s">
        <v>107</v>
      </c>
      <c r="D33" s="127" t="s">
        <v>8</v>
      </c>
      <c r="E33" s="120" t="str">
        <v>AB</v>
      </c>
      <c r="F33" s="120" t="str">
        <v>3L</v>
      </c>
      <c r="G33" s="120" t="str">
        <f t="shared" si="0"/>
        <v>Annual</v>
      </c>
      <c r="H33" s="108" t="s">
        <v>106</v>
      </c>
      <c r="I33" s="108" t="str">
        <f t="shared" si="1"/>
        <v>30/360 (Bond Basis)</v>
      </c>
      <c r="J33" s="122">
        <v>0</v>
      </c>
      <c r="K33" s="125" t="str">
        <f t="shared" si="2"/>
        <v>CHFAB3L26Y_Quote</v>
      </c>
      <c r="L33" s="124" t="str">
        <f>_xll.qlSwapRateHelper2(,$K33,$B33,$D33,Calendar,$G33,$H33,$I33,$L$3,$J33,C33,Discounting,Permanent,Trigger,ObjectOverwrite)</f>
        <v>obj_00333#0001</v>
      </c>
      <c r="M33" s="117" t="str">
        <f>_xll.ohRangeRetrieveError(L33)</f>
        <v/>
      </c>
      <c r="N33" s="291"/>
    </row>
    <row r="34" spans="1:17" ht="12" customHeight="1" x14ac:dyDescent="0.2">
      <c r="A34" s="98"/>
      <c r="B34" s="120">
        <v>2</v>
      </c>
      <c r="C34" s="120" t="s">
        <v>107</v>
      </c>
      <c r="D34" s="127" t="s">
        <v>7</v>
      </c>
      <c r="E34" s="120" t="str">
        <v>AB</v>
      </c>
      <c r="F34" s="120" t="str">
        <v>3L</v>
      </c>
      <c r="G34" s="120" t="str">
        <f t="shared" si="0"/>
        <v>Annual</v>
      </c>
      <c r="H34" s="108" t="s">
        <v>106</v>
      </c>
      <c r="I34" s="108" t="str">
        <f t="shared" si="1"/>
        <v>30/360 (Bond Basis)</v>
      </c>
      <c r="J34" s="122">
        <v>0</v>
      </c>
      <c r="K34" s="125" t="str">
        <f t="shared" si="2"/>
        <v>CHFAB3L27Y_Quote</v>
      </c>
      <c r="L34" s="124" t="str">
        <f>_xll.qlSwapRateHelper2(,$K34,$B34,$D34,Calendar,$G34,$H34,$I34,$L$3,$J34,C34,Discounting,Permanent,Trigger,ObjectOverwrite)</f>
        <v>obj_0032a#0001</v>
      </c>
      <c r="M34" s="117" t="str">
        <f>_xll.ohRangeRetrieveError(L34)</f>
        <v/>
      </c>
      <c r="N34" s="291"/>
    </row>
    <row r="35" spans="1:17" ht="12" customHeight="1" x14ac:dyDescent="0.2">
      <c r="A35" s="98"/>
      <c r="B35" s="120">
        <v>2</v>
      </c>
      <c r="C35" s="120" t="s">
        <v>107</v>
      </c>
      <c r="D35" s="127" t="s">
        <v>6</v>
      </c>
      <c r="E35" s="120" t="str">
        <v>AB</v>
      </c>
      <c r="F35" s="120" t="str">
        <v>3L</v>
      </c>
      <c r="G35" s="120" t="str">
        <f t="shared" si="0"/>
        <v>Annual</v>
      </c>
      <c r="H35" s="108" t="s">
        <v>106</v>
      </c>
      <c r="I35" s="108" t="str">
        <f t="shared" si="1"/>
        <v>30/360 (Bond Basis)</v>
      </c>
      <c r="J35" s="122">
        <v>0</v>
      </c>
      <c r="K35" s="125" t="str">
        <f t="shared" si="2"/>
        <v>CHFAB3L28Y_Quote</v>
      </c>
      <c r="L35" s="124" t="str">
        <f>_xll.qlSwapRateHelper2(,$K35,$B35,$D35,Calendar,$G35,$H35,$I35,$L$3,$J35,C35,Discounting,Permanent,Trigger,ObjectOverwrite)</f>
        <v>obj_00334#0001</v>
      </c>
      <c r="M35" s="117" t="str">
        <f>_xll.ohRangeRetrieveError(L35)</f>
        <v/>
      </c>
      <c r="N35" s="291"/>
    </row>
    <row r="36" spans="1:17" ht="12" customHeight="1" x14ac:dyDescent="0.2">
      <c r="A36" s="98"/>
      <c r="B36" s="120">
        <v>2</v>
      </c>
      <c r="C36" s="120" t="s">
        <v>107</v>
      </c>
      <c r="D36" s="127" t="s">
        <v>5</v>
      </c>
      <c r="E36" s="120" t="str">
        <v>AB</v>
      </c>
      <c r="F36" s="120" t="str">
        <v>3L</v>
      </c>
      <c r="G36" s="120" t="str">
        <f t="shared" si="0"/>
        <v>Annual</v>
      </c>
      <c r="H36" s="108" t="s">
        <v>106</v>
      </c>
      <c r="I36" s="108" t="str">
        <f t="shared" si="1"/>
        <v>30/360 (Bond Basis)</v>
      </c>
      <c r="J36" s="122">
        <v>0</v>
      </c>
      <c r="K36" s="125" t="str">
        <f t="shared" si="2"/>
        <v>CHFAB3L29Y_Quote</v>
      </c>
      <c r="L36" s="124" t="str">
        <f>_xll.qlSwapRateHelper2(,$K36,$B36,$D36,Calendar,$G36,$H36,$I36,$L$3,$J36,C36,Discounting,Permanent,Trigger,ObjectOverwrite)</f>
        <v>obj_0033d#0001</v>
      </c>
      <c r="M36" s="117" t="str">
        <f>_xll.ohRangeRetrieveError(L36)</f>
        <v/>
      </c>
      <c r="N36" s="291"/>
    </row>
    <row r="37" spans="1:17" ht="12" customHeight="1" x14ac:dyDescent="0.2">
      <c r="A37" s="98"/>
      <c r="B37" s="120">
        <v>2</v>
      </c>
      <c r="C37" s="120" t="s">
        <v>107</v>
      </c>
      <c r="D37" s="127" t="s">
        <v>4</v>
      </c>
      <c r="E37" s="120" t="str">
        <v>AB</v>
      </c>
      <c r="F37" s="120" t="str">
        <v>3L</v>
      </c>
      <c r="G37" s="120" t="str">
        <f t="shared" si="0"/>
        <v>Annual</v>
      </c>
      <c r="H37" s="108" t="s">
        <v>106</v>
      </c>
      <c r="I37" s="108" t="str">
        <f t="shared" si="1"/>
        <v>30/360 (Bond Basis)</v>
      </c>
      <c r="J37" s="122">
        <v>0</v>
      </c>
      <c r="K37" s="125" t="str">
        <f t="shared" si="2"/>
        <v>CHFAB3L30Y_Quote</v>
      </c>
      <c r="L37" s="124" t="str">
        <f>_xll.qlSwapRateHelper2(,$K37,$B37,$D37,Calendar,$G37,$H37,$I37,$L$3,$J37,C37,Discounting,Permanent,Trigger,ObjectOverwrite)</f>
        <v>obj_00321#0001</v>
      </c>
      <c r="M37" s="117" t="str">
        <f>_xll.ohRangeRetrieveError(L37)</f>
        <v/>
      </c>
      <c r="N37" s="291"/>
    </row>
    <row r="38" spans="1:17" ht="12" customHeight="1" x14ac:dyDescent="0.2">
      <c r="A38" s="98"/>
      <c r="B38" s="120">
        <v>2</v>
      </c>
      <c r="C38" s="120" t="s">
        <v>107</v>
      </c>
      <c r="D38" s="127" t="s">
        <v>3</v>
      </c>
      <c r="E38" s="120" t="str">
        <v>AB</v>
      </c>
      <c r="F38" s="120" t="str">
        <v>3L</v>
      </c>
      <c r="G38" s="120" t="str">
        <f t="shared" si="0"/>
        <v>Annual</v>
      </c>
      <c r="H38" s="108" t="s">
        <v>106</v>
      </c>
      <c r="I38" s="108" t="str">
        <f t="shared" si="1"/>
        <v>30/360 (Bond Basis)</v>
      </c>
      <c r="J38" s="122">
        <v>0</v>
      </c>
      <c r="K38" s="125" t="str">
        <f t="shared" si="2"/>
        <v>CHFAB3L35Y_Quote</v>
      </c>
      <c r="L38" s="124" t="str">
        <f>_xll.qlSwapRateHelper2(,$K38,$B38,$D38,Calendar,$G38,$H38,$I38,$L$3,$J38,C38,Discounting,Permanent,Trigger,ObjectOverwrite)</f>
        <v>obj_0033f#0001</v>
      </c>
      <c r="M38" s="117" t="str">
        <f>_xll.ohRangeRetrieveError(L38)</f>
        <v/>
      </c>
      <c r="N38" s="291"/>
    </row>
    <row r="39" spans="1:17" ht="12" customHeight="1" x14ac:dyDescent="0.2">
      <c r="A39" s="98"/>
      <c r="B39" s="120">
        <v>2</v>
      </c>
      <c r="C39" s="120" t="s">
        <v>107</v>
      </c>
      <c r="D39" s="127" t="s">
        <v>2</v>
      </c>
      <c r="E39" s="120" t="str">
        <v>AB</v>
      </c>
      <c r="F39" s="120" t="str">
        <v>3L</v>
      </c>
      <c r="G39" s="120" t="str">
        <f t="shared" si="0"/>
        <v>Annual</v>
      </c>
      <c r="H39" s="108" t="s">
        <v>106</v>
      </c>
      <c r="I39" s="108" t="str">
        <f t="shared" si="1"/>
        <v>30/360 (Bond Basis)</v>
      </c>
      <c r="J39" s="122">
        <v>0</v>
      </c>
      <c r="K39" s="125" t="str">
        <f t="shared" si="2"/>
        <v>CHFAB3L40Y_Quote</v>
      </c>
      <c r="L39" s="124" t="str">
        <f>_xll.qlSwapRateHelper2(,$K39,$B39,$D39,Calendar,$G39,$H39,$I39,$L$3,$J39,C39,Discounting,Permanent,Trigger,ObjectOverwrite)</f>
        <v>obj_00330#0001</v>
      </c>
      <c r="M39" s="117" t="str">
        <f>_xll.ohRangeRetrieveError(L39)</f>
        <v/>
      </c>
      <c r="N39" s="291"/>
    </row>
    <row r="40" spans="1:17" ht="12" customHeight="1" x14ac:dyDescent="0.2">
      <c r="A40" s="98"/>
      <c r="B40" s="120">
        <v>2</v>
      </c>
      <c r="C40" s="120" t="s">
        <v>107</v>
      </c>
      <c r="D40" s="127" t="s">
        <v>1</v>
      </c>
      <c r="E40" s="120" t="str">
        <v>AB</v>
      </c>
      <c r="F40" s="120" t="str">
        <v>3L</v>
      </c>
      <c r="G40" s="120" t="str">
        <f t="shared" si="0"/>
        <v>Annual</v>
      </c>
      <c r="H40" s="108" t="s">
        <v>106</v>
      </c>
      <c r="I40" s="108" t="str">
        <f t="shared" si="1"/>
        <v>30/360 (Bond Basis)</v>
      </c>
      <c r="J40" s="122">
        <v>0</v>
      </c>
      <c r="K40" s="125" t="str">
        <f t="shared" si="2"/>
        <v>CHFAB3L50Y_Quote</v>
      </c>
      <c r="L40" s="124" t="str">
        <f>_xll.qlSwapRateHelper2(,$K40,$B40,$D40,Calendar,$G40,$H40,$I40,$L$3,$J40,C40,Discounting,Permanent,Trigger,ObjectOverwrite)</f>
        <v>obj_0031f#0001</v>
      </c>
      <c r="M40" s="117" t="str">
        <f>_xll.ohRangeRetrieveError(L40)</f>
        <v/>
      </c>
      <c r="N40" s="291"/>
    </row>
    <row r="41" spans="1:17" ht="12" customHeight="1" x14ac:dyDescent="0.2">
      <c r="A41" s="98"/>
      <c r="B41" s="120">
        <v>2</v>
      </c>
      <c r="C41" s="120" t="s">
        <v>107</v>
      </c>
      <c r="D41" s="127" t="s">
        <v>0</v>
      </c>
      <c r="E41" s="120" t="str">
        <v>AB</v>
      </c>
      <c r="F41" s="120" t="str">
        <v>3L</v>
      </c>
      <c r="G41" s="120" t="str">
        <f t="shared" si="0"/>
        <v>Annual</v>
      </c>
      <c r="H41" s="108" t="s">
        <v>106</v>
      </c>
      <c r="I41" s="108" t="str">
        <f t="shared" si="1"/>
        <v>30/360 (Bond Basis)</v>
      </c>
      <c r="J41" s="122">
        <v>0</v>
      </c>
      <c r="K41" s="125" t="str">
        <f t="shared" si="2"/>
        <v>CHFAB3L60Y_Quote</v>
      </c>
      <c r="L41" s="124" t="str">
        <f>_xll.qlSwapRateHelper2(,$K41,$B41,$D41,Calendar,$G41,$H41,$I41,$L$3,$J41,C41,Discounting,Permanent,Trigger,ObjectOverwrite)</f>
        <v>obj_00338#0001</v>
      </c>
      <c r="M41" s="117" t="str">
        <f>_xll.ohRangeRetrieveError(L41)</f>
        <v/>
      </c>
      <c r="N41" s="291"/>
    </row>
    <row r="42" spans="1:17" ht="11.25" customHeight="1" thickBot="1" x14ac:dyDescent="0.25">
      <c r="A42" s="103"/>
      <c r="B42" s="104"/>
      <c r="C42" s="104"/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292"/>
    </row>
    <row r="43" spans="1:17" ht="11.25" customHeight="1" x14ac:dyDescent="0.2">
      <c r="A43" s="225"/>
      <c r="B43" s="228"/>
      <c r="C43" s="228"/>
      <c r="D43" s="227"/>
      <c r="E43" s="228"/>
      <c r="F43" s="228"/>
      <c r="G43" s="228"/>
      <c r="H43" s="225"/>
      <c r="I43" s="225"/>
      <c r="J43" s="229"/>
      <c r="K43" s="230"/>
      <c r="L43" s="231"/>
      <c r="M43" s="232"/>
      <c r="N43" s="293"/>
      <c r="O43" s="226"/>
      <c r="P43" s="178"/>
      <c r="Q43" s="178"/>
    </row>
    <row r="44" spans="1:17" ht="11.25" customHeight="1" x14ac:dyDescent="0.2">
      <c r="A44" s="225"/>
      <c r="B44" s="228"/>
      <c r="C44" s="228"/>
      <c r="D44" s="227"/>
      <c r="E44" s="228"/>
      <c r="F44" s="228"/>
      <c r="G44" s="228"/>
      <c r="H44" s="225"/>
      <c r="I44" s="225"/>
      <c r="J44" s="229"/>
      <c r="K44" s="230"/>
      <c r="L44" s="231"/>
      <c r="M44" s="232"/>
      <c r="N44" s="293"/>
      <c r="O44" s="226"/>
      <c r="P44" s="178"/>
      <c r="Q44" s="178"/>
    </row>
    <row r="45" spans="1:17" ht="11.25" customHeight="1" x14ac:dyDescent="0.2">
      <c r="A45" s="225"/>
      <c r="B45" s="228"/>
      <c r="C45" s="228"/>
      <c r="D45" s="227"/>
      <c r="E45" s="228"/>
      <c r="F45" s="228"/>
      <c r="G45" s="228"/>
      <c r="H45" s="225"/>
      <c r="I45" s="225"/>
      <c r="J45" s="229"/>
      <c r="K45" s="230"/>
      <c r="L45" s="231"/>
      <c r="M45" s="232"/>
      <c r="N45" s="293"/>
      <c r="O45" s="226"/>
      <c r="P45" s="178"/>
      <c r="Q45" s="178"/>
    </row>
    <row r="46" spans="1:17" ht="11.25" customHeight="1" x14ac:dyDescent="0.2">
      <c r="A46" s="225"/>
      <c r="B46" s="228"/>
      <c r="C46" s="228"/>
      <c r="D46" s="227"/>
      <c r="E46" s="228"/>
      <c r="F46" s="228"/>
      <c r="G46" s="228"/>
      <c r="H46" s="225"/>
      <c r="I46" s="225"/>
      <c r="J46" s="229"/>
      <c r="K46" s="230"/>
      <c r="L46" s="231"/>
      <c r="M46" s="232"/>
      <c r="N46" s="293"/>
      <c r="O46" s="226"/>
      <c r="P46" s="178"/>
      <c r="Q46" s="178"/>
    </row>
    <row r="47" spans="1:17" ht="11.25" customHeight="1" x14ac:dyDescent="0.2">
      <c r="A47" s="225"/>
      <c r="B47" s="228"/>
      <c r="C47" s="228"/>
      <c r="D47" s="227"/>
      <c r="E47" s="228"/>
      <c r="F47" s="228"/>
      <c r="G47" s="228"/>
      <c r="H47" s="225"/>
      <c r="I47" s="225"/>
      <c r="J47" s="229"/>
      <c r="K47" s="230"/>
      <c r="L47" s="231"/>
      <c r="M47" s="232"/>
      <c r="N47" s="293"/>
      <c r="O47" s="226"/>
      <c r="P47" s="178"/>
      <c r="Q47" s="178"/>
    </row>
    <row r="48" spans="1:17" ht="11.25" customHeight="1" x14ac:dyDescent="0.2">
      <c r="A48" s="225"/>
      <c r="B48" s="228"/>
      <c r="C48" s="228"/>
      <c r="D48" s="227"/>
      <c r="E48" s="228"/>
      <c r="F48" s="228"/>
      <c r="G48" s="228"/>
      <c r="H48" s="225"/>
      <c r="I48" s="225"/>
      <c r="J48" s="229"/>
      <c r="K48" s="230"/>
      <c r="L48" s="231"/>
      <c r="M48" s="232"/>
      <c r="N48" s="293"/>
      <c r="O48" s="226"/>
      <c r="P48" s="178"/>
      <c r="Q48" s="178"/>
    </row>
    <row r="49" spans="1:17" ht="11.25" customHeight="1" x14ac:dyDescent="0.2">
      <c r="A49" s="225"/>
      <c r="B49" s="228"/>
      <c r="C49" s="228"/>
      <c r="D49" s="227"/>
      <c r="E49" s="228"/>
      <c r="F49" s="228"/>
      <c r="G49" s="228"/>
      <c r="H49" s="225"/>
      <c r="I49" s="225"/>
      <c r="J49" s="229"/>
      <c r="K49" s="230"/>
      <c r="L49" s="231"/>
      <c r="M49" s="232"/>
      <c r="N49" s="293"/>
      <c r="O49" s="226"/>
      <c r="P49" s="178"/>
      <c r="Q49" s="178"/>
    </row>
    <row r="50" spans="1:17" ht="11.25" customHeight="1" x14ac:dyDescent="0.2">
      <c r="A50" s="226"/>
      <c r="B50" s="226"/>
      <c r="C50" s="226"/>
      <c r="D50" s="226"/>
      <c r="E50" s="226"/>
      <c r="F50" s="226"/>
      <c r="G50" s="226"/>
      <c r="H50" s="226"/>
      <c r="I50" s="226"/>
      <c r="J50" s="226"/>
      <c r="K50" s="226"/>
      <c r="L50" s="226"/>
      <c r="M50" s="226"/>
      <c r="N50" s="293"/>
      <c r="O50" s="226"/>
      <c r="P50" s="95"/>
      <c r="Q50" s="95"/>
    </row>
    <row r="51" spans="1:17" x14ac:dyDescent="0.2">
      <c r="A51" s="226"/>
      <c r="B51" s="226"/>
      <c r="C51" s="226"/>
      <c r="D51" s="226"/>
      <c r="E51" s="226"/>
      <c r="F51" s="226"/>
      <c r="G51" s="226"/>
      <c r="H51" s="226"/>
      <c r="I51" s="226"/>
      <c r="J51" s="226"/>
      <c r="K51" s="226"/>
      <c r="L51" s="233"/>
      <c r="M51" s="226"/>
      <c r="N51" s="226"/>
      <c r="O51" s="226"/>
    </row>
    <row r="52" spans="1:17" x14ac:dyDescent="0.2">
      <c r="A52" s="226"/>
      <c r="B52" s="226"/>
      <c r="C52" s="226"/>
      <c r="D52" s="226"/>
      <c r="E52" s="226"/>
      <c r="F52" s="226"/>
      <c r="G52" s="226"/>
      <c r="H52" s="226"/>
      <c r="I52" s="226"/>
      <c r="J52" s="226"/>
      <c r="K52" s="226"/>
      <c r="L52" s="233"/>
      <c r="M52" s="226"/>
      <c r="N52" s="226"/>
      <c r="O52" s="226"/>
    </row>
    <row r="53" spans="1:17" x14ac:dyDescent="0.2">
      <c r="A53" s="226"/>
      <c r="B53" s="226"/>
      <c r="C53" s="226"/>
      <c r="D53" s="226"/>
      <c r="E53" s="226"/>
      <c r="F53" s="226"/>
      <c r="G53" s="226"/>
      <c r="H53" s="226"/>
      <c r="I53" s="226"/>
      <c r="J53" s="226"/>
      <c r="K53" s="226"/>
      <c r="L53" s="233"/>
      <c r="M53" s="226"/>
      <c r="N53" s="226"/>
      <c r="O53" s="226"/>
    </row>
    <row r="54" spans="1:17" x14ac:dyDescent="0.2">
      <c r="A54" s="226"/>
      <c r="B54" s="226"/>
      <c r="C54" s="226"/>
      <c r="D54" s="226"/>
      <c r="E54" s="226"/>
      <c r="F54" s="226"/>
      <c r="G54" s="226"/>
      <c r="H54" s="226"/>
      <c r="I54" s="226"/>
      <c r="J54" s="226"/>
      <c r="K54" s="226"/>
      <c r="L54" s="233"/>
      <c r="M54" s="226"/>
      <c r="N54" s="226"/>
      <c r="O54" s="226"/>
    </row>
  </sheetData>
  <dataValidations count="3">
    <dataValidation type="list" allowBlank="1" showInputMessage="1" showErrorMessage="1" sqref="I43:I4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G43:G49">
      <formula1>"Once,Annual,Semiannual,EveryFourthMonth,Quarterly,Bimonthly,Monthly"</formula1>
    </dataValidation>
    <dataValidation type="list" allowBlank="1" showInputMessage="1" showErrorMessage="1" sqref="H5:H41 H43:H49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C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30" customWidth="1"/>
    <col min="2" max="2" width="6" style="149" bestFit="1" customWidth="1"/>
    <col min="3" max="3" width="17.28515625" style="149" bestFit="1" customWidth="1"/>
    <col min="4" max="4" width="7" style="130" bestFit="1" customWidth="1"/>
    <col min="5" max="5" width="17.28515625" style="130" bestFit="1" customWidth="1"/>
    <col min="6" max="6" width="20.28515625" style="149" bestFit="1" customWidth="1"/>
    <col min="7" max="8" width="7" style="149" customWidth="1"/>
    <col min="9" max="9" width="11" style="149" customWidth="1"/>
    <col min="10" max="10" width="15.140625" style="149" bestFit="1" customWidth="1"/>
    <col min="11" max="11" width="10" style="130" bestFit="1" customWidth="1"/>
    <col min="12" max="12" width="4" style="130" customWidth="1"/>
    <col min="13" max="13" width="15.140625" style="130" hidden="1" customWidth="1" outlineLevel="1"/>
    <col min="14" max="14" width="19.28515625" style="130" bestFit="1" customWidth="1" collapsed="1"/>
    <col min="15" max="15" width="17.28515625" style="130" bestFit="1" customWidth="1"/>
    <col min="16" max="16" width="12" style="130" bestFit="1" customWidth="1"/>
    <col min="17" max="18" width="8" style="130" hidden="1" customWidth="1" outlineLevel="1"/>
    <col min="19" max="19" width="17.28515625" style="130" hidden="1" customWidth="1" outlineLevel="1"/>
    <col min="20" max="20" width="15.140625" style="151" hidden="1" customWidth="1" outlineLevel="1"/>
    <col min="21" max="21" width="16.140625" style="130" customWidth="1" collapsed="1"/>
    <col min="22" max="22" width="10" style="130" bestFit="1" customWidth="1"/>
    <col min="23" max="23" width="8" style="130" bestFit="1" customWidth="1"/>
    <col min="24" max="24" width="19.28515625" style="130" bestFit="1" customWidth="1"/>
    <col min="25" max="26" width="17.28515625" style="130" bestFit="1" customWidth="1"/>
    <col min="27" max="28" width="15.140625" style="130" bestFit="1" customWidth="1"/>
    <col min="29" max="29" width="17.28515625" style="130" bestFit="1" customWidth="1"/>
    <col min="30" max="16384" width="9.140625" style="130"/>
  </cols>
  <sheetData>
    <row r="1" spans="1:29" s="149" customFormat="1" ht="12" hidden="1" outlineLevel="1" thickBot="1" x14ac:dyDescent="0.25">
      <c r="A1" s="156"/>
      <c r="B1" s="153" t="s">
        <v>120</v>
      </c>
      <c r="C1" s="155"/>
      <c r="D1" s="153"/>
      <c r="E1" s="154"/>
      <c r="F1" s="157"/>
      <c r="G1" s="156" t="s">
        <v>121</v>
      </c>
      <c r="H1" s="186"/>
      <c r="I1" s="157"/>
      <c r="J1" s="186"/>
      <c r="K1" s="157"/>
    </row>
    <row r="2" spans="1:29" hidden="1" outlineLevel="1" x14ac:dyDescent="0.2">
      <c r="A2" s="158"/>
      <c r="B2" s="187" t="s">
        <v>122</v>
      </c>
      <c r="C2" s="188" t="s">
        <v>123</v>
      </c>
      <c r="D2" s="188" t="s">
        <v>82</v>
      </c>
      <c r="E2" s="188" t="s">
        <v>124</v>
      </c>
      <c r="F2" s="189" t="s">
        <v>125</v>
      </c>
      <c r="G2" s="187" t="s">
        <v>123</v>
      </c>
      <c r="H2" s="188" t="s">
        <v>124</v>
      </c>
      <c r="I2" s="189" t="s">
        <v>126</v>
      </c>
      <c r="J2" s="188" t="s">
        <v>127</v>
      </c>
      <c r="K2" s="189" t="s">
        <v>128</v>
      </c>
      <c r="L2" s="149"/>
      <c r="M2" s="149"/>
    </row>
    <row r="3" spans="1:29" hidden="1" outlineLevel="1" x14ac:dyDescent="0.2">
      <c r="A3" s="190"/>
      <c r="B3" s="191" t="str">
        <f>_xll.qlPeriodEquivalent(D3&amp;"M")</f>
        <v>1Y</v>
      </c>
      <c r="C3" s="192">
        <f>_xll.qlDateEndOfMonth(EDATE(_xll.qlSettingsEvaluationDate(Trigger),-1))</f>
        <v>42124</v>
      </c>
      <c r="D3" s="159">
        <v>12</v>
      </c>
      <c r="E3" s="192">
        <f t="shared" ref="E3:E16" si="0">EDATE($Z$19,$D3)</f>
        <v>42505</v>
      </c>
      <c r="F3" s="210">
        <f>IF(D3&lt;=12,1,IF(D3&lt;=24,3,IF(D3&lt;=120,6,IF(D3&lt;=240,12,IF(D3&lt;=360,36,60)))))</f>
        <v>1</v>
      </c>
      <c r="G3" s="211">
        <f>IF(J3&gt;=0,ROUNDDOWN(J3*10,3),ROUNDUP(J3*10,3))/10</f>
        <v>-8.6E-3</v>
      </c>
      <c r="H3" s="212">
        <f>IF(K3-J3&gt;1%,(QUOTIENT(K3*10000,50)+1)*0.5%,(QUOTIENT(K3*10000,10)+1)*0.1%)</f>
        <v>-6.0000000000000001E-3</v>
      </c>
      <c r="I3" s="213">
        <f>IF(H3-G3&lt;0.5%,0.05%,IF(H3-G3&lt;1%,0.1%,IF(H3-G3&lt;2%,0.25%,0.5%)))</f>
        <v>5.0000000000000001E-4</v>
      </c>
      <c r="J3" s="212">
        <f>MIN(_xll.ohPack($AA$19:INDEX($AA$19:$AA$3552,MATCH(E3+1,$Z$19:$Z$3552,1),1)))</f>
        <v>-8.5249702123135762E-3</v>
      </c>
      <c r="K3" s="213">
        <f>MAX(_xll.ohPack($AA$19:INDEX($AA$19:$AA$3552,MATCH(E3+1,$Z$19:$Z$3552,1),1)))</f>
        <v>-7.2301112978861394E-3</v>
      </c>
      <c r="L3" s="149"/>
      <c r="M3" s="149"/>
      <c r="N3" s="218"/>
    </row>
    <row r="4" spans="1:29" ht="12" hidden="1" customHeight="1" outlineLevel="1" x14ac:dyDescent="0.25">
      <c r="A4" s="190"/>
      <c r="B4" s="191" t="str">
        <f>_xll.qlPeriodEquivalent(D4&amp;"M")</f>
        <v>2Y</v>
      </c>
      <c r="C4" s="192">
        <f>_xll.qlDateEndOfMonth(EDATE(_xll.qlIMMNextDate(_xll.qlSettingsEvaluationDate(Trigger)-1,TRUE),-3))</f>
        <v>42094</v>
      </c>
      <c r="D4" s="159">
        <v>24</v>
      </c>
      <c r="E4" s="192">
        <f t="shared" si="0"/>
        <v>42870</v>
      </c>
      <c r="F4" s="210">
        <f t="shared" ref="F4:F16" si="1">IF(D4&lt;=12,1,IF(D4&lt;=24,3,IF(D4&lt;=120,6,IF(D4&lt;=240,12,IF(D4&lt;=360,36,60)))))</f>
        <v>3</v>
      </c>
      <c r="G4" s="211">
        <f t="shared" ref="G4:G16" si="2">IF(J4&gt;=0,ROUNDDOWN(J4*10,3),ROUNDUP(J4*10,3))/10</f>
        <v>-8.6E-3</v>
      </c>
      <c r="H4" s="212">
        <f t="shared" ref="H4:H16" si="3">IF(K4-J4&gt;1%,(QUOTIENT(K4*10000,50)+1)*0.5%,(QUOTIENT(K4*10000,10)+1)*0.1%)</f>
        <v>-3.0000000000000001E-3</v>
      </c>
      <c r="I4" s="213">
        <f t="shared" ref="I4:I16" si="4">IF(H4-G4&lt;0.5%,0.05%,IF(H4-G4&lt;1%,0.1%,IF(H4-G4&lt;2%,0.25%,0.5%)))</f>
        <v>1E-3</v>
      </c>
      <c r="J4" s="212">
        <f>MIN(_xll.ohPack($AA$19:INDEX($AA$19:$AA$3552,MATCH(E4+1,$Z$19:$Z$3552,1),1)))</f>
        <v>-8.5249702123135762E-3</v>
      </c>
      <c r="K4" s="213">
        <f>MAX(_xll.ohPack($AA$19:INDEX($AA$19:$AA$3552,MATCH(E4+1,$Z$19:$Z$3552,1),1)))</f>
        <v>-4.6864341706787591E-3</v>
      </c>
      <c r="L4" s="149"/>
      <c r="M4" s="149"/>
      <c r="Y4" s="129"/>
      <c r="Z4" s="129"/>
      <c r="AA4" s="129"/>
      <c r="AB4" s="129"/>
      <c r="AC4" s="129"/>
    </row>
    <row r="5" spans="1:29" hidden="1" outlineLevel="1" x14ac:dyDescent="0.2">
      <c r="A5" s="190"/>
      <c r="B5" s="191" t="str">
        <f>_xll.qlPeriodEquivalent(D5&amp;"M")</f>
        <v>5Y</v>
      </c>
      <c r="C5" s="192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159">
        <v>60</v>
      </c>
      <c r="E5" s="192">
        <f t="shared" si="0"/>
        <v>43966</v>
      </c>
      <c r="F5" s="210">
        <f t="shared" si="1"/>
        <v>6</v>
      </c>
      <c r="G5" s="211">
        <f t="shared" si="2"/>
        <v>-8.6E-3</v>
      </c>
      <c r="H5" s="212">
        <f t="shared" si="3"/>
        <v>5.0000000000000001E-3</v>
      </c>
      <c r="I5" s="213">
        <f t="shared" si="4"/>
        <v>2.5000000000000001E-3</v>
      </c>
      <c r="J5" s="212">
        <f>MIN(_xll.ohPack($AA$19:INDEX($AA$19:$AA$3552,MATCH(E5+1,$Z$19:$Z$3552,1),1)))</f>
        <v>-8.5249702123135762E-3</v>
      </c>
      <c r="K5" s="213">
        <f>MAX(_xll.ohPack($AA$19:INDEX($AA$19:$AA$3552,MATCH(E5+1,$Z$19:$Z$3552,1),1)))</f>
        <v>4.5795445334130607E-3</v>
      </c>
      <c r="L5" s="149"/>
      <c r="M5" s="149"/>
    </row>
    <row r="6" spans="1:29" hidden="1" outlineLevel="1" x14ac:dyDescent="0.2">
      <c r="A6" s="190" t="s">
        <v>129</v>
      </c>
      <c r="B6" s="191" t="str">
        <f>_xll.qlPeriodEquivalent(D6&amp;"M")</f>
        <v>10Y</v>
      </c>
      <c r="C6" s="192">
        <f>C5</f>
        <v>42004</v>
      </c>
      <c r="D6" s="159">
        <v>120</v>
      </c>
      <c r="E6" s="192">
        <f t="shared" si="0"/>
        <v>45792</v>
      </c>
      <c r="F6" s="210">
        <f t="shared" si="1"/>
        <v>6</v>
      </c>
      <c r="G6" s="211">
        <f t="shared" si="2"/>
        <v>-8.6E-3</v>
      </c>
      <c r="H6" s="212">
        <f t="shared" si="3"/>
        <v>0.01</v>
      </c>
      <c r="I6" s="213">
        <f t="shared" si="4"/>
        <v>2.5000000000000001E-3</v>
      </c>
      <c r="J6" s="212">
        <f>MIN(_xll.ohPack($AA$19:INDEX($AA$19:$AA$3552,MATCH(E6+1,$Z$19:$Z$3552,1),1)))</f>
        <v>-8.5249702123135762E-3</v>
      </c>
      <c r="K6" s="213">
        <f>MAX(_xll.ohPack($AA$19:INDEX($AA$19:$AA$3552,MATCH(E6+1,$Z$19:$Z$3552,1),1)))</f>
        <v>9.8285371159571571E-3</v>
      </c>
      <c r="L6" s="149"/>
      <c r="M6" s="149"/>
    </row>
    <row r="7" spans="1:29" hidden="1" outlineLevel="1" x14ac:dyDescent="0.2">
      <c r="A7" s="190"/>
      <c r="B7" s="191" t="str">
        <f>_xll.qlPeriodEquivalent(D7&amp;"M")</f>
        <v>20Y</v>
      </c>
      <c r="C7" s="192">
        <f>IF(AND(MONTH(C6)=12),C6,_xll.qlDateEndOfMonth(EDATE(C6,-6)))</f>
        <v>42004</v>
      </c>
      <c r="D7" s="159">
        <v>240</v>
      </c>
      <c r="E7" s="192">
        <f t="shared" si="0"/>
        <v>49444</v>
      </c>
      <c r="F7" s="210">
        <f t="shared" si="1"/>
        <v>12</v>
      </c>
      <c r="G7" s="211">
        <f t="shared" si="2"/>
        <v>-8.6E-3</v>
      </c>
      <c r="H7" s="212">
        <f t="shared" si="3"/>
        <v>1.4999999999999999E-2</v>
      </c>
      <c r="I7" s="213">
        <f t="shared" si="4"/>
        <v>5.0000000000000001E-3</v>
      </c>
      <c r="J7" s="212">
        <f>MIN(_xll.ohPack($AA$19:INDEX($AA$19:$AA$3552,MATCH(E7+1,$Z$19:$Z$3552,1),1)))</f>
        <v>-8.5249702123135762E-3</v>
      </c>
      <c r="K7" s="213">
        <f>MAX(_xll.ohPack($AA$19:INDEX($AA$19:$AA$3552,MATCH(E7+1,$Z$19:$Z$3552,1),1)))</f>
        <v>1.071762671007319E-2</v>
      </c>
      <c r="L7" s="149"/>
      <c r="M7" s="149"/>
    </row>
    <row r="8" spans="1:29" hidden="1" outlineLevel="1" x14ac:dyDescent="0.2">
      <c r="A8" s="190"/>
      <c r="B8" s="191" t="str">
        <f>_xll.qlPeriodEquivalent(D8&amp;"M")</f>
        <v>30Y</v>
      </c>
      <c r="C8" s="192">
        <f>C7</f>
        <v>42004</v>
      </c>
      <c r="D8" s="159">
        <v>360</v>
      </c>
      <c r="E8" s="192">
        <f t="shared" si="0"/>
        <v>53097</v>
      </c>
      <c r="F8" s="210">
        <f t="shared" si="1"/>
        <v>36</v>
      </c>
      <c r="G8" s="211">
        <f t="shared" si="2"/>
        <v>-8.6E-3</v>
      </c>
      <c r="H8" s="212">
        <f t="shared" si="3"/>
        <v>1.4999999999999999E-2</v>
      </c>
      <c r="I8" s="213">
        <f t="shared" si="4"/>
        <v>5.0000000000000001E-3</v>
      </c>
      <c r="J8" s="212">
        <f>MIN(_xll.ohPack($AA$19:INDEX($AA$19:$AA$3552,MATCH(E8+1,$Z$19:$Z$3552,1),1)))</f>
        <v>-8.5249702123135762E-3</v>
      </c>
      <c r="K8" s="213">
        <f>MAX(_xll.ohPack($AA$19:INDEX($AA$19:$AA$3552,MATCH(E8+1,$Z$19:$Z$3552,1),1)))</f>
        <v>1.0783537235695551E-2</v>
      </c>
      <c r="L8" s="149"/>
      <c r="M8" s="149"/>
      <c r="AB8" s="160"/>
    </row>
    <row r="9" spans="1:29" ht="12" hidden="1" outlineLevel="1" thickBot="1" x14ac:dyDescent="0.25">
      <c r="A9" s="190"/>
      <c r="B9" s="191" t="str">
        <f>_xll.qlPeriodEquivalent(D9&amp;"M")</f>
        <v>60Y</v>
      </c>
      <c r="C9" s="192">
        <f>C8</f>
        <v>42004</v>
      </c>
      <c r="D9" s="159">
        <f>60*12</f>
        <v>720</v>
      </c>
      <c r="E9" s="192">
        <f t="shared" si="0"/>
        <v>64054</v>
      </c>
      <c r="F9" s="210">
        <f t="shared" si="1"/>
        <v>60</v>
      </c>
      <c r="G9" s="211">
        <f t="shared" si="2"/>
        <v>-8.6E-3</v>
      </c>
      <c r="H9" s="212">
        <f t="shared" si="3"/>
        <v>1.4999999999999999E-2</v>
      </c>
      <c r="I9" s="213">
        <f t="shared" si="4"/>
        <v>5.0000000000000001E-3</v>
      </c>
      <c r="J9" s="212">
        <f>MIN(_xll.ohPack($AA$19:INDEX($AA$19:$AA$3552,MATCH(E9+1,$Z$19:$Z$3552,1),1)))</f>
        <v>-8.5249702123135762E-3</v>
      </c>
      <c r="K9" s="213">
        <f>MAX(_xll.ohPack($AA$19:INDEX($AA$19:$AA$3552,MATCH(E9+1,$Z$19:$Z$3552,1),1)))</f>
        <v>1.0783537235695551E-2</v>
      </c>
      <c r="L9" s="149"/>
      <c r="M9" s="149"/>
      <c r="AB9" s="160"/>
    </row>
    <row r="10" spans="1:29" hidden="1" outlineLevel="1" x14ac:dyDescent="0.2">
      <c r="A10" s="196"/>
      <c r="B10" s="197" t="str">
        <f>_xll.qlPeriodEquivalent(D10&amp;"M")</f>
        <v>1Y</v>
      </c>
      <c r="C10" s="198">
        <f>C3</f>
        <v>42124</v>
      </c>
      <c r="D10" s="199">
        <v>12</v>
      </c>
      <c r="E10" s="198">
        <f t="shared" si="0"/>
        <v>42505</v>
      </c>
      <c r="F10" s="214">
        <f t="shared" si="1"/>
        <v>1</v>
      </c>
      <c r="G10" s="215">
        <f t="shared" si="2"/>
        <v>-8.6999999999999994E-3</v>
      </c>
      <c r="H10" s="216">
        <f t="shared" si="3"/>
        <v>-4.0000000000000001E-3</v>
      </c>
      <c r="I10" s="217">
        <f t="shared" si="4"/>
        <v>5.0000000000000001E-4</v>
      </c>
      <c r="J10" s="216">
        <f>MIN(_xll.ohPack($AB$19:INDEX($AB$19:$AB$3552,MATCH(E10+1,$Z$19:$Z$3552,1),1)))</f>
        <v>-8.6985742494061213E-3</v>
      </c>
      <c r="K10" s="217">
        <f>MAX(_xll.ohPack($AB$19:INDEX($AB$19:$AB$3552,MATCH(E10+1,$Z$19:$Z$3552,1),1)))</f>
        <v>-5.9878911707134108E-3</v>
      </c>
      <c r="L10" s="149"/>
      <c r="M10" s="149"/>
    </row>
    <row r="11" spans="1:29" hidden="1" outlineLevel="1" x14ac:dyDescent="0.2">
      <c r="A11" s="190"/>
      <c r="B11" s="191" t="str">
        <f>_xll.qlPeriodEquivalent(D11&amp;"M")</f>
        <v>2Y</v>
      </c>
      <c r="C11" s="192">
        <f t="shared" ref="C11:C16" si="5">C4</f>
        <v>42094</v>
      </c>
      <c r="D11" s="159">
        <v>24</v>
      </c>
      <c r="E11" s="192">
        <f t="shared" si="0"/>
        <v>42870</v>
      </c>
      <c r="F11" s="210">
        <f t="shared" si="1"/>
        <v>3</v>
      </c>
      <c r="G11" s="211">
        <f t="shared" si="2"/>
        <v>-8.6999999999999994E-3</v>
      </c>
      <c r="H11" s="212">
        <f t="shared" si="3"/>
        <v>-3.0000000000000001E-3</v>
      </c>
      <c r="I11" s="213">
        <f t="shared" si="4"/>
        <v>1E-3</v>
      </c>
      <c r="J11" s="212">
        <f>MIN(_xll.ohPack($AB$19:INDEX($AB$19:$AB$3552,MATCH(E11+1,$Z$19:$Z$3552,1),1)))</f>
        <v>-8.6985742494061213E-3</v>
      </c>
      <c r="K11" s="213">
        <f>MAX(_xll.ohPack($AB$19:INDEX($AB$19:$AB$3552,MATCH(E11+1,$Z$19:$Z$3552,1),1)))</f>
        <v>-4.8750242987249948E-3</v>
      </c>
      <c r="L11" s="149"/>
      <c r="M11" s="149"/>
    </row>
    <row r="12" spans="1:29" hidden="1" outlineLevel="1" x14ac:dyDescent="0.2">
      <c r="A12" s="190"/>
      <c r="B12" s="191" t="str">
        <f>_xll.qlPeriodEquivalent(D12&amp;"M")</f>
        <v>5Y</v>
      </c>
      <c r="C12" s="192">
        <f t="shared" si="5"/>
        <v>42004</v>
      </c>
      <c r="D12" s="159">
        <v>60</v>
      </c>
      <c r="E12" s="192">
        <f t="shared" si="0"/>
        <v>43966</v>
      </c>
      <c r="F12" s="210">
        <f t="shared" si="1"/>
        <v>6</v>
      </c>
      <c r="G12" s="211">
        <f t="shared" si="2"/>
        <v>-8.6999999999999994E-3</v>
      </c>
      <c r="H12" s="212">
        <f t="shared" si="3"/>
        <v>5.0000000000000001E-3</v>
      </c>
      <c r="I12" s="213">
        <f t="shared" si="4"/>
        <v>2.5000000000000001E-3</v>
      </c>
      <c r="J12" s="212">
        <f>MIN(_xll.ohPack($AB$19:INDEX($AB$19:$AB$3552,MATCH(E12+1,$Z$19:$Z$3552,1),1)))</f>
        <v>-8.6985742494061213E-3</v>
      </c>
      <c r="K12" s="213">
        <f>MAX(_xll.ohPack($AB$19:INDEX($AB$19:$AB$3552,MATCH(E12+1,$Z$19:$Z$3552,1),1)))</f>
        <v>4.217606480221292E-3</v>
      </c>
      <c r="L12" s="149"/>
      <c r="M12" s="149"/>
    </row>
    <row r="13" spans="1:29" hidden="1" outlineLevel="1" x14ac:dyDescent="0.2">
      <c r="A13" s="190" t="s">
        <v>130</v>
      </c>
      <c r="B13" s="191" t="str">
        <f>_xll.qlPeriodEquivalent(D13&amp;"M")</f>
        <v>10Y</v>
      </c>
      <c r="C13" s="192">
        <f t="shared" si="5"/>
        <v>42004</v>
      </c>
      <c r="D13" s="159">
        <v>120</v>
      </c>
      <c r="E13" s="192">
        <f t="shared" si="0"/>
        <v>45792</v>
      </c>
      <c r="F13" s="210">
        <f t="shared" si="1"/>
        <v>6</v>
      </c>
      <c r="G13" s="211">
        <f t="shared" si="2"/>
        <v>-8.6999999999999994E-3</v>
      </c>
      <c r="H13" s="212">
        <f t="shared" si="3"/>
        <v>0.01</v>
      </c>
      <c r="I13" s="213">
        <f t="shared" si="4"/>
        <v>2.5000000000000001E-3</v>
      </c>
      <c r="J13" s="212">
        <f>MIN(_xll.ohPack($AB$19:INDEX($AB$19:$AB$3552,MATCH(E13+1,$Z$19:$Z$3552,1),1)))</f>
        <v>-8.6985742494061213E-3</v>
      </c>
      <c r="K13" s="213">
        <f>MAX(_xll.ohPack($AB$19:INDEX($AB$19:$AB$3552,MATCH(E13+1,$Z$19:$Z$3552,1),1)))</f>
        <v>9.7885052689772323E-3</v>
      </c>
      <c r="L13" s="149"/>
      <c r="M13" s="149"/>
    </row>
    <row r="14" spans="1:29" hidden="1" outlineLevel="1" x14ac:dyDescent="0.2">
      <c r="A14" s="190"/>
      <c r="B14" s="191" t="str">
        <f>_xll.qlPeriodEquivalent(D14&amp;"M")</f>
        <v>20Y</v>
      </c>
      <c r="C14" s="192">
        <f t="shared" si="5"/>
        <v>42004</v>
      </c>
      <c r="D14" s="159">
        <v>240</v>
      </c>
      <c r="E14" s="192">
        <f t="shared" si="0"/>
        <v>49444</v>
      </c>
      <c r="F14" s="210">
        <f t="shared" si="1"/>
        <v>12</v>
      </c>
      <c r="G14" s="211">
        <f t="shared" si="2"/>
        <v>-8.6999999999999994E-3</v>
      </c>
      <c r="H14" s="212">
        <f t="shared" si="3"/>
        <v>1.4999999999999999E-2</v>
      </c>
      <c r="I14" s="213">
        <f t="shared" si="4"/>
        <v>5.0000000000000001E-3</v>
      </c>
      <c r="J14" s="212">
        <f>MIN(_xll.ohPack($AB$19:INDEX($AB$19:$AB$3552,MATCH(E14+1,$Z$19:$Z$3552,1),1)))</f>
        <v>-8.6985742494061213E-3</v>
      </c>
      <c r="K14" s="213">
        <f>MAX(_xll.ohPack($AB$19:INDEX($AB$19:$AB$3552,MATCH(E14+1,$Z$19:$Z$3552,1),1)))</f>
        <v>1.0690298293152267E-2</v>
      </c>
      <c r="L14" s="149"/>
      <c r="M14" s="149"/>
    </row>
    <row r="15" spans="1:29" hidden="1" outlineLevel="1" x14ac:dyDescent="0.2">
      <c r="A15" s="190"/>
      <c r="B15" s="191" t="str">
        <f>_xll.qlPeriodEquivalent(D15&amp;"M")</f>
        <v>30Y</v>
      </c>
      <c r="C15" s="192">
        <f t="shared" si="5"/>
        <v>42004</v>
      </c>
      <c r="D15" s="159">
        <v>360</v>
      </c>
      <c r="E15" s="192">
        <f t="shared" si="0"/>
        <v>53097</v>
      </c>
      <c r="F15" s="210">
        <f t="shared" si="1"/>
        <v>36</v>
      </c>
      <c r="G15" s="211">
        <f t="shared" si="2"/>
        <v>-8.6999999999999994E-3</v>
      </c>
      <c r="H15" s="212">
        <f t="shared" si="3"/>
        <v>1.4999999999999999E-2</v>
      </c>
      <c r="I15" s="213">
        <f t="shared" si="4"/>
        <v>5.0000000000000001E-3</v>
      </c>
      <c r="J15" s="212">
        <f>MIN(_xll.ohPack($AB$19:INDEX($AB$19:$AB$3552,MATCH(E15+1,$Z$19:$Z$3552,1),1)))</f>
        <v>-8.6985742494061213E-3</v>
      </c>
      <c r="K15" s="213">
        <f>MAX(_xll.ohPack($AB$19:INDEX($AB$19:$AB$3552,MATCH(E15+1,$Z$19:$Z$3552,1),1)))</f>
        <v>1.0769098307026326E-2</v>
      </c>
      <c r="L15" s="149"/>
      <c r="M15" s="149"/>
    </row>
    <row r="16" spans="1:29" ht="12" hidden="1" outlineLevel="1" thickBot="1" x14ac:dyDescent="0.25">
      <c r="A16" s="207"/>
      <c r="B16" s="191" t="str">
        <f>_xll.qlPeriodEquivalent(D16&amp;"M")</f>
        <v>60Y</v>
      </c>
      <c r="C16" s="192">
        <f t="shared" si="5"/>
        <v>42004</v>
      </c>
      <c r="D16" s="159">
        <v>720</v>
      </c>
      <c r="E16" s="192">
        <f t="shared" si="0"/>
        <v>64054</v>
      </c>
      <c r="F16" s="210">
        <f t="shared" si="1"/>
        <v>60</v>
      </c>
      <c r="G16" s="211">
        <f t="shared" si="2"/>
        <v>-8.6999999999999994E-3</v>
      </c>
      <c r="H16" s="212">
        <f t="shared" si="3"/>
        <v>1.4999999999999999E-2</v>
      </c>
      <c r="I16" s="213">
        <f t="shared" si="4"/>
        <v>5.0000000000000001E-3</v>
      </c>
      <c r="J16" s="212">
        <f>MIN(_xll.ohPack($AB$19:INDEX($AB$19:$AB$3552,MATCH(E16+1,$Z$19:$Z$3552,1),1)))</f>
        <v>-8.6985742494061213E-3</v>
      </c>
      <c r="K16" s="213">
        <f>MAX(_xll.ohPack($AB$19:INDEX($AB$19:$AB$3552,MATCH(E16+1,$Z$19:$Z$3552,1),1)))</f>
        <v>1.0769098307026326E-2</v>
      </c>
      <c r="L16" s="149"/>
      <c r="M16" s="149"/>
      <c r="AA16" s="161" t="s">
        <v>131</v>
      </c>
      <c r="AB16" s="161" t="s">
        <v>132</v>
      </c>
    </row>
    <row r="17" spans="1:28" ht="12" collapsed="1" thickBot="1" x14ac:dyDescent="0.25">
      <c r="A17" s="208"/>
      <c r="B17" s="209"/>
      <c r="C17" s="209"/>
      <c r="D17" s="208"/>
      <c r="E17" s="208"/>
      <c r="F17" s="209"/>
      <c r="G17" s="209"/>
      <c r="H17" s="209"/>
      <c r="I17" s="209"/>
      <c r="J17" s="209"/>
      <c r="K17" s="208"/>
      <c r="L17" s="178"/>
      <c r="M17" s="178"/>
      <c r="AA17" s="163" t="str">
        <f>_xll.qlLibor(,Currency,IndexTenor,YieldCurve,,YieldCurve)</f>
        <v>obj_0036c#0002</v>
      </c>
      <c r="AB17" s="163" t="str">
        <f>_xll.qlOvernightIndex(,FamilyName,0,Currency,Calendar,MoneyMarketDayCounter,YieldCurve,,YieldCurve)</f>
        <v>obj_0037e#0002</v>
      </c>
    </row>
    <row r="18" spans="1:28" ht="12" thickBot="1" x14ac:dyDescent="0.25">
      <c r="M18" s="162" t="s">
        <v>133</v>
      </c>
      <c r="N18" s="294" t="s">
        <v>134</v>
      </c>
      <c r="O18" s="193" t="s">
        <v>135</v>
      </c>
      <c r="P18" s="193" t="s">
        <v>43</v>
      </c>
      <c r="Q18" s="193" t="s">
        <v>136</v>
      </c>
      <c r="R18" s="193"/>
      <c r="S18" s="193" t="s">
        <v>137</v>
      </c>
      <c r="T18" s="193" t="s">
        <v>138</v>
      </c>
      <c r="U18" s="295" t="s">
        <v>139</v>
      </c>
      <c r="V18" s="161" t="s">
        <v>140</v>
      </c>
      <c r="W18" s="149"/>
      <c r="X18" s="164" t="s">
        <v>141</v>
      </c>
      <c r="Y18" s="165" t="s">
        <v>137</v>
      </c>
      <c r="Z18" s="165" t="s">
        <v>135</v>
      </c>
      <c r="AA18" s="166" t="s">
        <v>142</v>
      </c>
      <c r="AB18" s="167" t="s">
        <v>130</v>
      </c>
    </row>
    <row r="19" spans="1:28" ht="12" thickBot="1" x14ac:dyDescent="0.25">
      <c r="J19" s="150" t="s">
        <v>143</v>
      </c>
      <c r="M19" s="170" t="str">
        <f t="array" ref="M19:M24">_xll.ohFilter(RateHelpers!B11:B19,IF(ISERROR(RateHelpers!D11:D19),FALSE,TRUE))</f>
        <v>obj_00307#0001</v>
      </c>
      <c r="N19" s="170" t="str">
        <f>_xll.qlRateHelperQuoteName(M19)</f>
        <v>CHF1x4F_Quote</v>
      </c>
      <c r="O19" s="168">
        <f>_xll.qlRateHelperEarliestDate(M19)</f>
        <v>42170</v>
      </c>
      <c r="P19" s="181">
        <f>_xll.qlRateHelperQuoteValue(M19,"ohTrigger(Trigger,RecalcTrigger))")</f>
        <v>-8.1000000000000013E-3</v>
      </c>
      <c r="Q19" s="178" t="e">
        <f>NA()</f>
        <v>#N/A</v>
      </c>
      <c r="R19" s="178"/>
      <c r="S19" s="168">
        <f>_xll.qlInterestRateIndexFixingDate(IborIndex,O19)</f>
        <v>42166</v>
      </c>
      <c r="T19" s="181">
        <f>_xll.qlIndexFixing(IborIndex,S19,TRUE,RecalcTrigger)</f>
        <v>-8.1216671375880876E-3</v>
      </c>
      <c r="U19" s="194">
        <f>T19-P19</f>
        <v>-2.1667137588086277E-5</v>
      </c>
      <c r="V19" s="182">
        <f t="array" ref="V19">MAX(ABS(U19:U23))</f>
        <v>1.7191220087645932E-4</v>
      </c>
      <c r="W19" s="194"/>
      <c r="X19" s="170" t="s">
        <v>144</v>
      </c>
      <c r="Y19" s="171">
        <f>_xll.qlSettingsEvaluationDate(Trigger)</f>
        <v>42137</v>
      </c>
      <c r="Z19" s="171">
        <f>_xll.qlInterestRateIndexValueDate(IborIndex,Y19,Trigger)</f>
        <v>42139</v>
      </c>
      <c r="AA19" s="172">
        <f t="array" ref="AA19:AA3552">IFERROR(_xll.qlIndexFixing(IborIndex,Y19:Y3552,TRUE,RecalcTrigger),NA())</f>
        <v>-7.7430000000001022E-3</v>
      </c>
      <c r="AB19" s="169">
        <f t="array" ref="AB19:AB3552">IFERROR(_xll.qlIndexFixing(OverNightIndex,Z19:Z3552,TRUE,RecalcTrigger),NA())</f>
        <v>-5.9878911707134108E-3</v>
      </c>
    </row>
    <row r="20" spans="1:28" ht="12" thickBot="1" x14ac:dyDescent="0.25">
      <c r="J20" s="152"/>
      <c r="M20" s="170" t="str">
        <v>obj_00304#0001</v>
      </c>
      <c r="N20" s="170" t="str">
        <f>_xll.qlRateHelperQuoteName(M20)</f>
        <v>CHF2x5F_Quote</v>
      </c>
      <c r="O20" s="168">
        <f>_xll.qlRateHelperEarliestDate(M20)</f>
        <v>42200</v>
      </c>
      <c r="P20" s="181">
        <f>_xll.qlRateHelperQuoteValue(M20,"ohTrigger(Trigger,RecalcTrigger))")</f>
        <v>-8.2500000000000004E-3</v>
      </c>
      <c r="Q20" s="178" t="e">
        <f>NA()</f>
        <v>#N/A</v>
      </c>
      <c r="R20" s="178"/>
      <c r="S20" s="168">
        <f>_xll.qlInterestRateIndexFixingDate(IborIndex,O20)</f>
        <v>42198</v>
      </c>
      <c r="T20" s="181">
        <f>_xll.qlIndexFixing(IborIndex,S20,TRUE,RecalcTrigger)</f>
        <v>-8.3488852779166293E-3</v>
      </c>
      <c r="U20" s="194">
        <f t="shared" ref="U20:U24" si="6">T20-P20</f>
        <v>-9.8885277916628891E-5</v>
      </c>
      <c r="W20" s="194"/>
      <c r="X20" s="170" t="str">
        <f>X19</f>
        <v>1D</v>
      </c>
      <c r="Y20" s="168">
        <f>_xll.qlCalendarAdvance(LiborCalendar,Y19,X20,"f",FALSE)</f>
        <v>42138</v>
      </c>
      <c r="Z20" s="171">
        <f>_xll.qlInterestRateIndexValueDate(IborIndex,Y20,Trigger)</f>
        <v>42142</v>
      </c>
      <c r="AA20" s="172">
        <v>-7.8058867945438402E-3</v>
      </c>
      <c r="AB20" s="169">
        <v>-7.0540000032348615E-3</v>
      </c>
    </row>
    <row r="21" spans="1:28" ht="12" thickBot="1" x14ac:dyDescent="0.25">
      <c r="M21" s="170" t="str">
        <v>obj_00303#0001</v>
      </c>
      <c r="N21" s="170" t="str">
        <f>_xll.qlRateHelperQuoteName(M21)</f>
        <v>CHF3x6F_Quote</v>
      </c>
      <c r="O21" s="168">
        <f>_xll.qlRateHelperEarliestDate(M21)</f>
        <v>42233</v>
      </c>
      <c r="P21" s="181">
        <f>_xll.qlRateHelperQuoteValue(M21,"ohTrigger(Trigger,RecalcTrigger))")</f>
        <v>-8.3499999999999998E-3</v>
      </c>
      <c r="Q21" s="178" t="e">
        <f>NA()</f>
        <v>#N/A</v>
      </c>
      <c r="R21" s="178"/>
      <c r="S21" s="168">
        <f>_xll.qlInterestRateIndexFixingDate(IborIndex,O21)</f>
        <v>42229</v>
      </c>
      <c r="T21" s="181">
        <f>_xll.qlIndexFixing(IborIndex,S21,TRUE,RecalcTrigger)</f>
        <v>-8.5219122008764591E-3</v>
      </c>
      <c r="U21" s="194">
        <f t="shared" si="6"/>
        <v>-1.7191220087645932E-4</v>
      </c>
      <c r="W21" s="194"/>
      <c r="X21" s="170" t="str">
        <f t="shared" ref="X21:X84" si="7">X20</f>
        <v>1D</v>
      </c>
      <c r="Y21" s="168">
        <f>_xll.qlCalendarAdvance(LiborCalendar,Y20,X21,"f",FALSE)</f>
        <v>42139</v>
      </c>
      <c r="Z21" s="171">
        <f>_xll.qlInterestRateIndexValueDate(IborIndex,Y21,Trigger)</f>
        <v>42143</v>
      </c>
      <c r="AA21" s="172">
        <v>-7.8191741334047698E-3</v>
      </c>
      <c r="AB21" s="169">
        <v>-7.8690881797882639E-3</v>
      </c>
    </row>
    <row r="22" spans="1:28" ht="23.25" thickBot="1" x14ac:dyDescent="0.25">
      <c r="J22" s="223" t="s">
        <v>155</v>
      </c>
      <c r="M22" s="170" t="str">
        <v>obj_00305#0001</v>
      </c>
      <c r="N22" s="170" t="str">
        <f>_xll.qlRateHelperQuoteName(M22)</f>
        <v>CHF6x9F_Quote</v>
      </c>
      <c r="O22" s="168">
        <f>_xll.qlRateHelperEarliestDate(M22)</f>
        <v>42324</v>
      </c>
      <c r="P22" s="181">
        <f>_xll.qlRateHelperQuoteValue(M22,"ohTrigger(Trigger,RecalcTrigger))")</f>
        <v>-8.2500000000000004E-3</v>
      </c>
      <c r="Q22" s="178" t="e">
        <f>NA()</f>
        <v>#N/A</v>
      </c>
      <c r="R22" s="178"/>
      <c r="S22" s="168">
        <f>_xll.qlInterestRateIndexFixingDate(IborIndex,O22)</f>
        <v>42320</v>
      </c>
      <c r="T22" s="181">
        <f>_xll.qlIndexFixing(IborIndex,S22,TRUE,RecalcTrigger)</f>
        <v>-8.2478364463643653E-3</v>
      </c>
      <c r="U22" s="194">
        <f t="shared" si="6"/>
        <v>2.163553635635071E-6</v>
      </c>
      <c r="W22" s="194"/>
      <c r="X22" s="170" t="str">
        <f t="shared" si="7"/>
        <v>1D</v>
      </c>
      <c r="Y22" s="168">
        <f>_xll.qlCalendarAdvance(LiborCalendar,Y21,X22,"f",FALSE)</f>
        <v>42142</v>
      </c>
      <c r="Z22" s="171">
        <f>_xll.qlInterestRateIndexValueDate(IborIndex,Y22,Trigger)</f>
        <v>42144</v>
      </c>
      <c r="AA22" s="172">
        <v>-7.8239814472417773E-3</v>
      </c>
      <c r="AB22" s="169">
        <v>-8.4194470863963033E-3</v>
      </c>
    </row>
    <row r="23" spans="1:28" ht="12" thickBot="1" x14ac:dyDescent="0.25">
      <c r="J23" s="222" t="str">
        <f>ROUNDDOWN((_xll.qlTermStructureMaxDate(YieldCurve,Trigger)-_xll.qlTermStructureReferenceDate(YieldCurve,Trigger))/365,)&amp;"Y"</f>
        <v>30Y</v>
      </c>
      <c r="M23" s="170" t="str">
        <v>obj_00301#0001</v>
      </c>
      <c r="N23" s="170" t="str">
        <f>_xll.qlRateHelperQuoteName(M23)</f>
        <v>CHF9x12F_Quote</v>
      </c>
      <c r="O23" s="168">
        <f>_xll.qlRateHelperEarliestDate(M23)</f>
        <v>42415</v>
      </c>
      <c r="P23" s="181">
        <f>_xll.qlRateHelperQuoteValue(M23,"ohTrigger(Trigger,RecalcTrigger))")</f>
        <v>-7.8000000000000005E-3</v>
      </c>
      <c r="Q23" s="178" t="e">
        <f>NA()</f>
        <v>#N/A</v>
      </c>
      <c r="R23" s="178"/>
      <c r="S23" s="168">
        <f>_xll.qlInterestRateIndexFixingDate(IborIndex,O23)</f>
        <v>42411</v>
      </c>
      <c r="T23" s="181">
        <f>_xll.qlIndexFixing(IborIndex,S23,TRUE,RecalcTrigger)</f>
        <v>-7.8419691823605753E-3</v>
      </c>
      <c r="U23" s="194">
        <f t="shared" si="6"/>
        <v>-4.1969182360574765E-5</v>
      </c>
      <c r="W23" s="194"/>
      <c r="X23" s="170" t="str">
        <f t="shared" si="7"/>
        <v>1D</v>
      </c>
      <c r="Y23" s="168">
        <f>_xll.qlCalendarAdvance(LiborCalendar,Y22,X23,"f",FALSE)</f>
        <v>42143</v>
      </c>
      <c r="Z23" s="171">
        <f>_xll.qlInterestRateIndexValueDate(IborIndex,Y23,Trigger)</f>
        <v>42145</v>
      </c>
      <c r="AA23" s="172">
        <v>-7.8231655794519274E-3</v>
      </c>
      <c r="AB23" s="169">
        <v>-8.6064466287272268E-3</v>
      </c>
    </row>
    <row r="24" spans="1:28" ht="12" thickBot="1" x14ac:dyDescent="0.25">
      <c r="M24" s="170" t="e">
        <v>#N/A</v>
      </c>
      <c r="N24" s="170" t="e">
        <f>_xll.qlRateHelperQuoteName(M24)</f>
        <v>#VALUE!</v>
      </c>
      <c r="O24" s="168" t="e">
        <f>_xll.qlRateHelperEarliestDate(M24)</f>
        <v>#VALUE!</v>
      </c>
      <c r="P24" s="181" t="e">
        <f>_xll.qlRateHelperQuoteValue(M24,"ohTrigger(Trigger,RecalcTrigger))")</f>
        <v>#VALUE!</v>
      </c>
      <c r="Q24" s="178" t="e">
        <f>NA()</f>
        <v>#N/A</v>
      </c>
      <c r="R24" s="178"/>
      <c r="S24" s="168" t="e">
        <f>_xll.qlInterestRateIndexFixingDate(IborIndex,O24)</f>
        <v>#NUM!</v>
      </c>
      <c r="T24" s="181" t="e">
        <f>_xll.qlIndexFixing(IborIndex,S24,TRUE,RecalcTrigger)</f>
        <v>#NUM!</v>
      </c>
      <c r="U24" s="194" t="e">
        <f t="shared" si="6"/>
        <v>#NUM!</v>
      </c>
      <c r="W24" s="194"/>
      <c r="X24" s="170" t="str">
        <f t="shared" si="7"/>
        <v>1D</v>
      </c>
      <c r="Y24" s="168">
        <f>_xll.qlCalendarAdvance(LiborCalendar,Y23,X24,"f",FALSE)</f>
        <v>42144</v>
      </c>
      <c r="Z24" s="171">
        <f>_xll.qlInterestRateIndexValueDate(IborIndex,Y24,Trigger)</f>
        <v>42146</v>
      </c>
      <c r="AA24" s="172">
        <v>-7.8330034003603454E-3</v>
      </c>
      <c r="AB24" s="169">
        <v>-8.2533058649858493E-3</v>
      </c>
    </row>
    <row r="25" spans="1:28" ht="12" thickBot="1" x14ac:dyDescent="0.25">
      <c r="M25" s="208"/>
      <c r="N25" s="200"/>
      <c r="O25" s="208"/>
      <c r="P25" s="208"/>
      <c r="Q25" s="208"/>
      <c r="R25" s="208"/>
      <c r="S25" s="208"/>
      <c r="T25" s="208"/>
      <c r="U25" s="206"/>
      <c r="X25" s="170" t="str">
        <f t="shared" si="7"/>
        <v>1D</v>
      </c>
      <c r="Y25" s="168">
        <f>_xll.qlCalendarAdvance(LiborCalendar,Y24,X25,"f",FALSE)</f>
        <v>42145</v>
      </c>
      <c r="Z25" s="171">
        <f>_xll.qlInterestRateIndexValueDate(IborIndex,Y25,Trigger)</f>
        <v>42150</v>
      </c>
      <c r="AA25" s="172">
        <v>-7.8289377765305024E-3</v>
      </c>
      <c r="AB25" s="169">
        <v>-7.8899828279599404E-3</v>
      </c>
    </row>
    <row r="26" spans="1:28" x14ac:dyDescent="0.2">
      <c r="M26" s="252"/>
      <c r="N26" s="294" t="s">
        <v>145</v>
      </c>
      <c r="O26" s="193" t="s">
        <v>135</v>
      </c>
      <c r="P26" s="193" t="s">
        <v>43</v>
      </c>
      <c r="Q26" s="193" t="s">
        <v>136</v>
      </c>
      <c r="R26" s="193"/>
      <c r="S26" s="193" t="s">
        <v>137</v>
      </c>
      <c r="T26" s="193" t="s">
        <v>138</v>
      </c>
      <c r="U26" s="295" t="s">
        <v>139</v>
      </c>
      <c r="V26" s="161" t="s">
        <v>140</v>
      </c>
      <c r="X26" s="170" t="str">
        <f t="shared" si="7"/>
        <v>1D</v>
      </c>
      <c r="Y26" s="168">
        <f>_xll.qlCalendarAdvance(LiborCalendar,Y25,X26,"f",FALSE)</f>
        <v>42146</v>
      </c>
      <c r="Z26" s="171">
        <f>_xll.qlInterestRateIndexValueDate(IborIndex,Y26,Trigger)</f>
        <v>42151</v>
      </c>
      <c r="AA26" s="172">
        <v>-7.8356340042176256E-3</v>
      </c>
      <c r="AB26" s="169">
        <v>-7.7651511442500265E-3</v>
      </c>
    </row>
    <row r="27" spans="1:28" x14ac:dyDescent="0.2">
      <c r="M27" s="253" t="str">
        <f t="array" ref="M27:M60">_xll.ohFilter(RateHelpers!B20:B61,RateHelpers!M20:M61)</f>
        <v>obj_00365#0001</v>
      </c>
      <c r="N27" s="170" t="str">
        <f>_xll.qlRateHelperQuoteName(M27)</f>
        <v>CHFFUT3MM5_Quote</v>
      </c>
      <c r="O27" s="168">
        <f>_xll.qlRateHelperEarliestDate(M27)</f>
        <v>42172</v>
      </c>
      <c r="P27" s="181">
        <f>1-_xll.qlRateHelperQuoteValue(M27,_xll.ohTrigger(RecalcTrigger,Trigger))/100</f>
        <v>-8.1499999999998796E-3</v>
      </c>
      <c r="Q27" s="172" t="e">
        <f>NA()</f>
        <v>#N/A</v>
      </c>
      <c r="R27" s="172"/>
      <c r="S27" s="168">
        <f>_xll.qlInterestRateIndexFixingDate(IborIndex,O27)</f>
        <v>42170</v>
      </c>
      <c r="T27" s="181">
        <f>_xll.qlIndexFixing(IborIndex,S27,TRUE,RecalcTrigger)</f>
        <v>-8.1499999994395361E-3</v>
      </c>
      <c r="U27" s="194">
        <f>T27+_xll.qlFuturesRateHelperConvexityAdjustment(M27)-P27</f>
        <v>5.6034343831612432E-13</v>
      </c>
      <c r="V27" s="182">
        <f t="array" ref="V27">MAX(ABS(U27:U43))</f>
        <v>3.5401309105899453E-3</v>
      </c>
      <c r="X27" s="170" t="str">
        <f t="shared" si="7"/>
        <v>1D</v>
      </c>
      <c r="Y27" s="168">
        <f>_xll.qlCalendarAdvance(LiborCalendar,Y26,X27,"f",FALSE)</f>
        <v>42150</v>
      </c>
      <c r="Z27" s="171">
        <f>_xll.qlInterestRateIndexValueDate(IborIndex,Y27,Trigger)</f>
        <v>42152</v>
      </c>
      <c r="AA27" s="172">
        <v>-7.8439267178377695E-3</v>
      </c>
      <c r="AB27" s="169">
        <v>-7.6506250043983925E-3</v>
      </c>
    </row>
    <row r="28" spans="1:28" x14ac:dyDescent="0.2">
      <c r="M28" s="253" t="str">
        <v>obj_0034a#0001</v>
      </c>
      <c r="N28" s="170" t="str">
        <f>_xll.qlRateHelperQuoteName(M28)</f>
        <v>CHFFUT3MU5_Quote</v>
      </c>
      <c r="O28" s="168">
        <f>_xll.qlRateHelperEarliestDate(M28)</f>
        <v>42263</v>
      </c>
      <c r="P28" s="181">
        <f>1-_xll.qlRateHelperQuoteValue(M28,_xll.ohTrigger(RecalcTrigger,Trigger))/100</f>
        <v>-8.4500000000000686E-3</v>
      </c>
      <c r="Q28" s="172" t="e">
        <f>NA()</f>
        <v>#N/A</v>
      </c>
      <c r="R28" s="172"/>
      <c r="S28" s="168">
        <f>_xll.qlInterestRateIndexFixingDate(IborIndex,O28)</f>
        <v>42261</v>
      </c>
      <c r="T28" s="181">
        <f>_xll.qlIndexFixing(IborIndex,S28,TRUE,RecalcTrigger)</f>
        <v>-8.4499999984239162E-3</v>
      </c>
      <c r="U28" s="194">
        <f>T28+_xll.qlFuturesRateHelperConvexityAdjustment(M28)-P28</f>
        <v>1.5761524030377672E-12</v>
      </c>
      <c r="X28" s="170" t="str">
        <f t="shared" si="7"/>
        <v>1D</v>
      </c>
      <c r="Y28" s="168">
        <f>_xll.qlCalendarAdvance(LiborCalendar,Y27,X28,"f",FALSE)</f>
        <v>42151</v>
      </c>
      <c r="Z28" s="171">
        <f>_xll.qlInterestRateIndexValueDate(IborIndex,Y28,Trigger)</f>
        <v>42153</v>
      </c>
      <c r="AA28" s="172">
        <v>-7.8462176582382685E-3</v>
      </c>
      <c r="AB28" s="169">
        <v>-7.455770175153198E-3</v>
      </c>
    </row>
    <row r="29" spans="1:28" x14ac:dyDescent="0.2">
      <c r="M29" s="253" t="str">
        <v>obj_00361#0001</v>
      </c>
      <c r="N29" s="170" t="str">
        <f>_xll.qlRateHelperQuoteName(M29)</f>
        <v>CHFFUT3MZ5_Quote</v>
      </c>
      <c r="O29" s="168">
        <f>_xll.qlRateHelperEarliestDate(M29)</f>
        <v>42354</v>
      </c>
      <c r="P29" s="181">
        <f>1-_xll.qlRateHelperQuoteValue(M29,_xll.ohTrigger(RecalcTrigger,Trigger))/100</f>
        <v>-8.1499999999998796E-3</v>
      </c>
      <c r="Q29" s="172" t="e">
        <f>NA()</f>
        <v>#N/A</v>
      </c>
      <c r="R29" s="172"/>
      <c r="S29" s="168">
        <f>_xll.qlInterestRateIndexFixingDate(IborIndex,O29)</f>
        <v>42352</v>
      </c>
      <c r="T29" s="181">
        <f>_xll.qlIndexFixing(IborIndex,S29,TRUE,RecalcTrigger)</f>
        <v>-8.1499999980055807E-3</v>
      </c>
      <c r="U29" s="194">
        <f>T29+_xll.qlFuturesRateHelperConvexityAdjustment(M29)-P29</f>
        <v>1.9942988233045966E-12</v>
      </c>
      <c r="X29" s="170" t="str">
        <f t="shared" si="7"/>
        <v>1D</v>
      </c>
      <c r="Y29" s="168">
        <f>_xll.qlCalendarAdvance(LiborCalendar,Y28,X29,"f",FALSE)</f>
        <v>42152</v>
      </c>
      <c r="Z29" s="171">
        <f>_xll.qlInterestRateIndexValueDate(IborIndex,Y29,Trigger)</f>
        <v>42156</v>
      </c>
      <c r="AA29" s="172">
        <v>-7.8905268020148713E-3</v>
      </c>
      <c r="AB29" s="169">
        <v>-7.2955760689863425E-3</v>
      </c>
    </row>
    <row r="30" spans="1:28" x14ac:dyDescent="0.2">
      <c r="M30" s="253" t="str">
        <v>obj_00341#0001</v>
      </c>
      <c r="N30" s="170" t="str">
        <f>_xll.qlRateHelperQuoteName(M30)</f>
        <v>CHFFUT3MH6_Quote</v>
      </c>
      <c r="O30" s="168">
        <f>_xll.qlRateHelperEarliestDate(M30)</f>
        <v>42445</v>
      </c>
      <c r="P30" s="181">
        <f>1-_xll.qlRateHelperQuoteValue(M30,_xll.ohTrigger(RecalcTrigger,Trigger))/100</f>
        <v>-7.6499999999999346E-3</v>
      </c>
      <c r="Q30" s="172" t="e">
        <f>NA()</f>
        <v>#N/A</v>
      </c>
      <c r="R30" s="172"/>
      <c r="S30" s="168">
        <f>_xll.qlInterestRateIndexFixingDate(IborIndex,O30)</f>
        <v>42443</v>
      </c>
      <c r="T30" s="181">
        <f>_xll.qlIndexFixing(IborIndex,S30,TRUE,RecalcTrigger)</f>
        <v>-7.6499999974417691E-3</v>
      </c>
      <c r="U30" s="194">
        <f>T30+_xll.qlFuturesRateHelperConvexityAdjustment(M30)-P30</f>
        <v>2.5581654850004298E-12</v>
      </c>
      <c r="X30" s="170" t="str">
        <f t="shared" si="7"/>
        <v>1D</v>
      </c>
      <c r="Y30" s="168">
        <f>_xll.qlCalendarAdvance(LiborCalendar,Y29,X30,"f",FALSE)</f>
        <v>42153</v>
      </c>
      <c r="Z30" s="171">
        <f>_xll.qlInterestRateIndexValueDate(IborIndex,Y30,Trigger)</f>
        <v>42157</v>
      </c>
      <c r="AA30" s="172">
        <v>-7.9049002233554048E-3</v>
      </c>
      <c r="AB30" s="169">
        <v>-7.2325777792014989E-3</v>
      </c>
    </row>
    <row r="31" spans="1:28" x14ac:dyDescent="0.2">
      <c r="M31" s="253" t="str">
        <v>obj_00349#0001</v>
      </c>
      <c r="N31" s="170" t="str">
        <f>_xll.qlRateHelperQuoteName(M31)</f>
        <v>CHFFUT3MM6_Quote</v>
      </c>
      <c r="O31" s="168">
        <f>_xll.qlRateHelperEarliestDate(M31)</f>
        <v>42536</v>
      </c>
      <c r="P31" s="181">
        <f>1-_xll.qlRateHelperQuoteValue(M31,_xll.ohTrigger(RecalcTrigger,Trigger))/100</f>
        <v>-7.0000000000001172E-3</v>
      </c>
      <c r="Q31" s="172" t="e">
        <f>NA()</f>
        <v>#N/A</v>
      </c>
      <c r="R31" s="172"/>
      <c r="S31" s="168">
        <f>_xll.qlInterestRateIndexFixingDate(IborIndex,O31)</f>
        <v>42534</v>
      </c>
      <c r="T31" s="181">
        <f>_xll.qlIndexFixing(IborIndex,S31,TRUE,RecalcTrigger)</f>
        <v>-7.0000000007670211E-3</v>
      </c>
      <c r="U31" s="194">
        <f>T31+_xll.qlFuturesRateHelperConvexityAdjustment(M31)-P31</f>
        <v>-7.6690390149458665E-13</v>
      </c>
      <c r="X31" s="170" t="str">
        <f t="shared" si="7"/>
        <v>1D</v>
      </c>
      <c r="Y31" s="168">
        <f>_xll.qlCalendarAdvance(LiborCalendar,Y30,X31,"f",FALSE)</f>
        <v>42156</v>
      </c>
      <c r="Z31" s="171">
        <f>_xll.qlInterestRateIndexValueDate(IborIndex,Y31,Trigger)</f>
        <v>42158</v>
      </c>
      <c r="AA31" s="172">
        <v>-7.9201094442850409E-3</v>
      </c>
      <c r="AB31" s="169">
        <v>-7.1798850791182645E-3</v>
      </c>
    </row>
    <row r="32" spans="1:28" x14ac:dyDescent="0.2">
      <c r="M32" s="253" t="str">
        <v>obj_0035d#0001</v>
      </c>
      <c r="N32" s="170" t="str">
        <f>_xll.qlRateHelperQuoteName(M32)</f>
        <v>CHFFUT3MU6_Quote</v>
      </c>
      <c r="O32" s="168">
        <f>_xll.qlRateHelperEarliestDate(M32)</f>
        <v>42634</v>
      </c>
      <c r="P32" s="181">
        <f>1-_xll.qlRateHelperQuoteValue(M32,_xll.ohTrigger(RecalcTrigger,Trigger))/100</f>
        <v>-6.3499999999998558E-3</v>
      </c>
      <c r="Q32" s="172" t="e">
        <f>NA()</f>
        <v>#N/A</v>
      </c>
      <c r="R32" s="172"/>
      <c r="S32" s="168">
        <f>_xll.qlInterestRateIndexFixingDate(IborIndex,O32)</f>
        <v>42632</v>
      </c>
      <c r="T32" s="181">
        <f>_xll.qlIndexFixing(IborIndex,S32,TRUE,RecalcTrigger)</f>
        <v>-6.3500000015096567E-3</v>
      </c>
      <c r="U32" s="194">
        <f>T32+_xll.qlFuturesRateHelperConvexityAdjustment(M32)-P32</f>
        <v>-1.5098009648051303E-12</v>
      </c>
      <c r="X32" s="170" t="str">
        <f t="shared" si="7"/>
        <v>1D</v>
      </c>
      <c r="Y32" s="168">
        <f>_xll.qlCalendarAdvance(LiborCalendar,Y31,X32,"f",FALSE)</f>
        <v>42157</v>
      </c>
      <c r="Z32" s="171">
        <f>_xll.qlInterestRateIndexValueDate(IborIndex,Y32,Trigger)</f>
        <v>42159</v>
      </c>
      <c r="AA32" s="172">
        <v>-7.9360276866323413E-3</v>
      </c>
      <c r="AB32" s="169">
        <v>-7.1374979733329624E-3</v>
      </c>
    </row>
    <row r="33" spans="10:28" x14ac:dyDescent="0.2">
      <c r="M33" s="253" t="str">
        <v>obj_00364#0001</v>
      </c>
      <c r="N33" s="170" t="str">
        <f>_xll.qlRateHelperQuoteName(M33)</f>
        <v>CHFFUT3MZ6_Quote</v>
      </c>
      <c r="O33" s="168">
        <f>_xll.qlRateHelperEarliestDate(M33)</f>
        <v>42725</v>
      </c>
      <c r="P33" s="181">
        <f>1-_xll.qlRateHelperQuoteValue(M33,_xll.ohTrigger(RecalcTrigger,Trigger))/100</f>
        <v>-5.7000000000000384E-3</v>
      </c>
      <c r="Q33" s="172" t="e">
        <f>NA()</f>
        <v>#N/A</v>
      </c>
      <c r="R33" s="172"/>
      <c r="S33" s="168">
        <f>_xll.qlInterestRateIndexFixingDate(IborIndex,O33)</f>
        <v>42723</v>
      </c>
      <c r="T33" s="181">
        <f>_xll.qlIndexFixing(IborIndex,S33,TRUE,RecalcTrigger)</f>
        <v>-5.700000002123673E-3</v>
      </c>
      <c r="U33" s="194">
        <f>T33+_xll.qlFuturesRateHelperConvexityAdjustment(M33)-P33</f>
        <v>-2.1236346015029994E-12</v>
      </c>
      <c r="X33" s="170" t="str">
        <f t="shared" si="7"/>
        <v>1D</v>
      </c>
      <c r="Y33" s="168">
        <f>_xll.qlCalendarAdvance(LiborCalendar,Y32,X33,"f",FALSE)</f>
        <v>42158</v>
      </c>
      <c r="Z33" s="171">
        <f>_xll.qlInterestRateIndexValueDate(IborIndex,Y33,Trigger)</f>
        <v>42160</v>
      </c>
      <c r="AA33" s="172">
        <v>-7.9674753730097272E-3</v>
      </c>
      <c r="AB33" s="169">
        <v>-7.0869362418646276E-3</v>
      </c>
    </row>
    <row r="34" spans="10:28" x14ac:dyDescent="0.2">
      <c r="M34" s="253" t="str">
        <v>obj_00348#0001</v>
      </c>
      <c r="N34" s="170" t="str">
        <f>_xll.qlRateHelperQuoteName(M34)</f>
        <v>CHFFUT3MH7_Quote</v>
      </c>
      <c r="O34" s="168">
        <f>_xll.qlRateHelperEarliestDate(M34)</f>
        <v>42809</v>
      </c>
      <c r="P34" s="181">
        <f>1-_xll.qlRateHelperQuoteValue(M34,_xll.ohTrigger(RecalcTrigger,Trigger))/100</f>
        <v>-4.9999999999998934E-3</v>
      </c>
      <c r="Q34" s="172" t="e">
        <f>NA()</f>
        <v>#N/A</v>
      </c>
      <c r="R34" s="172"/>
      <c r="S34" s="168">
        <f>_xll.qlInterestRateIndexFixingDate(IborIndex,O34)</f>
        <v>42807</v>
      </c>
      <c r="T34" s="181">
        <f>_xll.qlIndexFixing(IborIndex,S34,TRUE,RecalcTrigger)</f>
        <v>-5.0000000030342683E-3</v>
      </c>
      <c r="U34" s="194">
        <f>T34+_xll.qlFuturesRateHelperConvexityAdjustment(M34)-P34</f>
        <v>-3.034374834731679E-12</v>
      </c>
      <c r="X34" s="170" t="str">
        <f t="shared" si="7"/>
        <v>1D</v>
      </c>
      <c r="Y34" s="168">
        <f>_xll.qlCalendarAdvance(LiborCalendar,Y33,X34,"f",FALSE)</f>
        <v>42159</v>
      </c>
      <c r="Z34" s="171">
        <f>_xll.qlInterestRateIndexValueDate(IborIndex,Y34,Trigger)</f>
        <v>42163</v>
      </c>
      <c r="AA34" s="172">
        <v>-8.0042553679865215E-3</v>
      </c>
      <c r="AB34" s="169">
        <v>-7.0710055526035376E-3</v>
      </c>
    </row>
    <row r="35" spans="10:28" x14ac:dyDescent="0.2">
      <c r="M35" s="253" t="str">
        <v>obj_00360#0001</v>
      </c>
      <c r="N35" s="170" t="str">
        <f>_xll.qlRateHelperQuoteName(M35)</f>
        <v>CHFFUT3MM7_Quote</v>
      </c>
      <c r="O35" s="168">
        <f>_xll.qlRateHelperEarliestDate(M35)</f>
        <v>42907</v>
      </c>
      <c r="P35" s="181">
        <f>1-_xll.qlRateHelperQuoteValue(M35,_xll.ohTrigger(RecalcTrigger,Trigger))/100</f>
        <v>-4.249999999999865E-3</v>
      </c>
      <c r="Q35" s="172" t="e">
        <f>NA()</f>
        <v>#N/A</v>
      </c>
      <c r="R35" s="172"/>
      <c r="S35" s="168">
        <f>_xll.qlInterestRateIndexFixingDate(IborIndex,O35)</f>
        <v>42905</v>
      </c>
      <c r="T35" s="181">
        <f>_xll.qlIndexFixing(IborIndex,S35,TRUE,RecalcTrigger)</f>
        <v>-4.5381086662230428E-3</v>
      </c>
      <c r="U35" s="194">
        <f>T35+_xll.qlFuturesRateHelperConvexityAdjustment(M35)-P35</f>
        <v>-2.8810866622317778E-4</v>
      </c>
      <c r="X35" s="170" t="str">
        <f t="shared" si="7"/>
        <v>1D</v>
      </c>
      <c r="Y35" s="168">
        <f>_xll.qlCalendarAdvance(LiborCalendar,Y34,X35,"f",FALSE)</f>
        <v>42160</v>
      </c>
      <c r="Z35" s="171">
        <f>_xll.qlInterestRateIndexValueDate(IborIndex,Y35,Trigger)</f>
        <v>42164</v>
      </c>
      <c r="AA35" s="172">
        <v>-8.0218171084127567E-3</v>
      </c>
      <c r="AB35" s="169">
        <v>-7.0801464551584203E-3</v>
      </c>
    </row>
    <row r="36" spans="10:28" x14ac:dyDescent="0.2">
      <c r="M36" s="253" t="str">
        <v>obj_0035c#0001</v>
      </c>
      <c r="N36" s="170" t="str">
        <f>_xll.qlRateHelperQuoteName(M36)</f>
        <v>CHFFUT3MU7_Quote</v>
      </c>
      <c r="O36" s="168">
        <f>_xll.qlRateHelperEarliestDate(M36)</f>
        <v>42998</v>
      </c>
      <c r="P36" s="181">
        <f>1-_xll.qlRateHelperQuoteValue(M36,_xll.ohTrigger(RecalcTrigger,Trigger))/100</f>
        <v>-3.4999999999998366E-3</v>
      </c>
      <c r="Q36" s="172" t="e">
        <f>NA()</f>
        <v>#N/A</v>
      </c>
      <c r="R36" s="172"/>
      <c r="S36" s="168">
        <f>_xll.qlInterestRateIndexFixingDate(IborIndex,O36)</f>
        <v>42996</v>
      </c>
      <c r="T36" s="181">
        <f>_xll.qlIndexFixing(IborIndex,S36,TRUE,RecalcTrigger)</f>
        <v>-4.0471280330407651E-3</v>
      </c>
      <c r="U36" s="194">
        <f>T36+_xll.qlFuturesRateHelperConvexityAdjustment(M36)-P36</f>
        <v>-5.4712803304092852E-4</v>
      </c>
      <c r="X36" s="170" t="str">
        <f t="shared" si="7"/>
        <v>1D</v>
      </c>
      <c r="Y36" s="168">
        <f>_xll.qlCalendarAdvance(LiborCalendar,Y35,X36,"f",FALSE)</f>
        <v>42163</v>
      </c>
      <c r="Z36" s="171">
        <f>_xll.qlInterestRateIndexValueDate(IborIndex,Y36,Trigger)</f>
        <v>42165</v>
      </c>
      <c r="AA36" s="172">
        <v>-8.0393272413732987E-3</v>
      </c>
      <c r="AB36" s="169">
        <v>-7.0995929604844576E-3</v>
      </c>
    </row>
    <row r="37" spans="10:28" x14ac:dyDescent="0.2">
      <c r="M37" s="253" t="str">
        <v>obj_00344#0001</v>
      </c>
      <c r="N37" s="170" t="str">
        <f>_xll.qlRateHelperQuoteName(M37)</f>
        <v>CHFFUT3MZ7_Quote</v>
      </c>
      <c r="O37" s="168">
        <f>_xll.qlRateHelperEarliestDate(M37)</f>
        <v>43089</v>
      </c>
      <c r="P37" s="181">
        <f>1-_xll.qlRateHelperQuoteValue(M37,_xll.ohTrigger(RecalcTrigger,Trigger))/100</f>
        <v>-2.6500000000000412E-3</v>
      </c>
      <c r="Q37" s="172" t="e">
        <f>NA()</f>
        <v>#N/A</v>
      </c>
      <c r="R37" s="172"/>
      <c r="S37" s="168">
        <f>_xll.qlInterestRateIndexFixingDate(IborIndex,O37)</f>
        <v>43087</v>
      </c>
      <c r="T37" s="181">
        <f>_xll.qlIndexFixing(IborIndex,S37,TRUE,RecalcTrigger)</f>
        <v>-3.3692471739668051E-3</v>
      </c>
      <c r="U37" s="194">
        <f>T37+_xll.qlFuturesRateHelperConvexityAdjustment(M37)-P37</f>
        <v>-7.1924717396676385E-4</v>
      </c>
      <c r="X37" s="170" t="str">
        <f t="shared" si="7"/>
        <v>1D</v>
      </c>
      <c r="Y37" s="168">
        <f>_xll.qlCalendarAdvance(LiborCalendar,Y36,X37,"f",FALSE)</f>
        <v>42164</v>
      </c>
      <c r="Z37" s="171">
        <f>_xll.qlInterestRateIndexValueDate(IborIndex,Y37,Trigger)</f>
        <v>42166</v>
      </c>
      <c r="AA37" s="172">
        <v>-8.0566590030726002E-3</v>
      </c>
      <c r="AB37" s="169">
        <v>-7.1293450670628644E-3</v>
      </c>
    </row>
    <row r="38" spans="10:28" x14ac:dyDescent="0.2">
      <c r="M38" s="253" t="str">
        <v>obj_00353#0001</v>
      </c>
      <c r="N38" s="170" t="str">
        <f>_xll.qlRateHelperQuoteName(M38)</f>
        <v>CHFFUT3MH8_Quote</v>
      </c>
      <c r="O38" s="168">
        <f>_xll.qlRateHelperEarliestDate(M38)</f>
        <v>43180</v>
      </c>
      <c r="P38" s="181">
        <f>1-_xll.qlRateHelperQuoteValue(M38,_xll.ohTrigger(RecalcTrigger,Trigger))/100</f>
        <v>-1.8000000000000238E-3</v>
      </c>
      <c r="Q38" s="172" t="e">
        <f>NA()</f>
        <v>#N/A</v>
      </c>
      <c r="R38" s="172"/>
      <c r="S38" s="168">
        <f>_xll.qlInterestRateIndexFixingDate(IborIndex,O38)</f>
        <v>43178</v>
      </c>
      <c r="T38" s="181">
        <f>_xll.qlIndexFixing(IborIndex,S38,TRUE,RecalcTrigger)</f>
        <v>-2.4905690662341998E-3</v>
      </c>
      <c r="U38" s="194">
        <f>T38+_xll.qlFuturesRateHelperConvexityAdjustment(M38)-P38</f>
        <v>-6.9056906623417595E-4</v>
      </c>
      <c r="X38" s="170" t="str">
        <f t="shared" si="7"/>
        <v>1D</v>
      </c>
      <c r="Y38" s="168">
        <f>_xll.qlCalendarAdvance(LiborCalendar,Y37,X38,"f",FALSE)</f>
        <v>42165</v>
      </c>
      <c r="Z38" s="171">
        <f>_xll.qlInterestRateIndexValueDate(IborIndex,Y38,Trigger)</f>
        <v>42167</v>
      </c>
      <c r="AA38" s="172">
        <v>-8.086599260355579E-3</v>
      </c>
      <c r="AB38" s="169">
        <v>-7.2230563439212858E-3</v>
      </c>
    </row>
    <row r="39" spans="10:28" x14ac:dyDescent="0.2">
      <c r="M39" s="253" t="str">
        <v>obj_0034d#0001</v>
      </c>
      <c r="N39" s="170" t="str">
        <f>_xll.qlRateHelperQuoteName(M39)</f>
        <v>CHFFUT3MM8_Quote</v>
      </c>
      <c r="O39" s="168">
        <f>_xll.qlRateHelperEarliestDate(M39)</f>
        <v>43271</v>
      </c>
      <c r="P39" s="181">
        <f>1-_xll.qlRateHelperQuoteValue(M39,_xll.ohTrigger(RecalcTrigger,Trigger))/100</f>
        <v>-3.9999999999995595E-4</v>
      </c>
      <c r="Q39" s="172" t="e">
        <f>NA()</f>
        <v>#N/A</v>
      </c>
      <c r="R39" s="172"/>
      <c r="S39" s="168">
        <f>_xll.qlInterestRateIndexFixingDate(IborIndex,O39)</f>
        <v>43269</v>
      </c>
      <c r="T39" s="181">
        <f>_xll.qlIndexFixing(IborIndex,S39,TRUE,RecalcTrigger)</f>
        <v>-1.5338733211139636E-3</v>
      </c>
      <c r="U39" s="194">
        <f>T39+_xll.qlFuturesRateHelperConvexityAdjustment(M39)-P39</f>
        <v>-1.1338733211140076E-3</v>
      </c>
      <c r="X39" s="170" t="str">
        <f t="shared" si="7"/>
        <v>1D</v>
      </c>
      <c r="Y39" s="168">
        <f>_xll.qlCalendarAdvance(LiborCalendar,Y38,X39,"f",FALSE)</f>
        <v>42166</v>
      </c>
      <c r="Z39" s="171">
        <f>_xll.qlInterestRateIndexValueDate(IborIndex,Y39,Trigger)</f>
        <v>42170</v>
      </c>
      <c r="AA39" s="172">
        <v>-8.1216671375880876E-3</v>
      </c>
      <c r="AB39" s="169">
        <v>-7.3491654510782212E-3</v>
      </c>
    </row>
    <row r="40" spans="10:28" x14ac:dyDescent="0.2">
      <c r="M40" s="253" t="str">
        <v>obj_00346#0001</v>
      </c>
      <c r="N40" s="170" t="str">
        <f>_xll.qlRateHelperQuoteName(M40)</f>
        <v>CHFFUT3MU8_Quote</v>
      </c>
      <c r="O40" s="168">
        <f>_xll.qlRateHelperEarliestDate(M40)</f>
        <v>43362</v>
      </c>
      <c r="P40" s="181">
        <f>1-_xll.qlRateHelperQuoteValue(M40,_xll.ohTrigger(RecalcTrigger,Trigger))/100</f>
        <v>-4.9999999999994493E-4</v>
      </c>
      <c r="Q40" s="172" t="e">
        <f>NA()</f>
        <v>#N/A</v>
      </c>
      <c r="R40" s="172"/>
      <c r="S40" s="168">
        <f>_xll.qlInterestRateIndexFixingDate(IborIndex,O40)</f>
        <v>43360</v>
      </c>
      <c r="T40" s="181">
        <f>_xll.qlIndexFixing(IborIndex,S40,TRUE,RecalcTrigger)</f>
        <v>-6.2386457831083532E-4</v>
      </c>
      <c r="U40" s="194">
        <f>T40+_xll.qlFuturesRateHelperConvexityAdjustment(M40)-P40</f>
        <v>-1.2386457831089039E-4</v>
      </c>
      <c r="X40" s="170" t="str">
        <f t="shared" si="7"/>
        <v>1D</v>
      </c>
      <c r="Y40" s="168">
        <f>_xll.qlCalendarAdvance(LiborCalendar,Y39,X40,"f",FALSE)</f>
        <v>42167</v>
      </c>
      <c r="Z40" s="171">
        <f>_xll.qlInterestRateIndexValueDate(IborIndex,Y40,Trigger)</f>
        <v>42171</v>
      </c>
      <c r="AA40" s="172">
        <v>-8.1362300015888744E-3</v>
      </c>
      <c r="AB40" s="169">
        <v>-7.4169815721969456E-3</v>
      </c>
    </row>
    <row r="41" spans="10:28" x14ac:dyDescent="0.2">
      <c r="M41" s="253" t="str">
        <v>obj_0034c#0001</v>
      </c>
      <c r="N41" s="170" t="str">
        <f>_xll.qlRateHelperQuoteName(M41)</f>
        <v>CHFFUT3MZ8_Quote</v>
      </c>
      <c r="O41" s="168">
        <f>_xll.qlRateHelperEarliestDate(M41)</f>
        <v>43453</v>
      </c>
      <c r="P41" s="181">
        <f>1-_xll.qlRateHelperQuoteValue(M41,_xll.ohTrigger(RecalcTrigger,Trigger))/100</f>
        <v>-9.0000000000012292E-4</v>
      </c>
      <c r="Q41" s="172" t="e">
        <f>NA()</f>
        <v>#N/A</v>
      </c>
      <c r="R41" s="172"/>
      <c r="S41" s="168">
        <f>_xll.qlInterestRateIndexFixingDate(IborIndex,O41)</f>
        <v>43451</v>
      </c>
      <c r="T41" s="181">
        <f>_xll.qlIndexFixing(IborIndex,S41,TRUE,RecalcTrigger)</f>
        <v>2.3609373465838246E-4</v>
      </c>
      <c r="U41" s="194">
        <f>T41+_xll.qlFuturesRateHelperConvexityAdjustment(M41)-P41</f>
        <v>1.1360937346585054E-3</v>
      </c>
      <c r="V41" s="180"/>
      <c r="X41" s="170" t="str">
        <f t="shared" si="7"/>
        <v>1D</v>
      </c>
      <c r="Y41" s="168">
        <f>_xll.qlCalendarAdvance(LiborCalendar,Y40,X41,"f",FALSE)</f>
        <v>42170</v>
      </c>
      <c r="Z41" s="171">
        <f>_xll.qlInterestRateIndexValueDate(IborIndex,Y41,Trigger)</f>
        <v>42172</v>
      </c>
      <c r="AA41" s="172">
        <v>-8.1499999994395361E-3</v>
      </c>
      <c r="AB41" s="169">
        <v>-7.4816393388976721E-3</v>
      </c>
    </row>
    <row r="42" spans="10:28" x14ac:dyDescent="0.2">
      <c r="M42" s="253" t="str">
        <v>obj_00355#0001</v>
      </c>
      <c r="N42" s="170" t="str">
        <f>_xll.qlRateHelperQuoteName(M42)</f>
        <v>CHFFUT3MH9_Quote</v>
      </c>
      <c r="O42" s="168">
        <f>_xll.qlRateHelperEarliestDate(M42)</f>
        <v>43544</v>
      </c>
      <c r="P42" s="181">
        <f>1-_xll.qlRateHelperQuoteValue(M42,_xll.ohTrigger(RecalcTrigger,Trigger))/100</f>
        <v>-1.2999999999998568E-3</v>
      </c>
      <c r="Q42" s="172" t="e">
        <f>NA()</f>
        <v>#N/A</v>
      </c>
      <c r="R42" s="172"/>
      <c r="S42" s="168">
        <f>_xll.qlInterestRateIndexFixingDate(IborIndex,O42)</f>
        <v>43542</v>
      </c>
      <c r="T42" s="181">
        <f>_xll.qlIndexFixing(IborIndex,S42,TRUE,RecalcTrigger)</f>
        <v>1.0592561316124106E-3</v>
      </c>
      <c r="U42" s="194">
        <f>T42+_xll.qlFuturesRateHelperConvexityAdjustment(M42)-P42</f>
        <v>2.3592561316122676E-3</v>
      </c>
      <c r="V42" s="180"/>
      <c r="X42" s="170" t="str">
        <f t="shared" si="7"/>
        <v>1D</v>
      </c>
      <c r="Y42" s="168">
        <f>_xll.qlCalendarAdvance(LiborCalendar,Y41,X42,"f",FALSE)</f>
        <v>42171</v>
      </c>
      <c r="Z42" s="171">
        <f>_xll.qlInterestRateIndexValueDate(IborIndex,Y42,Trigger)</f>
        <v>42173</v>
      </c>
      <c r="AA42" s="172">
        <v>-8.1629990162650889E-3</v>
      </c>
      <c r="AB42" s="169">
        <v>-7.5431387530588978E-3</v>
      </c>
    </row>
    <row r="43" spans="10:28" x14ac:dyDescent="0.2">
      <c r="M43" s="253" t="str">
        <v>obj_0035b#0001</v>
      </c>
      <c r="N43" s="170" t="str">
        <f>_xll.qlRateHelperQuoteName(M43)</f>
        <v>CHFFUT3MM9_Quote</v>
      </c>
      <c r="O43" s="168">
        <f>_xll.qlRateHelperEarliestDate(M43)</f>
        <v>43635</v>
      </c>
      <c r="P43" s="181">
        <f>1-_xll.qlRateHelperQuoteValue(M43,_xll.ohTrigger(RecalcTrigger,Trigger))/100</f>
        <v>-1.7000000000000348E-3</v>
      </c>
      <c r="Q43" s="172" t="e">
        <f>NA()</f>
        <v>#N/A</v>
      </c>
      <c r="R43" s="172"/>
      <c r="S43" s="168">
        <f>_xll.qlInterestRateIndexFixingDate(IborIndex,O43)</f>
        <v>43633</v>
      </c>
      <c r="T43" s="181">
        <f>_xll.qlIndexFixing(IborIndex,S43,TRUE,RecalcTrigger)</f>
        <v>1.8401309105899105E-3</v>
      </c>
      <c r="U43" s="194">
        <f>T43+_xll.qlFuturesRateHelperConvexityAdjustment(M43)-P43</f>
        <v>3.5401309105899453E-3</v>
      </c>
      <c r="V43" s="180"/>
      <c r="X43" s="170" t="str">
        <f t="shared" si="7"/>
        <v>1D</v>
      </c>
      <c r="Y43" s="168">
        <f>_xll.qlCalendarAdvance(LiborCalendar,Y42,X43,"f",FALSE)</f>
        <v>42172</v>
      </c>
      <c r="Z43" s="171">
        <f>_xll.qlInterestRateIndexValueDate(IborIndex,Y43,Trigger)</f>
        <v>42174</v>
      </c>
      <c r="AA43" s="172">
        <v>-8.1852627838497494E-3</v>
      </c>
      <c r="AB43" s="169">
        <v>-7.6554469495215827E-3</v>
      </c>
    </row>
    <row r="44" spans="10:28" x14ac:dyDescent="0.2">
      <c r="M44" s="253" t="e">
        <v>#N/A</v>
      </c>
      <c r="N44" s="170" t="e">
        <f>_xll.qlRateHelperQuoteName(M44)</f>
        <v>#VALUE!</v>
      </c>
      <c r="O44" s="168" t="e">
        <f>_xll.qlRateHelperEarliestDate(M44)</f>
        <v>#VALUE!</v>
      </c>
      <c r="P44" s="181" t="e">
        <f>1-_xll.qlRateHelperQuoteValue(M44,_xll.ohTrigger(RecalcTrigger,Trigger))/100</f>
        <v>#VALUE!</v>
      </c>
      <c r="Q44" s="172" t="e">
        <f>NA()</f>
        <v>#N/A</v>
      </c>
      <c r="R44" s="172"/>
      <c r="S44" s="168" t="e">
        <f>_xll.qlInterestRateIndexFixingDate(IborIndex,O44)</f>
        <v>#NUM!</v>
      </c>
      <c r="T44" s="181" t="e">
        <f>_xll.qlIndexFixing(IborIndex,S44,TRUE,RecalcTrigger)</f>
        <v>#NUM!</v>
      </c>
      <c r="U44" s="194" t="e">
        <f>T44+_xll.qlFuturesRateHelperConvexityAdjustment(M44)-P44</f>
        <v>#NUM!</v>
      </c>
      <c r="X44" s="170" t="str">
        <f t="shared" si="7"/>
        <v>1D</v>
      </c>
      <c r="Y44" s="168">
        <f>_xll.qlCalendarAdvance(LiborCalendar,Y43,X44,"f",FALSE)</f>
        <v>42173</v>
      </c>
      <c r="Z44" s="171">
        <f>_xll.qlInterestRateIndexValueDate(IborIndex,Y44,Trigger)</f>
        <v>42177</v>
      </c>
      <c r="AA44" s="172">
        <v>-8.2079563113000801E-3</v>
      </c>
      <c r="AB44" s="169">
        <v>-7.7575529134454868E-3</v>
      </c>
    </row>
    <row r="45" spans="10:28" x14ac:dyDescent="0.2">
      <c r="M45" s="253" t="e">
        <v>#N/A</v>
      </c>
      <c r="N45" s="170" t="e">
        <f>_xll.qlRateHelperQuoteName(M45)</f>
        <v>#VALUE!</v>
      </c>
      <c r="O45" s="168" t="e">
        <f>_xll.qlRateHelperEarliestDate(M45)</f>
        <v>#VALUE!</v>
      </c>
      <c r="P45" s="181" t="e">
        <f>1-_xll.qlRateHelperQuoteValue(M45,_xll.ohTrigger(RecalcTrigger,Trigger))/100</f>
        <v>#VALUE!</v>
      </c>
      <c r="Q45" s="172" t="e">
        <f>NA()</f>
        <v>#N/A</v>
      </c>
      <c r="R45" s="172"/>
      <c r="S45" s="168" t="e">
        <f>_xll.qlInterestRateIndexFixingDate(IborIndex,O45)</f>
        <v>#NUM!</v>
      </c>
      <c r="T45" s="181" t="e">
        <f>_xll.qlIndexFixing(IborIndex,S45,TRUE,RecalcTrigger)</f>
        <v>#NUM!</v>
      </c>
      <c r="U45" s="194" t="e">
        <f>T45+_xll.qlFuturesRateHelperConvexityAdjustment(M45)-P45</f>
        <v>#NUM!</v>
      </c>
      <c r="X45" s="170" t="str">
        <f t="shared" si="7"/>
        <v>1D</v>
      </c>
      <c r="Y45" s="168">
        <f>_xll.qlCalendarAdvance(LiborCalendar,Y44,X45,"f",FALSE)</f>
        <v>42174</v>
      </c>
      <c r="Z45" s="171">
        <f>_xll.qlInterestRateIndexValueDate(IborIndex,Y45,Trigger)</f>
        <v>42178</v>
      </c>
      <c r="AA45" s="172">
        <v>-8.217610176907867E-3</v>
      </c>
      <c r="AB45" s="169">
        <v>-7.8032605865319127E-3</v>
      </c>
    </row>
    <row r="46" spans="10:28" x14ac:dyDescent="0.2">
      <c r="M46" s="253" t="e">
        <v>#N/A</v>
      </c>
      <c r="N46" s="170" t="e">
        <f>_xll.qlRateHelperQuoteName(M46)</f>
        <v>#VALUE!</v>
      </c>
      <c r="O46" s="168" t="e">
        <f>_xll.qlRateHelperEarliestDate(M46)</f>
        <v>#VALUE!</v>
      </c>
      <c r="P46" s="181" t="e">
        <f>1-_xll.qlRateHelperQuoteValue(M46,_xll.ohTrigger(RecalcTrigger,Trigger))/100</f>
        <v>#VALUE!</v>
      </c>
      <c r="Q46" s="172" t="e">
        <f>NA()</f>
        <v>#N/A</v>
      </c>
      <c r="R46" s="172"/>
      <c r="S46" s="168" t="e">
        <f>_xll.qlInterestRateIndexFixingDate(IborIndex,O46)</f>
        <v>#NUM!</v>
      </c>
      <c r="T46" s="181" t="e">
        <f>_xll.qlIndexFixing(IborIndex,S46,TRUE,RecalcTrigger)</f>
        <v>#NUM!</v>
      </c>
      <c r="U46" s="194" t="e">
        <f>T46+_xll.qlFuturesRateHelperConvexityAdjustment(M46)-P46</f>
        <v>#NUM!</v>
      </c>
      <c r="V46" s="180"/>
      <c r="X46" s="170" t="str">
        <f t="shared" si="7"/>
        <v>1D</v>
      </c>
      <c r="Y46" s="168">
        <f>_xll.qlCalendarAdvance(LiborCalendar,Y45,X46,"f",FALSE)</f>
        <v>42177</v>
      </c>
      <c r="Z46" s="171">
        <f>_xll.qlInterestRateIndexValueDate(IborIndex,Y46,Trigger)</f>
        <v>42179</v>
      </c>
      <c r="AA46" s="172">
        <v>-8.2266995507736078E-3</v>
      </c>
      <c r="AB46" s="169">
        <v>-7.84580991555206E-3</v>
      </c>
    </row>
    <row r="47" spans="10:28" x14ac:dyDescent="0.2">
      <c r="M47" s="253" t="e">
        <v>#N/A</v>
      </c>
      <c r="N47" s="170" t="e">
        <f>_xll.qlRateHelperQuoteName(M47)</f>
        <v>#VALUE!</v>
      </c>
      <c r="O47" s="168" t="e">
        <f>_xll.qlRateHelperEarliestDate(M47)</f>
        <v>#VALUE!</v>
      </c>
      <c r="P47" s="181" t="e">
        <f>1-_xll.qlRateHelperQuoteValue(M47,_xll.ohTrigger(RecalcTrigger,Trigger))/100</f>
        <v>#VALUE!</v>
      </c>
      <c r="Q47" s="172" t="e">
        <f>NA()</f>
        <v>#N/A</v>
      </c>
      <c r="R47" s="172"/>
      <c r="S47" s="168" t="e">
        <f>_xll.qlInterestRateIndexFixingDate(IborIndex,O47)</f>
        <v>#NUM!</v>
      </c>
      <c r="T47" s="181" t="e">
        <f>_xll.qlIndexFixing(IborIndex,S47,TRUE,RecalcTrigger)</f>
        <v>#NUM!</v>
      </c>
      <c r="U47" s="194" t="e">
        <f>T47+_xll.qlFuturesRateHelperConvexityAdjustment(M47)-P47</f>
        <v>#NUM!</v>
      </c>
      <c r="V47" s="180"/>
      <c r="X47" s="170" t="str">
        <f t="shared" si="7"/>
        <v>1D</v>
      </c>
      <c r="Y47" s="168">
        <f>_xll.qlCalendarAdvance(LiborCalendar,Y46,X47,"f",FALSE)</f>
        <v>42178</v>
      </c>
      <c r="Z47" s="171">
        <f>_xll.qlInterestRateIndexValueDate(IborIndex,Y47,Trigger)</f>
        <v>42180</v>
      </c>
      <c r="AA47" s="172">
        <v>-8.2352592775861762E-3</v>
      </c>
      <c r="AB47" s="169">
        <v>-7.8852009014251934E-3</v>
      </c>
    </row>
    <row r="48" spans="10:28" x14ac:dyDescent="0.2">
      <c r="J48" s="195" t="b">
        <v>1</v>
      </c>
      <c r="M48" s="253" t="e">
        <v>#N/A</v>
      </c>
      <c r="N48" s="170" t="e">
        <f>_xll.qlRateHelperQuoteName(M48)</f>
        <v>#VALUE!</v>
      </c>
      <c r="O48" s="168" t="e">
        <f>_xll.qlRateHelperEarliestDate(M48)</f>
        <v>#VALUE!</v>
      </c>
      <c r="P48" s="181" t="e">
        <f>1-_xll.qlRateHelperQuoteValue(M48,_xll.ohTrigger(RecalcTrigger,Trigger))/100</f>
        <v>#VALUE!</v>
      </c>
      <c r="Q48" s="172" t="e">
        <f>NA()</f>
        <v>#N/A</v>
      </c>
      <c r="R48" s="172"/>
      <c r="S48" s="168" t="e">
        <f>_xll.qlInterestRateIndexFixingDate(IborIndex,O48)</f>
        <v>#NUM!</v>
      </c>
      <c r="T48" s="181" t="e">
        <f>_xll.qlIndexFixing(IborIndex,S48,TRUE,RecalcTrigger)</f>
        <v>#NUM!</v>
      </c>
      <c r="U48" s="194" t="e">
        <f>T48+_xll.qlFuturesRateHelperConvexityAdjustment(M48)-P48</f>
        <v>#NUM!</v>
      </c>
      <c r="V48" s="180"/>
      <c r="X48" s="170" t="str">
        <f t="shared" si="7"/>
        <v>1D</v>
      </c>
      <c r="Y48" s="168">
        <f>_xll.qlCalendarAdvance(LiborCalendar,Y47,X48,"f",FALSE)</f>
        <v>42179</v>
      </c>
      <c r="Z48" s="171">
        <f>_xll.qlInterestRateIndexValueDate(IborIndex,Y48,Trigger)</f>
        <v>42181</v>
      </c>
      <c r="AA48" s="172">
        <v>-8.250939270495472E-3</v>
      </c>
      <c r="AB48" s="169">
        <v>-7.9532793547798519E-3</v>
      </c>
    </row>
    <row r="49" spans="10:28" x14ac:dyDescent="0.2">
      <c r="M49" s="253" t="e">
        <v>#N/A</v>
      </c>
      <c r="N49" s="170" t="e">
        <f>_xll.qlRateHelperQuoteName(M49)</f>
        <v>#VALUE!</v>
      </c>
      <c r="O49" s="168" t="e">
        <f>_xll.qlRateHelperEarliestDate(M49)</f>
        <v>#VALUE!</v>
      </c>
      <c r="P49" s="181" t="e">
        <f>1-_xll.qlRateHelperQuoteValue(M49,_xll.ohTrigger(RecalcTrigger,Trigger))/100</f>
        <v>#VALUE!</v>
      </c>
      <c r="Q49" s="172" t="e">
        <f>NA()</f>
        <v>#N/A</v>
      </c>
      <c r="R49" s="172"/>
      <c r="S49" s="168" t="e">
        <f>_xll.qlInterestRateIndexFixingDate(IborIndex,O49)</f>
        <v>#NUM!</v>
      </c>
      <c r="T49" s="181" t="e">
        <f>_xll.qlIndexFixing(IborIndex,S49,TRUE,RecalcTrigger)</f>
        <v>#NUM!</v>
      </c>
      <c r="U49" s="194" t="e">
        <f>T49+_xll.qlFuturesRateHelperConvexityAdjustment(M49)-P49</f>
        <v>#NUM!</v>
      </c>
      <c r="V49" s="180"/>
      <c r="X49" s="170" t="str">
        <f t="shared" si="7"/>
        <v>1D</v>
      </c>
      <c r="Y49" s="168">
        <f>_xll.qlCalendarAdvance(LiborCalendar,Y48,X49,"f",FALSE)</f>
        <v>42180</v>
      </c>
      <c r="Z49" s="171">
        <f>_xll.qlInterestRateIndexValueDate(IborIndex,Y49,Trigger)</f>
        <v>42184</v>
      </c>
      <c r="AA49" s="172">
        <v>-8.2648985904493454E-3</v>
      </c>
      <c r="AB49" s="169">
        <v>-8.011181433111858E-3</v>
      </c>
    </row>
    <row r="50" spans="10:28" x14ac:dyDescent="0.2">
      <c r="M50" s="253" t="e">
        <v>#N/A</v>
      </c>
      <c r="N50" s="170" t="e">
        <f>_xll.qlRateHelperQuoteName(M50)</f>
        <v>#VALUE!</v>
      </c>
      <c r="O50" s="168" t="e">
        <f>_xll.qlRateHelperEarliestDate(M50)</f>
        <v>#VALUE!</v>
      </c>
      <c r="P50" s="181" t="e">
        <f>1-_xll.qlRateHelperQuoteValue(M50,_xll.ohTrigger(RecalcTrigger,Trigger))/100</f>
        <v>#VALUE!</v>
      </c>
      <c r="Q50" s="172" t="e">
        <f>NA()</f>
        <v>#N/A</v>
      </c>
      <c r="R50" s="172"/>
      <c r="S50" s="168" t="e">
        <f>_xll.qlInterestRateIndexFixingDate(IborIndex,O50)</f>
        <v>#NUM!</v>
      </c>
      <c r="T50" s="181" t="e">
        <f>_xll.qlIndexFixing(IborIndex,S50,TRUE,RecalcTrigger)</f>
        <v>#NUM!</v>
      </c>
      <c r="U50" s="194" t="e">
        <f>T50+_xll.qlFuturesRateHelperConvexityAdjustment(M50)-P50</f>
        <v>#NUM!</v>
      </c>
      <c r="V50" s="180"/>
      <c r="X50" s="170" t="str">
        <f t="shared" si="7"/>
        <v>1D</v>
      </c>
      <c r="Y50" s="168">
        <f>_xll.qlCalendarAdvance(LiborCalendar,Y49,X50,"f",FALSE)</f>
        <v>42181</v>
      </c>
      <c r="Z50" s="171">
        <f>_xll.qlInterestRateIndexValueDate(IborIndex,Y50,Trigger)</f>
        <v>42185</v>
      </c>
      <c r="AA50" s="172">
        <v>-8.2713327352897416E-3</v>
      </c>
      <c r="AB50" s="169">
        <v>-8.0347807172787E-3</v>
      </c>
    </row>
    <row r="51" spans="10:28" x14ac:dyDescent="0.2">
      <c r="M51" s="253" t="e">
        <v>#N/A</v>
      </c>
      <c r="N51" s="170" t="e">
        <f>_xll.qlRateHelperQuoteName(M51)</f>
        <v>#VALUE!</v>
      </c>
      <c r="O51" s="168" t="e">
        <f>_xll.qlRateHelperEarliestDate(M51)</f>
        <v>#VALUE!</v>
      </c>
      <c r="P51" s="181" t="e">
        <f>1-_xll.qlRateHelperQuoteValue(M51,_xll.ohTrigger(RecalcTrigger,Trigger))/100</f>
        <v>#VALUE!</v>
      </c>
      <c r="Q51" s="172" t="e">
        <f>NA()</f>
        <v>#N/A</v>
      </c>
      <c r="R51" s="172"/>
      <c r="S51" s="168" t="e">
        <f>_xll.qlInterestRateIndexFixingDate(IborIndex,O51)</f>
        <v>#NUM!</v>
      </c>
      <c r="T51" s="181" t="e">
        <f>_xll.qlIndexFixing(IborIndex,S51,TRUE,RecalcTrigger)</f>
        <v>#NUM!</v>
      </c>
      <c r="U51" s="194" t="e">
        <f>T51+_xll.qlFuturesRateHelperConvexityAdjustment(M51)-P51</f>
        <v>#NUM!</v>
      </c>
      <c r="V51" s="180"/>
      <c r="X51" s="170" t="str">
        <f t="shared" si="7"/>
        <v>1D</v>
      </c>
      <c r="Y51" s="168">
        <f>_xll.qlCalendarAdvance(LiborCalendar,Y50,X51,"f",FALSE)</f>
        <v>42184</v>
      </c>
      <c r="Z51" s="171">
        <f>_xll.qlInterestRateIndexValueDate(IborIndex,Y51,Trigger)</f>
        <v>42186</v>
      </c>
      <c r="AA51" s="172">
        <v>-8.2774462915566217E-3</v>
      </c>
      <c r="AB51" s="169">
        <v>-8.0552216632945317E-3</v>
      </c>
    </row>
    <row r="52" spans="10:28" x14ac:dyDescent="0.2">
      <c r="J52" s="195" t="b">
        <v>1</v>
      </c>
      <c r="M52" s="253" t="e">
        <v>#N/A</v>
      </c>
      <c r="N52" s="170" t="e">
        <f>_xll.qlRateHelperQuoteName(M52)</f>
        <v>#VALUE!</v>
      </c>
      <c r="O52" s="168" t="e">
        <f>_xll.qlRateHelperEarliestDate(M52)</f>
        <v>#VALUE!</v>
      </c>
      <c r="P52" s="181" t="e">
        <f>1-_xll.qlRateHelperQuoteValue(M52,_xll.ohTrigger(RecalcTrigger,Trigger))/100</f>
        <v>#VALUE!</v>
      </c>
      <c r="Q52" s="172" t="e">
        <f>NA()</f>
        <v>#N/A</v>
      </c>
      <c r="R52" s="172"/>
      <c r="S52" s="168" t="e">
        <f>_xll.qlInterestRateIndexFixingDate(IborIndex,O52)</f>
        <v>#NUM!</v>
      </c>
      <c r="T52" s="181" t="e">
        <f>_xll.qlIndexFixing(IborIndex,S52,TRUE,RecalcTrigger)</f>
        <v>#NUM!</v>
      </c>
      <c r="U52" s="194" t="e">
        <f>T52+_xll.qlFuturesRateHelperConvexityAdjustment(M52)-P52</f>
        <v>#NUM!</v>
      </c>
      <c r="V52" s="180"/>
      <c r="X52" s="170" t="str">
        <f t="shared" si="7"/>
        <v>1D</v>
      </c>
      <c r="Y52" s="168">
        <f>_xll.qlCalendarAdvance(LiborCalendar,Y51,X52,"f",FALSE)</f>
        <v>42185</v>
      </c>
      <c r="Z52" s="171">
        <f>_xll.qlInterestRateIndexValueDate(IborIndex,Y52,Trigger)</f>
        <v>42187</v>
      </c>
      <c r="AA52" s="172">
        <v>-8.2832741010737641E-3</v>
      </c>
      <c r="AB52" s="169">
        <v>-8.0725042717588735E-3</v>
      </c>
    </row>
    <row r="53" spans="10:28" x14ac:dyDescent="0.2">
      <c r="M53" s="254" t="e">
        <v>#N/A</v>
      </c>
      <c r="N53" s="170" t="e">
        <f>_xll.qlRateHelperQuoteName(M53)</f>
        <v>#VALUE!</v>
      </c>
      <c r="O53" s="168" t="e">
        <f>_xll.qlRateHelperEarliestDate(M53)</f>
        <v>#VALUE!</v>
      </c>
      <c r="P53" s="181" t="e">
        <f>1-_xll.qlRateHelperQuoteValue(M53,_xll.ohTrigger(RecalcTrigger,Trigger))/100</f>
        <v>#VALUE!</v>
      </c>
      <c r="Q53" s="172" t="e">
        <f>NA()</f>
        <v>#N/A</v>
      </c>
      <c r="R53" s="172"/>
      <c r="S53" s="168" t="e">
        <f>_xll.qlInterestRateIndexFixingDate(IborIndex,O53)</f>
        <v>#NUM!</v>
      </c>
      <c r="T53" s="181" t="e">
        <f>_xll.qlIndexFixing(IborIndex,S53,TRUE,RecalcTrigger)</f>
        <v>#NUM!</v>
      </c>
      <c r="U53" s="194" t="e">
        <f>T53+_xll.qlFuturesRateHelperConvexityAdjustment(M53)-P53</f>
        <v>#NUM!</v>
      </c>
      <c r="V53" s="180"/>
      <c r="X53" s="170" t="str">
        <f t="shared" si="7"/>
        <v>1D</v>
      </c>
      <c r="Y53" s="168">
        <f>_xll.qlCalendarAdvance(LiborCalendar,Y52,X53,"f",FALSE)</f>
        <v>42186</v>
      </c>
      <c r="Z53" s="171">
        <f>_xll.qlInterestRateIndexValueDate(IborIndex,Y53,Trigger)</f>
        <v>42188</v>
      </c>
      <c r="AA53" s="172">
        <v>-8.2946141502478112E-3</v>
      </c>
      <c r="AB53" s="169">
        <v>-8.096359605747061E-3</v>
      </c>
    </row>
    <row r="54" spans="10:28" x14ac:dyDescent="0.2">
      <c r="M54" s="254" t="e">
        <v>#N/A</v>
      </c>
      <c r="N54" s="170" t="e">
        <f>_xll.qlRateHelperQuoteName(M54)</f>
        <v>#VALUE!</v>
      </c>
      <c r="O54" s="168" t="e">
        <f>_xll.qlRateHelperEarliestDate(M54)</f>
        <v>#VALUE!</v>
      </c>
      <c r="P54" s="181" t="e">
        <f>1-_xll.qlRateHelperQuoteValue(M54,_xll.ohTrigger(RecalcTrigger,Trigger))/100</f>
        <v>#VALUE!</v>
      </c>
      <c r="Q54" s="172" t="e">
        <f>NA()</f>
        <v>#N/A</v>
      </c>
      <c r="R54" s="172"/>
      <c r="S54" s="168" t="e">
        <f>_xll.qlInterestRateIndexFixingDate(IborIndex,O54)</f>
        <v>#NUM!</v>
      </c>
      <c r="T54" s="181" t="e">
        <f>_xll.qlIndexFixing(IborIndex,S54,TRUE,RecalcTrigger)</f>
        <v>#NUM!</v>
      </c>
      <c r="U54" s="194" t="e">
        <f>T54+_xll.qlFuturesRateHelperConvexityAdjustment(M54)-P54</f>
        <v>#NUM!</v>
      </c>
      <c r="V54" s="180"/>
      <c r="X54" s="170" t="str">
        <f t="shared" si="7"/>
        <v>1D</v>
      </c>
      <c r="Y54" s="168">
        <f>_xll.qlCalendarAdvance(LiborCalendar,Y53,X54,"f",FALSE)</f>
        <v>42187</v>
      </c>
      <c r="Z54" s="171">
        <f>_xll.qlInterestRateIndexValueDate(IborIndex,Y54,Trigger)</f>
        <v>42191</v>
      </c>
      <c r="AA54" s="172">
        <v>-8.3044246989577332E-3</v>
      </c>
      <c r="AB54" s="169">
        <v>-8.1100513373755234E-3</v>
      </c>
    </row>
    <row r="55" spans="10:28" x14ac:dyDescent="0.2">
      <c r="M55" s="254" t="e">
        <v>#N/A</v>
      </c>
      <c r="N55" s="170" t="e">
        <f>_xll.qlRateHelperQuoteName(M55)</f>
        <v>#VALUE!</v>
      </c>
      <c r="O55" s="168" t="e">
        <f>_xll.qlRateHelperEarliestDate(M55)</f>
        <v>#VALUE!</v>
      </c>
      <c r="P55" s="181" t="e">
        <f>1-_xll.qlRateHelperQuoteValue(M55,_xll.ohTrigger(RecalcTrigger,Trigger))/100</f>
        <v>#VALUE!</v>
      </c>
      <c r="Q55" s="172" t="e">
        <f>NA()</f>
        <v>#N/A</v>
      </c>
      <c r="R55" s="172"/>
      <c r="S55" s="168" t="e">
        <f>_xll.qlInterestRateIndexFixingDate(IborIndex,O55)</f>
        <v>#NUM!</v>
      </c>
      <c r="T55" s="181" t="e">
        <f>_xll.qlIndexFixing(IborIndex,S55,TRUE,RecalcTrigger)</f>
        <v>#NUM!</v>
      </c>
      <c r="U55" s="194" t="e">
        <f>T55+_xll.qlFuturesRateHelperConvexityAdjustment(M55)-P55</f>
        <v>#NUM!</v>
      </c>
      <c r="V55" s="180"/>
      <c r="X55" s="170" t="str">
        <f t="shared" si="7"/>
        <v>1D</v>
      </c>
      <c r="Y55" s="168">
        <f>_xll.qlCalendarAdvance(LiborCalendar,Y54,X55,"f",FALSE)</f>
        <v>42188</v>
      </c>
      <c r="Z55" s="171">
        <f>_xll.qlInterestRateIndexValueDate(IborIndex,Y55,Trigger)</f>
        <v>42192</v>
      </c>
      <c r="AA55" s="172">
        <v>-8.3093463932042335E-3</v>
      </c>
      <c r="AB55" s="169">
        <v>-8.1115422628386114E-3</v>
      </c>
    </row>
    <row r="56" spans="10:28" x14ac:dyDescent="0.2">
      <c r="M56" s="254" t="e">
        <v>#N/A</v>
      </c>
      <c r="N56" s="170" t="e">
        <f>_xll.qlRateHelperQuoteName(M56)</f>
        <v>#VALUE!</v>
      </c>
      <c r="O56" s="168" t="e">
        <f>_xll.qlRateHelperEarliestDate(M56)</f>
        <v>#VALUE!</v>
      </c>
      <c r="P56" s="181" t="e">
        <f>1-_xll.qlRateHelperQuoteValue(M56,_xll.ohTrigger(RecalcTrigger,Trigger))/100</f>
        <v>#VALUE!</v>
      </c>
      <c r="Q56" s="172" t="e">
        <f>NA()</f>
        <v>#N/A</v>
      </c>
      <c r="R56" s="172"/>
      <c r="S56" s="168" t="e">
        <f>_xll.qlInterestRateIndexFixingDate(IborIndex,O56)</f>
        <v>#NUM!</v>
      </c>
      <c r="T56" s="181" t="e">
        <f>_xll.qlIndexFixing(IborIndex,S56,TRUE,RecalcTrigger)</f>
        <v>#NUM!</v>
      </c>
      <c r="U56" s="194" t="e">
        <f>T56+_xll.qlFuturesRateHelperConvexityAdjustment(M56)-P56</f>
        <v>#NUM!</v>
      </c>
      <c r="V56" s="180"/>
      <c r="X56" s="170" t="str">
        <f t="shared" si="7"/>
        <v>1D</v>
      </c>
      <c r="Y56" s="168">
        <f>_xll.qlCalendarAdvance(LiborCalendar,Y55,X56,"f",FALSE)</f>
        <v>42191</v>
      </c>
      <c r="Z56" s="171">
        <f>_xll.qlInterestRateIndexValueDate(IborIndex,Y56,Trigger)</f>
        <v>42193</v>
      </c>
      <c r="AA56" s="172">
        <v>-8.3141913865807295E-3</v>
      </c>
      <c r="AB56" s="169">
        <v>-8.1098748523888986E-3</v>
      </c>
    </row>
    <row r="57" spans="10:28" x14ac:dyDescent="0.2">
      <c r="M57" s="254" t="e">
        <v>#N/A</v>
      </c>
      <c r="N57" s="170" t="e">
        <f>_xll.qlRateHelperQuoteName(M57)</f>
        <v>#VALUE!</v>
      </c>
      <c r="O57" s="168" t="e">
        <f>_xll.qlRateHelperEarliestDate(M57)</f>
        <v>#VALUE!</v>
      </c>
      <c r="P57" s="181" t="e">
        <f>1-_xll.qlRateHelperQuoteValue(M57,_xll.ohTrigger(RecalcTrigger,Trigger))/100</f>
        <v>#VALUE!</v>
      </c>
      <c r="Q57" s="172" t="e">
        <f>NA()</f>
        <v>#N/A</v>
      </c>
      <c r="R57" s="172"/>
      <c r="S57" s="168" t="e">
        <f>_xll.qlInterestRateIndexFixingDate(IborIndex,O57)</f>
        <v>#NUM!</v>
      </c>
      <c r="T57" s="181" t="e">
        <f>_xll.qlIndexFixing(IborIndex,S57,TRUE,RecalcTrigger)</f>
        <v>#NUM!</v>
      </c>
      <c r="U57" s="194" t="e">
        <f>T57+_xll.qlFuturesRateHelperConvexityAdjustment(M57)-P57</f>
        <v>#NUM!</v>
      </c>
      <c r="V57" s="180"/>
      <c r="X57" s="170" t="str">
        <f t="shared" si="7"/>
        <v>1D</v>
      </c>
      <c r="Y57" s="168">
        <f>_xll.qlCalendarAdvance(LiborCalendar,Y56,X57,"f",FALSE)</f>
        <v>42192</v>
      </c>
      <c r="Z57" s="171">
        <f>_xll.qlInterestRateIndexValueDate(IborIndex,Y57,Trigger)</f>
        <v>42194</v>
      </c>
      <c r="AA57" s="172">
        <v>-8.3189945193709244E-3</v>
      </c>
      <c r="AB57" s="169">
        <v>-8.1050491056666729E-3</v>
      </c>
    </row>
    <row r="58" spans="10:28" x14ac:dyDescent="0.2">
      <c r="M58" s="254" t="e">
        <v>#N/A</v>
      </c>
      <c r="N58" s="170" t="e">
        <f>_xll.qlRateHelperQuoteName(M58)</f>
        <v>#VALUE!</v>
      </c>
      <c r="O58" s="168" t="e">
        <f>_xll.qlRateHelperEarliestDate(M58)</f>
        <v>#VALUE!</v>
      </c>
      <c r="P58" s="181" t="e">
        <f>1-_xll.qlRateHelperQuoteValue(M58,_xll.ohTrigger(RecalcTrigger,Trigger))/100</f>
        <v>#VALUE!</v>
      </c>
      <c r="Q58" s="172" t="e">
        <f>NA()</f>
        <v>#N/A</v>
      </c>
      <c r="R58" s="172"/>
      <c r="S58" s="168" t="e">
        <f>_xll.qlInterestRateIndexFixingDate(IborIndex,O58)</f>
        <v>#NUM!</v>
      </c>
      <c r="T58" s="181" t="e">
        <f>_xll.qlIndexFixing(IborIndex,S58,TRUE,RecalcTrigger)</f>
        <v>#NUM!</v>
      </c>
      <c r="U58" s="194" t="e">
        <f>T58+_xll.qlFuturesRateHelperConvexityAdjustment(M58)-P58</f>
        <v>#NUM!</v>
      </c>
      <c r="V58" s="180"/>
      <c r="X58" s="170" t="str">
        <f t="shared" si="7"/>
        <v>1D</v>
      </c>
      <c r="Y58" s="168">
        <f>_xll.qlCalendarAdvance(LiborCalendar,Y57,X58,"f",FALSE)</f>
        <v>42193</v>
      </c>
      <c r="Z58" s="171">
        <f>_xll.qlInterestRateIndexValueDate(IborIndex,Y58,Trigger)</f>
        <v>42195</v>
      </c>
      <c r="AA58" s="172">
        <v>-8.3279834882401902E-3</v>
      </c>
      <c r="AB58" s="169">
        <v>-8.0846882560470235E-3</v>
      </c>
    </row>
    <row r="59" spans="10:28" x14ac:dyDescent="0.2">
      <c r="M59" s="254" t="e">
        <v>#N/A</v>
      </c>
      <c r="N59" s="170" t="e">
        <f>_xll.qlRateHelperQuoteName(M59)</f>
        <v>#VALUE!</v>
      </c>
      <c r="O59" s="168" t="e">
        <f>_xll.qlRateHelperEarliestDate(M59)</f>
        <v>#VALUE!</v>
      </c>
      <c r="P59" s="181" t="e">
        <f>1-_xll.qlRateHelperQuoteValue(M59,_xll.ohTrigger(RecalcTrigger,Trigger))/100</f>
        <v>#VALUE!</v>
      </c>
      <c r="Q59" s="172" t="e">
        <f>NA()</f>
        <v>#N/A</v>
      </c>
      <c r="R59" s="172"/>
      <c r="S59" s="168" t="e">
        <f>_xll.qlInterestRateIndexFixingDate(IborIndex,O59)</f>
        <v>#NUM!</v>
      </c>
      <c r="T59" s="181" t="e">
        <f>_xll.qlIndexFixing(IborIndex,S59,TRUE,RecalcTrigger)</f>
        <v>#NUM!</v>
      </c>
      <c r="U59" s="194" t="e">
        <f>T59+_xll.qlFuturesRateHelperConvexityAdjustment(M59)-P59</f>
        <v>#NUM!</v>
      </c>
      <c r="V59" s="180"/>
      <c r="X59" s="170" t="str">
        <f t="shared" si="7"/>
        <v>1D</v>
      </c>
      <c r="Y59" s="168">
        <f>_xll.qlCalendarAdvance(LiborCalendar,Y58,X59,"f",FALSE)</f>
        <v>42194</v>
      </c>
      <c r="Z59" s="171">
        <f>_xll.qlInterestRateIndexValueDate(IborIndex,Y59,Trigger)</f>
        <v>42198</v>
      </c>
      <c r="AA59" s="172">
        <v>-8.3384852443257884E-3</v>
      </c>
      <c r="AB59" s="169">
        <v>-8.0541627534946869E-3</v>
      </c>
    </row>
    <row r="60" spans="10:28" ht="12" thickBot="1" x14ac:dyDescent="0.25">
      <c r="M60" s="255" t="e">
        <v>#N/A</v>
      </c>
      <c r="N60" s="170" t="e">
        <f>_xll.qlRateHelperQuoteName(M60)</f>
        <v>#VALUE!</v>
      </c>
      <c r="O60" s="168" t="e">
        <f>_xll.qlRateHelperEarliestDate(M60)</f>
        <v>#VALUE!</v>
      </c>
      <c r="P60" s="181" t="e">
        <f>1-_xll.qlRateHelperQuoteValue(M60,_xll.ohTrigger(RecalcTrigger,Trigger))/100</f>
        <v>#VALUE!</v>
      </c>
      <c r="Q60" s="172" t="e">
        <f>NA()</f>
        <v>#N/A</v>
      </c>
      <c r="R60" s="172"/>
      <c r="S60" s="168" t="e">
        <f>_xll.qlInterestRateIndexFixingDate(IborIndex,O60)</f>
        <v>#NUM!</v>
      </c>
      <c r="T60" s="181" t="e">
        <f>_xll.qlIndexFixing(IborIndex,S60,TRUE,RecalcTrigger)</f>
        <v>#NUM!</v>
      </c>
      <c r="U60" s="194" t="e">
        <f>T60+_xll.qlFuturesRateHelperConvexityAdjustment(M60)-P60</f>
        <v>#NUM!</v>
      </c>
      <c r="V60" s="180"/>
      <c r="X60" s="170" t="str">
        <f t="shared" si="7"/>
        <v>1D</v>
      </c>
      <c r="Y60" s="168">
        <f>_xll.qlCalendarAdvance(LiborCalendar,Y59,X60,"f",FALSE)</f>
        <v>42195</v>
      </c>
      <c r="Z60" s="171">
        <f>_xll.qlInterestRateIndexValueDate(IborIndex,Y60,Trigger)</f>
        <v>42199</v>
      </c>
      <c r="AA60" s="172">
        <v>-8.3436016723991788E-3</v>
      </c>
      <c r="AB60" s="169">
        <v>-8.0335453224522624E-3</v>
      </c>
    </row>
    <row r="61" spans="10:28" ht="12" thickBot="1" x14ac:dyDescent="0.25">
      <c r="N61" s="200"/>
      <c r="O61" s="201"/>
      <c r="P61" s="202"/>
      <c r="Q61" s="203"/>
      <c r="R61" s="203"/>
      <c r="S61" s="200"/>
      <c r="T61" s="204"/>
      <c r="U61" s="205"/>
      <c r="V61" s="180"/>
      <c r="X61" s="170" t="str">
        <f t="shared" si="7"/>
        <v>1D</v>
      </c>
      <c r="Y61" s="168">
        <f>_xll.qlCalendarAdvance(LiborCalendar,Y60,X61,"f",FALSE)</f>
        <v>42198</v>
      </c>
      <c r="Z61" s="171">
        <f>_xll.qlInterestRateIndexValueDate(IborIndex,Y61,Trigger)</f>
        <v>42200</v>
      </c>
      <c r="AA61" s="172">
        <v>-8.3488852779166293E-3</v>
      </c>
      <c r="AB61" s="169">
        <v>-8.0105985648781797E-3</v>
      </c>
    </row>
    <row r="62" spans="10:28" ht="22.5" x14ac:dyDescent="0.2">
      <c r="M62" s="162"/>
      <c r="N62" s="294" t="s">
        <v>146</v>
      </c>
      <c r="O62" s="193" t="s">
        <v>37</v>
      </c>
      <c r="P62" s="193" t="s">
        <v>43</v>
      </c>
      <c r="Q62" s="193" t="s">
        <v>147</v>
      </c>
      <c r="R62" s="296" t="s">
        <v>167</v>
      </c>
      <c r="S62" s="193" t="s">
        <v>148</v>
      </c>
      <c r="T62" s="193" t="s">
        <v>138</v>
      </c>
      <c r="U62" s="295" t="s">
        <v>139</v>
      </c>
      <c r="V62" s="161" t="s">
        <v>140</v>
      </c>
      <c r="X62" s="170" t="str">
        <f t="shared" si="7"/>
        <v>1D</v>
      </c>
      <c r="Y62" s="168">
        <f>_xll.qlCalendarAdvance(LiborCalendar,Y61,X62,"f",FALSE)</f>
        <v>42199</v>
      </c>
      <c r="Z62" s="171">
        <f>_xll.qlInterestRateIndexValueDate(IborIndex,Y62,Trigger)</f>
        <v>42201</v>
      </c>
      <c r="AA62" s="172">
        <v>-8.3543619079269917E-3</v>
      </c>
      <c r="AB62" s="169">
        <v>-7.9886385276495275E-3</v>
      </c>
    </row>
    <row r="63" spans="10:28" x14ac:dyDescent="0.2">
      <c r="M63" s="170" t="str">
        <f t="array" ref="M63:M99">_xll.ohFilter(RateHelpers!B62:B98,IF(ISERROR(RateHelpers!D62:D98),FALSE,TRUE))</f>
        <v>obj_00320#0001</v>
      </c>
      <c r="N63" s="170" t="str">
        <f>_xll.qlRateHelperQuoteName(M63)</f>
        <v>CHFAB3L1Y_Quote</v>
      </c>
      <c r="O63" s="168">
        <f>_xll.qlRateHelperLatestDate(M63,Trigger)</f>
        <v>42506</v>
      </c>
      <c r="P63" s="176">
        <f>_xll.qlRateHelperQuoteValue(M63,_xll.ohTrigger(RecalcTrigger,YieldCurve))</f>
        <v>-8.1799999999999998E-3</v>
      </c>
      <c r="Q63" s="177" t="str">
        <f>SUBSTITUTE(SUBSTITUTE(N63,"_Quote",""),"CHFAB3L","")</f>
        <v>1Y</v>
      </c>
      <c r="R63" s="177">
        <v>2</v>
      </c>
      <c r="S63" s="178" t="str">
        <f>_xll.qlSwapIndex(,FamilyName,Q63,$R63,Currency,Calendar,"1Y","Modified Following",BondBasisDayCounter,IborIndex,Discounting,,_xll.ohTrigger(Trigger,RecalcTrigger))</f>
        <v>obj_0036d#0004</v>
      </c>
      <c r="T63" s="179">
        <f>_xll.qlIndexFixing(S63,$Y$19,TRUE,Trigger)</f>
        <v>-8.2054246289864352E-3</v>
      </c>
      <c r="U63" s="194">
        <f>T63-P63</f>
        <v>-2.5424628986435438E-5</v>
      </c>
      <c r="V63" s="182">
        <f t="array" ref="V63">MAX(ABS(U63:U81))</f>
        <v>2.9798625273500662E-5</v>
      </c>
      <c r="X63" s="170" t="str">
        <f t="shared" si="7"/>
        <v>1D</v>
      </c>
      <c r="Y63" s="168">
        <f>_xll.qlCalendarAdvance(LiborCalendar,Y62,X63,"f",FALSE)</f>
        <v>42200</v>
      </c>
      <c r="Z63" s="171">
        <f>_xll.qlInterestRateIndexValueDate(IborIndex,Y63,Trigger)</f>
        <v>42202</v>
      </c>
      <c r="AA63" s="172">
        <v>-8.3626723571715543E-3</v>
      </c>
      <c r="AB63" s="169">
        <v>-7.9505952992153794E-3</v>
      </c>
    </row>
    <row r="64" spans="10:28" x14ac:dyDescent="0.2">
      <c r="M64" s="170" t="str">
        <v>obj_00336#0001</v>
      </c>
      <c r="N64" s="170" t="str">
        <f>_xll.qlRateHelperQuoteName(M64)</f>
        <v>CHFAB3L15M_Quote</v>
      </c>
      <c r="O64" s="168">
        <f>_xll.qlRateHelperLatestDate(M64,Trigger)</f>
        <v>42597</v>
      </c>
      <c r="P64" s="176">
        <f>_xll.qlRateHelperQuoteValue(M64,_xll.ohTrigger(RecalcTrigger,YieldCurve))</f>
        <v>-8.0499999999999999E-3</v>
      </c>
      <c r="Q64" s="177" t="str">
        <f t="shared" ref="Q64:Q99" si="8">SUBSTITUTE(SUBSTITUTE(N64,"_Quote",""),"CHFAB3L","")</f>
        <v>15M</v>
      </c>
      <c r="R64" s="177">
        <v>2</v>
      </c>
      <c r="S64" s="178" t="str">
        <f>_xll.qlSwapIndex(,FamilyName,Q64,$R64,Currency,Calendar,"1Y","Modified Following",BondBasisDayCounter,IborIndex,Discounting,,_xll.ohTrigger(Trigger,RecalcTrigger))</f>
        <v>obj_0037b#0004</v>
      </c>
      <c r="T64" s="179">
        <f>_xll.qlIndexFixing(S64,$Y$19,TRUE,Trigger)</f>
        <v>-8.0432920239017613E-3</v>
      </c>
      <c r="U64" s="194">
        <f t="shared" ref="U64:U99" si="9">T64-P64</f>
        <v>6.7079760982385883E-6</v>
      </c>
      <c r="X64" s="170" t="str">
        <f t="shared" si="7"/>
        <v>1D</v>
      </c>
      <c r="Y64" s="168">
        <f>_xll.qlCalendarAdvance(LiborCalendar,Y63,X64,"f",FALSE)</f>
        <v>42201</v>
      </c>
      <c r="Z64" s="171">
        <f>_xll.qlInterestRateIndexValueDate(IborIndex,Y64,Trigger)</f>
        <v>42205</v>
      </c>
      <c r="AA64" s="172">
        <v>-8.3779063362404947E-3</v>
      </c>
      <c r="AB64" s="169">
        <v>-7.9189557033787494E-3</v>
      </c>
    </row>
    <row r="65" spans="10:28" x14ac:dyDescent="0.2">
      <c r="M65" s="170" t="str">
        <v>obj_0031e#0001</v>
      </c>
      <c r="N65" s="170" t="str">
        <f>_xll.qlRateHelperQuoteName(M65)</f>
        <v>CHFAB3L18M_Quote</v>
      </c>
      <c r="O65" s="168">
        <f>_xll.qlRateHelperLatestDate(M65,Trigger)</f>
        <v>42689</v>
      </c>
      <c r="P65" s="176">
        <f>_xll.qlRateHelperQuoteValue(M65,_xll.ohTrigger(RecalcTrigger,YieldCurve))</f>
        <v>-7.8300000000000002E-3</v>
      </c>
      <c r="Q65" s="177" t="str">
        <f t="shared" si="8"/>
        <v>18M</v>
      </c>
      <c r="R65" s="177">
        <v>2</v>
      </c>
      <c r="S65" s="178" t="str">
        <f>_xll.qlSwapIndex(,FamilyName,Q65,$R65,Currency,Calendar,"1Y","Modified Following",BondBasisDayCounter,IborIndex,Discounting,,_xll.ohTrigger(Trigger,RecalcTrigger))</f>
        <v>obj_00374#0004</v>
      </c>
      <c r="T65" s="179">
        <f>_xll.qlIndexFixing(S65,$Y$19,TRUE,Trigger)</f>
        <v>-7.8234717829152988E-3</v>
      </c>
      <c r="U65" s="194">
        <f t="shared" si="9"/>
        <v>6.528217084701346E-6</v>
      </c>
      <c r="X65" s="170" t="str">
        <f t="shared" si="7"/>
        <v>1D</v>
      </c>
      <c r="Y65" s="168">
        <f>_xll.qlCalendarAdvance(LiborCalendar,Y64,X65,"f",FALSE)</f>
        <v>42202</v>
      </c>
      <c r="Z65" s="171">
        <f>_xll.qlInterestRateIndexValueDate(IborIndex,Y65,Trigger)</f>
        <v>42206</v>
      </c>
      <c r="AA65" s="172">
        <v>-8.3841063570772277E-3</v>
      </c>
      <c r="AB65" s="169">
        <v>-7.9060743298908776E-3</v>
      </c>
    </row>
    <row r="66" spans="10:28" x14ac:dyDescent="0.2">
      <c r="M66" s="170" t="str">
        <v>obj_00332#0001</v>
      </c>
      <c r="N66" s="170" t="str">
        <f>_xll.qlRateHelperQuoteName(M66)</f>
        <v>CHFAB3L21M_Quote</v>
      </c>
      <c r="O66" s="168">
        <f>_xll.qlRateHelperLatestDate(M66,Trigger)</f>
        <v>42781</v>
      </c>
      <c r="P66" s="176">
        <f>_xll.qlRateHelperQuoteValue(M66,_xll.ohTrigger(RecalcTrigger,YieldCurve))</f>
        <v>-7.6E-3</v>
      </c>
      <c r="Q66" s="177" t="str">
        <f t="shared" si="8"/>
        <v>21M</v>
      </c>
      <c r="R66" s="177">
        <v>2</v>
      </c>
      <c r="S66" s="178" t="str">
        <f>_xll.qlSwapIndex(,FamilyName,Q66,$R66,Currency,Calendar,"1Y","Modified Following",BondBasisDayCounter,IborIndex,Discounting,,_xll.ohTrigger(Trigger,RecalcTrigger))</f>
        <v>obj_0037f#0004</v>
      </c>
      <c r="T66" s="179">
        <f>_xll.qlIndexFixing(S66,$Y$19,TRUE,Trigger)</f>
        <v>-7.5748202330777649E-3</v>
      </c>
      <c r="U66" s="194">
        <f t="shared" si="9"/>
        <v>2.5179766922235093E-5</v>
      </c>
      <c r="X66" s="170" t="str">
        <f t="shared" si="7"/>
        <v>1D</v>
      </c>
      <c r="Y66" s="168">
        <f>_xll.qlCalendarAdvance(LiborCalendar,Y65,X66,"f",FALSE)</f>
        <v>42205</v>
      </c>
      <c r="Z66" s="171">
        <f>_xll.qlInterestRateIndexValueDate(IborIndex,Y66,Trigger)</f>
        <v>42207</v>
      </c>
      <c r="AA66" s="172">
        <v>-8.3903937184596263E-3</v>
      </c>
      <c r="AB66" s="169">
        <v>-7.8950086898466054E-3</v>
      </c>
    </row>
    <row r="67" spans="10:28" x14ac:dyDescent="0.2">
      <c r="M67" s="170" t="str">
        <v>obj_00324#0001</v>
      </c>
      <c r="N67" s="170" t="str">
        <f>_xll.qlRateHelperQuoteName(M67)</f>
        <v>CHFAB3L2Y_Quote</v>
      </c>
      <c r="O67" s="168">
        <f>_xll.qlRateHelperLatestDate(M67,Trigger)</f>
        <v>42870</v>
      </c>
      <c r="P67" s="176">
        <f>_xll.qlRateHelperQuoteValue(M67,_xll.ohTrigger(RecalcTrigger,YieldCurve))</f>
        <v>-7.3000000000000001E-3</v>
      </c>
      <c r="Q67" s="177" t="str">
        <f t="shared" si="8"/>
        <v>2Y</v>
      </c>
      <c r="R67" s="177">
        <v>2</v>
      </c>
      <c r="S67" s="178" t="str">
        <f>_xll.qlSwapIndex(,FamilyName,Q67,$R67,Currency,Calendar,"1Y","Modified Following",BondBasisDayCounter,IborIndex,Discounting,,_xll.ohTrigger(Trigger,RecalcTrigger))</f>
        <v>obj_00370#0004</v>
      </c>
      <c r="T67" s="179">
        <f>_xll.qlIndexFixing(S67,$Y$19,TRUE,Trigger)</f>
        <v>-7.2702013747264994E-3</v>
      </c>
      <c r="U67" s="194">
        <f t="shared" si="9"/>
        <v>2.9798625273500662E-5</v>
      </c>
      <c r="X67" s="170" t="str">
        <f t="shared" si="7"/>
        <v>1D</v>
      </c>
      <c r="Y67" s="168">
        <f>_xll.qlCalendarAdvance(LiborCalendar,Y66,X67,"f",FALSE)</f>
        <v>42206</v>
      </c>
      <c r="Z67" s="171">
        <f>_xll.qlInterestRateIndexValueDate(IborIndex,Y67,Trigger)</f>
        <v>42208</v>
      </c>
      <c r="AA67" s="172">
        <v>-8.3967493081050643E-3</v>
      </c>
      <c r="AB67" s="169">
        <v>-7.8857587834058052E-3</v>
      </c>
    </row>
    <row r="68" spans="10:28" x14ac:dyDescent="0.2">
      <c r="M68" s="170" t="str">
        <v>obj_00335#0001</v>
      </c>
      <c r="N68" s="170" t="str">
        <f>_xll.qlRateHelperQuoteName(M68)</f>
        <v>CHFAB3L3Y_Quote</v>
      </c>
      <c r="O68" s="168">
        <f>_xll.qlRateHelperLatestDate(M68,Trigger)</f>
        <v>43235</v>
      </c>
      <c r="P68" s="176">
        <f>_xll.qlRateHelperQuoteValue(M68,_xll.ohTrigger(RecalcTrigger,YieldCurve))</f>
        <v>-6.1500000000000001E-3</v>
      </c>
      <c r="Q68" s="177" t="str">
        <f t="shared" si="8"/>
        <v>3Y</v>
      </c>
      <c r="R68" s="177">
        <v>2</v>
      </c>
      <c r="S68" s="178" t="str">
        <f>_xll.qlSwapIndex(,FamilyName,Q68,$R68,Currency,Calendar,"1Y","Modified Following",BondBasisDayCounter,IborIndex,Discounting,,_xll.ohTrigger(Trigger,RecalcTrigger))</f>
        <v>obj_00375#0004</v>
      </c>
      <c r="T68" s="179">
        <f>_xll.qlIndexFixing(S68,$Y$19,TRUE,Trigger)</f>
        <v>-6.1500000001603007E-3</v>
      </c>
      <c r="U68" s="194">
        <f t="shared" si="9"/>
        <v>-1.6030059224458881E-13</v>
      </c>
      <c r="X68" s="170" t="str">
        <f t="shared" si="7"/>
        <v>1D</v>
      </c>
      <c r="Y68" s="168">
        <f>_xll.qlCalendarAdvance(LiborCalendar,Y67,X68,"f",FALSE)</f>
        <v>42207</v>
      </c>
      <c r="Z68" s="171">
        <f>_xll.qlInterestRateIndexValueDate(IborIndex,Y68,Trigger)</f>
        <v>42209</v>
      </c>
      <c r="AA68" s="172">
        <v>-8.4041717028488765E-3</v>
      </c>
      <c r="AB68" s="169">
        <v>-7.8731392261932598E-3</v>
      </c>
    </row>
    <row r="69" spans="10:28" x14ac:dyDescent="0.2">
      <c r="M69" s="170" t="str">
        <v>obj_0033e#0001</v>
      </c>
      <c r="N69" s="170" t="str">
        <f>_xll.qlRateHelperQuoteName(M69)</f>
        <v>CHFAB3L4Y_Quote</v>
      </c>
      <c r="O69" s="168">
        <f>_xll.qlRateHelperLatestDate(M69,Trigger)</f>
        <v>43600</v>
      </c>
      <c r="P69" s="176">
        <f>_xll.qlRateHelperQuoteValue(M69,_xll.ohTrigger(RecalcTrigger,YieldCurve))</f>
        <v>-4.7499999999999999E-3</v>
      </c>
      <c r="Q69" s="177" t="str">
        <f t="shared" si="8"/>
        <v>4Y</v>
      </c>
      <c r="R69" s="177">
        <v>2</v>
      </c>
      <c r="S69" s="178" t="str">
        <f>_xll.qlSwapIndex(,FamilyName,Q69,$R69,Currency,Calendar,"1Y","Modified Following",BondBasisDayCounter,IborIndex,Discounting,,_xll.ohTrigger(Trigger,RecalcTrigger))</f>
        <v>obj_0037d#0004</v>
      </c>
      <c r="T69" s="179">
        <f>_xll.qlIndexFixing(S69,$Y$19,TRUE,Trigger)</f>
        <v>-4.7500000001153312E-3</v>
      </c>
      <c r="U69" s="194">
        <f t="shared" si="9"/>
        <v>-1.1533135557684204E-13</v>
      </c>
      <c r="X69" s="170" t="str">
        <f t="shared" si="7"/>
        <v>1D</v>
      </c>
      <c r="Y69" s="168">
        <f>_xll.qlCalendarAdvance(LiborCalendar,Y68,X69,"f",FALSE)</f>
        <v>42208</v>
      </c>
      <c r="Z69" s="171">
        <f>_xll.qlInterestRateIndexValueDate(IborIndex,Y69,Trigger)</f>
        <v>42212</v>
      </c>
      <c r="AA69" s="172">
        <v>-8.4224717079529957E-3</v>
      </c>
      <c r="AB69" s="169">
        <v>-7.8669164964351168E-3</v>
      </c>
    </row>
    <row r="70" spans="10:28" x14ac:dyDescent="0.2">
      <c r="M70" s="170" t="str">
        <v>obj_00322#0001</v>
      </c>
      <c r="N70" s="170" t="str">
        <f>_xll.qlRateHelperQuoteName(M70)</f>
        <v>CHFAB3L5Y_Quote</v>
      </c>
      <c r="O70" s="168">
        <f>_xll.qlRateHelperLatestDate(M70,Trigger)</f>
        <v>43966</v>
      </c>
      <c r="P70" s="176">
        <f>_xll.qlRateHelperQuoteValue(M70,_xll.ohTrigger(RecalcTrigger,YieldCurve))</f>
        <v>-3.2500000000000003E-3</v>
      </c>
      <c r="Q70" s="177" t="str">
        <f t="shared" si="8"/>
        <v>5Y</v>
      </c>
      <c r="R70" s="177">
        <v>2</v>
      </c>
      <c r="S70" s="178" t="str">
        <f>_xll.qlSwapIndex(,FamilyName,Q70,$R70,Currency,Calendar,"1Y","Modified Following",BondBasisDayCounter,IborIndex,Discounting,,_xll.ohTrigger(Trigger,RecalcTrigger))</f>
        <v>obj_00380#0004</v>
      </c>
      <c r="T70" s="179">
        <f>_xll.qlIndexFixing(S70,$Y$19,TRUE,Trigger)</f>
        <v>-3.2500000000919094E-3</v>
      </c>
      <c r="U70" s="194">
        <f t="shared" si="9"/>
        <v>-9.1909119204203193E-14</v>
      </c>
      <c r="X70" s="170" t="str">
        <f t="shared" si="7"/>
        <v>1D</v>
      </c>
      <c r="Y70" s="168">
        <f>_xll.qlCalendarAdvance(LiborCalendar,Y69,X70,"f",FALSE)</f>
        <v>42209</v>
      </c>
      <c r="Z70" s="171">
        <f>_xll.qlInterestRateIndexValueDate(IborIndex,Y70,Trigger)</f>
        <v>42213</v>
      </c>
      <c r="AA70" s="172">
        <v>-8.4288817589812277E-3</v>
      </c>
      <c r="AB70" s="169">
        <v>-7.8667452596903331E-3</v>
      </c>
    </row>
    <row r="71" spans="10:28" x14ac:dyDescent="0.2">
      <c r="J71" s="130"/>
      <c r="M71" s="170" t="str">
        <v>obj_0032c#0001</v>
      </c>
      <c r="N71" s="170" t="str">
        <f>_xll.qlRateHelperQuoteName(M71)</f>
        <v>CHFAB3L6Y_Quote</v>
      </c>
      <c r="O71" s="168">
        <f>_xll.qlRateHelperLatestDate(M71,Trigger)</f>
        <v>44333</v>
      </c>
      <c r="P71" s="176">
        <f>_xll.qlRateHelperQuoteValue(M71,_xll.ohTrigger(RecalcTrigger,YieldCurve))</f>
        <v>-1.7749999999999999E-3</v>
      </c>
      <c r="Q71" s="177" t="str">
        <f t="shared" si="8"/>
        <v>6Y</v>
      </c>
      <c r="R71" s="177">
        <v>2</v>
      </c>
      <c r="S71" s="178" t="str">
        <f>_xll.qlSwapIndex(,FamilyName,Q71,$R71,Currency,Calendar,"1Y","Modified Following",BondBasisDayCounter,IborIndex,Discounting,,_xll.ohTrigger(Trigger,RecalcTrigger))</f>
        <v>obj_0036e#0004</v>
      </c>
      <c r="T71" s="179">
        <f>_xll.qlIndexFixing(S71,$Y$19,TRUE,Trigger)</f>
        <v>-1.7750000000764491E-3</v>
      </c>
      <c r="U71" s="194">
        <f t="shared" si="9"/>
        <v>-7.6449263586297889E-14</v>
      </c>
      <c r="V71" s="180"/>
      <c r="X71" s="170" t="str">
        <f t="shared" si="7"/>
        <v>1D</v>
      </c>
      <c r="Y71" s="168">
        <f>_xll.qlCalendarAdvance(LiborCalendar,Y70,X71,"f",FALSE)</f>
        <v>42212</v>
      </c>
      <c r="Z71" s="171">
        <f>_xll.qlInterestRateIndexValueDate(IborIndex,Y71,Trigger)</f>
        <v>42214</v>
      </c>
      <c r="AA71" s="172">
        <v>-8.4352453671742312E-3</v>
      </c>
      <c r="AB71" s="169">
        <v>-7.8683897569886696E-3</v>
      </c>
    </row>
    <row r="72" spans="10:28" x14ac:dyDescent="0.2">
      <c r="M72" s="170" t="str">
        <v>obj_00326#0001</v>
      </c>
      <c r="N72" s="170" t="str">
        <f>_xll.qlRateHelperQuoteName(M72)</f>
        <v>CHFAB3L7Y_Quote</v>
      </c>
      <c r="O72" s="168">
        <f>_xll.qlRateHelperLatestDate(M72,Trigger)</f>
        <v>44697</v>
      </c>
      <c r="P72" s="176">
        <f>_xll.qlRateHelperQuoteValue(M72,_xll.ohTrigger(RecalcTrigger,YieldCurve))</f>
        <v>-4.7500000000000005E-4</v>
      </c>
      <c r="Q72" s="177" t="str">
        <f t="shared" si="8"/>
        <v>7Y</v>
      </c>
      <c r="R72" s="177">
        <v>2</v>
      </c>
      <c r="S72" s="178" t="str">
        <f>_xll.qlSwapIndex(,FamilyName,Q72,$R72,Currency,Calendar,"1Y","Modified Following",BondBasisDayCounter,IborIndex,Discounting,,_xll.ohTrigger(Trigger,RecalcTrigger))</f>
        <v>obj_00379#0004</v>
      </c>
      <c r="T72" s="179">
        <f>_xll.qlIndexFixing(S72,$Y$19,TRUE,Trigger)</f>
        <v>-4.7500000015463894E-4</v>
      </c>
      <c r="U72" s="194">
        <f t="shared" si="9"/>
        <v>-1.5463888849986951E-13</v>
      </c>
      <c r="X72" s="170" t="str">
        <f t="shared" si="7"/>
        <v>1D</v>
      </c>
      <c r="Y72" s="168">
        <f>_xll.qlCalendarAdvance(LiborCalendar,Y71,X72,"f",FALSE)</f>
        <v>42213</v>
      </c>
      <c r="Z72" s="171">
        <f>_xll.qlInterestRateIndexValueDate(IborIndex,Y72,Trigger)</f>
        <v>42215</v>
      </c>
      <c r="AA72" s="172">
        <v>-8.4415434211204208E-3</v>
      </c>
      <c r="AB72" s="169">
        <v>-7.8718499883700943E-3</v>
      </c>
    </row>
    <row r="73" spans="10:28" x14ac:dyDescent="0.2">
      <c r="M73" s="170" t="str">
        <v>obj_00323#0001</v>
      </c>
      <c r="N73" s="170" t="str">
        <f>_xll.qlRateHelperQuoteName(M73)</f>
        <v>CHFAB3L8Y_Quote</v>
      </c>
      <c r="O73" s="168">
        <f>_xll.qlRateHelperLatestDate(M73,Trigger)</f>
        <v>45061</v>
      </c>
      <c r="P73" s="176">
        <f>_xll.qlRateHelperQuoteValue(M73,_xll.ohTrigger(RecalcTrigger,YieldCurve))</f>
        <v>6.4999999999999997E-4</v>
      </c>
      <c r="Q73" s="177" t="str">
        <f t="shared" si="8"/>
        <v>8Y</v>
      </c>
      <c r="R73" s="177">
        <v>2</v>
      </c>
      <c r="S73" s="178" t="str">
        <f>_xll.qlSwapIndex(,FamilyName,Q73,$R73,Currency,Calendar,"1Y","Modified Following",BondBasisDayCounter,IborIndex,Discounting,,_xll.ohTrigger(Trigger,RecalcTrigger))</f>
        <v>obj_0037c#0004</v>
      </c>
      <c r="T73" s="179">
        <f>_xll.qlIndexFixing(S73,$Y$19,TRUE,Trigger)</f>
        <v>6.4999999999139206E-4</v>
      </c>
      <c r="U73" s="194">
        <f t="shared" si="9"/>
        <v>-8.6079147282314139E-15</v>
      </c>
      <c r="X73" s="170" t="str">
        <f t="shared" si="7"/>
        <v>1D</v>
      </c>
      <c r="Y73" s="168">
        <f>_xll.qlCalendarAdvance(LiborCalendar,Y72,X73,"f",FALSE)</f>
        <v>42214</v>
      </c>
      <c r="Z73" s="171">
        <f>_xll.qlInterestRateIndexValueDate(IborIndex,Y73,Trigger)</f>
        <v>42216</v>
      </c>
      <c r="AA73" s="172">
        <v>-8.4479885143417602E-3</v>
      </c>
      <c r="AB73" s="169">
        <v>-7.8846502031515442E-3</v>
      </c>
    </row>
    <row r="74" spans="10:28" x14ac:dyDescent="0.2">
      <c r="M74" s="170" t="str">
        <v>obj_00337#0001</v>
      </c>
      <c r="N74" s="170" t="str">
        <f>_xll.qlRateHelperQuoteName(M74)</f>
        <v>CHFAB3L9Y_Quote</v>
      </c>
      <c r="O74" s="168">
        <f>_xll.qlRateHelperLatestDate(M74,Trigger)</f>
        <v>45427</v>
      </c>
      <c r="P74" s="176">
        <f>_xll.qlRateHelperQuoteValue(M74,_xll.ohTrigger(RecalcTrigger,YieldCurve))</f>
        <v>1.6000000000000001E-3</v>
      </c>
      <c r="Q74" s="177" t="str">
        <f t="shared" si="8"/>
        <v>9Y</v>
      </c>
      <c r="R74" s="177">
        <v>2</v>
      </c>
      <c r="S74" s="178" t="str">
        <f>_xll.qlSwapIndex(,FamilyName,Q74,$R74,Currency,Calendar,"1Y","Modified Following",BondBasisDayCounter,IborIndex,Discounting,,_xll.ohTrigger(Trigger,RecalcTrigger))</f>
        <v>obj_00377#0004</v>
      </c>
      <c r="T74" s="179">
        <f>_xll.qlIndexFixing(S74,$Y$19,TRUE,Trigger)</f>
        <v>1.5999999998670788E-3</v>
      </c>
      <c r="U74" s="194">
        <f t="shared" si="9"/>
        <v>-1.3292123478281237E-13</v>
      </c>
      <c r="X74" s="170" t="str">
        <f t="shared" si="7"/>
        <v>1D</v>
      </c>
      <c r="Y74" s="168">
        <f>_xll.qlCalendarAdvance(LiborCalendar,Y73,X74,"f",FALSE)</f>
        <v>42215</v>
      </c>
      <c r="Z74" s="171">
        <f>_xll.qlInterestRateIndexValueDate(IborIndex,Y74,Trigger)</f>
        <v>42219</v>
      </c>
      <c r="AA74" s="172">
        <v>-8.4656978703012229E-3</v>
      </c>
      <c r="AB74" s="169">
        <v>-7.9038482524884657E-3</v>
      </c>
    </row>
    <row r="75" spans="10:28" x14ac:dyDescent="0.2">
      <c r="M75" s="170" t="str">
        <v>obj_00329#0001</v>
      </c>
      <c r="N75" s="170" t="str">
        <f>_xll.qlRateHelperQuoteName(M75)</f>
        <v>CHFAB3L10Y_Quote</v>
      </c>
      <c r="O75" s="168">
        <f>_xll.qlRateHelperLatestDate(M75,Trigger)</f>
        <v>45792</v>
      </c>
      <c r="P75" s="176">
        <f>_xll.qlRateHelperQuoteValue(M75,_xll.ohTrigger(RecalcTrigger,YieldCurve))</f>
        <v>2.4000000000000002E-3</v>
      </c>
      <c r="Q75" s="177" t="str">
        <f t="shared" si="8"/>
        <v>10Y</v>
      </c>
      <c r="R75" s="177">
        <v>2</v>
      </c>
      <c r="S75" s="178" t="str">
        <f>_xll.qlSwapIndex(,FamilyName,Q75,$R75,Currency,Calendar,"1Y","Modified Following",BondBasisDayCounter,IborIndex,Discounting,,_xll.ohTrigger(Trigger,RecalcTrigger))</f>
        <v>obj_00372#0004</v>
      </c>
      <c r="T75" s="179">
        <f>_xll.qlIndexFixing(S75,$Y$19,TRUE,Trigger)</f>
        <v>2.3999999999456383E-3</v>
      </c>
      <c r="U75" s="194">
        <f t="shared" si="9"/>
        <v>-5.4361896928423192E-14</v>
      </c>
      <c r="X75" s="170" t="str">
        <f t="shared" si="7"/>
        <v>1D</v>
      </c>
      <c r="Y75" s="168">
        <f>_xll.qlCalendarAdvance(LiborCalendar,Y74,X75,"f",FALSE)</f>
        <v>42216</v>
      </c>
      <c r="Z75" s="171">
        <f>_xll.qlInterestRateIndexValueDate(IborIndex,Y75,Trigger)</f>
        <v>42220</v>
      </c>
      <c r="AA75" s="172">
        <v>-8.4713814858846138E-3</v>
      </c>
      <c r="AB75" s="169">
        <v>-7.9163871526866103E-3</v>
      </c>
    </row>
    <row r="76" spans="10:28" x14ac:dyDescent="0.2">
      <c r="M76" s="170" t="str">
        <v>obj_00325#0001</v>
      </c>
      <c r="N76" s="170" t="str">
        <f>_xll.qlRateHelperQuoteName(M76)</f>
        <v>CHFAB3L11Y_Quote</v>
      </c>
      <c r="O76" s="168">
        <f>_xll.qlRateHelperLatestDate(M76,Trigger)</f>
        <v>46157</v>
      </c>
      <c r="P76" s="176">
        <f>_xll.qlRateHelperQuoteValue(M76,_xll.ohTrigger(RecalcTrigger,YieldCurve))</f>
        <v>3.075E-3</v>
      </c>
      <c r="Q76" s="177" t="str">
        <f t="shared" si="8"/>
        <v>11Y</v>
      </c>
      <c r="R76" s="177">
        <v>2</v>
      </c>
      <c r="S76" s="178" t="str">
        <f>_xll.qlSwapIndex(,FamilyName,Q76,$R76,Currency,Calendar,"1Y","Modified Following",BondBasisDayCounter,IborIndex,Discounting,,_xll.ohTrigger(Trigger,RecalcTrigger))</f>
        <v>obj_0036f#0004</v>
      </c>
      <c r="T76" s="179">
        <f>_xll.qlIndexFixing(S76,$Y$19,TRUE,Trigger)</f>
        <v>3.0749999999822824E-3</v>
      </c>
      <c r="U76" s="194">
        <f t="shared" si="9"/>
        <v>-1.7717598221889119E-14</v>
      </c>
      <c r="V76" s="180"/>
      <c r="X76" s="170" t="str">
        <f t="shared" si="7"/>
        <v>1D</v>
      </c>
      <c r="Y76" s="168">
        <f>_xll.qlCalendarAdvance(LiborCalendar,Y75,X76,"f",FALSE)</f>
        <v>42219</v>
      </c>
      <c r="Z76" s="171">
        <f>_xll.qlInterestRateIndexValueDate(IborIndex,Y76,Trigger)</f>
        <v>42221</v>
      </c>
      <c r="AA76" s="172">
        <v>-8.4768848811124092E-3</v>
      </c>
      <c r="AB76" s="169">
        <v>-7.9307417861285145E-3</v>
      </c>
    </row>
    <row r="77" spans="10:28" x14ac:dyDescent="0.2">
      <c r="M77" s="170" t="str">
        <v>obj_0032f#0001</v>
      </c>
      <c r="N77" s="170" t="str">
        <f>_xll.qlRateHelperQuoteName(M77)</f>
        <v>CHFAB3L12Y_Quote</v>
      </c>
      <c r="O77" s="168">
        <f>_xll.qlRateHelperLatestDate(M77,Trigger)</f>
        <v>46524</v>
      </c>
      <c r="P77" s="176">
        <f>_xll.qlRateHelperQuoteValue(M77,_xll.ohTrigger(RecalcTrigger,YieldCurve))</f>
        <v>3.65E-3</v>
      </c>
      <c r="Q77" s="177" t="str">
        <f t="shared" si="8"/>
        <v>12Y</v>
      </c>
      <c r="R77" s="177">
        <v>2</v>
      </c>
      <c r="S77" s="178" t="str">
        <f>_xll.qlSwapIndex(,FamilyName,Q77,$R77,Currency,Calendar,"1Y","Modified Following",BondBasisDayCounter,IborIndex,Discounting,,_xll.ohTrigger(Trigger,RecalcTrigger))</f>
        <v>obj_00371#0004</v>
      </c>
      <c r="T77" s="179">
        <f>_xll.qlIndexFixing(S77,$Y$19,TRUE,Trigger)</f>
        <v>3.649999999893576E-3</v>
      </c>
      <c r="U77" s="194">
        <f t="shared" si="9"/>
        <v>-1.0642398420857013E-13</v>
      </c>
      <c r="X77" s="170" t="str">
        <f t="shared" si="7"/>
        <v>1D</v>
      </c>
      <c r="Y77" s="168">
        <f>_xll.qlCalendarAdvance(LiborCalendar,Y76,X77,"f",FALSE)</f>
        <v>42220</v>
      </c>
      <c r="Z77" s="171">
        <f>_xll.qlInterestRateIndexValueDate(IborIndex,Y77,Trigger)</f>
        <v>42222</v>
      </c>
      <c r="AA77" s="172">
        <v>-8.4821889453050494E-3</v>
      </c>
      <c r="AB77" s="169">
        <v>-7.9469121526143383E-3</v>
      </c>
    </row>
    <row r="78" spans="10:28" x14ac:dyDescent="0.2">
      <c r="M78" s="170" t="str">
        <v>obj_0033b#0001</v>
      </c>
      <c r="N78" s="170" t="str">
        <f>_xll.qlRateHelperQuoteName(M78)</f>
        <v>CHFAB3L15Y_Quote</v>
      </c>
      <c r="O78" s="168">
        <f>_xll.qlRateHelperLatestDate(M78,Trigger)</f>
        <v>47618</v>
      </c>
      <c r="P78" s="176">
        <f>_xll.qlRateHelperQuoteValue(M78,_xll.ohTrigger(RecalcTrigger,YieldCurve))</f>
        <v>4.9750000000000003E-3</v>
      </c>
      <c r="Q78" s="177" t="str">
        <f t="shared" si="8"/>
        <v>15Y</v>
      </c>
      <c r="R78" s="177">
        <v>2</v>
      </c>
      <c r="S78" s="178" t="str">
        <f>_xll.qlSwapIndex(,FamilyName,Q78,$R78,Currency,Calendar,"1Y","Modified Following",BondBasisDayCounter,IborIndex,Discounting,,_xll.ohTrigger(Trigger,RecalcTrigger))</f>
        <v>obj_0037a#0004</v>
      </c>
      <c r="T78" s="179">
        <f>_xll.qlIndexFixing(S78,$Y$19,TRUE,Trigger)</f>
        <v>4.9750000000004018E-3</v>
      </c>
      <c r="U78" s="194">
        <f t="shared" si="9"/>
        <v>4.0158848468863084E-16</v>
      </c>
      <c r="X78" s="170" t="str">
        <f t="shared" si="7"/>
        <v>1D</v>
      </c>
      <c r="Y78" s="168">
        <f>_xll.qlCalendarAdvance(LiborCalendar,Y77,X78,"f",FALSE)</f>
        <v>42221</v>
      </c>
      <c r="Z78" s="171">
        <f>_xll.qlInterestRateIndexValueDate(IborIndex,Y78,Trigger)</f>
        <v>42223</v>
      </c>
      <c r="AA78" s="172">
        <v>-8.4852391660567607E-3</v>
      </c>
      <c r="AB78" s="169">
        <v>-7.9851282044973715E-3</v>
      </c>
    </row>
    <row r="79" spans="10:28" x14ac:dyDescent="0.2">
      <c r="M79" s="170" t="str">
        <v>obj_0031d#0001</v>
      </c>
      <c r="N79" s="170" t="str">
        <f>_xll.qlRateHelperQuoteName(M79)</f>
        <v>CHFAB3L20Y_Quote</v>
      </c>
      <c r="O79" s="168">
        <f>_xll.qlRateHelperLatestDate(M79,Trigger)</f>
        <v>49444</v>
      </c>
      <c r="P79" s="176">
        <f>_xll.qlRateHelperQuoteValue(M79,_xll.ohTrigger(RecalcTrigger,YieldCurve))</f>
        <v>6.3250000000000008E-3</v>
      </c>
      <c r="Q79" s="177" t="str">
        <f t="shared" si="8"/>
        <v>20Y</v>
      </c>
      <c r="R79" s="177">
        <v>2</v>
      </c>
      <c r="S79" s="178" t="str">
        <f>_xll.qlSwapIndex(,FamilyName,Q79,$R79,Currency,Calendar,"1Y","Modified Following",BondBasisDayCounter,IborIndex,Discounting,,_xll.ohTrigger(Trigger,RecalcTrigger))</f>
        <v>obj_00378#0004</v>
      </c>
      <c r="T79" s="179">
        <f>_xll.qlIndexFixing(S79,$Y$19,TRUE,Trigger)</f>
        <v>6.325000000000189E-3</v>
      </c>
      <c r="U79" s="194">
        <f t="shared" si="9"/>
        <v>1.8821749714348357E-16</v>
      </c>
      <c r="X79" s="170" t="str">
        <f t="shared" si="7"/>
        <v>1D</v>
      </c>
      <c r="Y79" s="168">
        <f>_xll.qlCalendarAdvance(LiborCalendar,Y78,X79,"f",FALSE)</f>
        <v>42222</v>
      </c>
      <c r="Z79" s="171">
        <f>_xll.qlInterestRateIndexValueDate(IborIndex,Y79,Trigger)</f>
        <v>42226</v>
      </c>
      <c r="AA79" s="172">
        <v>-8.5010296805561152E-3</v>
      </c>
      <c r="AB79" s="169">
        <v>-8.0297509443205684E-3</v>
      </c>
    </row>
    <row r="80" spans="10:28" x14ac:dyDescent="0.2">
      <c r="M80" s="170" t="str">
        <v>obj_00340#0001</v>
      </c>
      <c r="N80" s="170" t="str">
        <f>_xll.qlRateHelperQuoteName(M80)</f>
        <v>CHFAB3L25Y_Quote</v>
      </c>
      <c r="O80" s="168">
        <f>_xll.qlRateHelperLatestDate(M80,Trigger)</f>
        <v>51271</v>
      </c>
      <c r="P80" s="176">
        <f>_xll.qlRateHelperQuoteValue(M80,_xll.ohTrigger(RecalcTrigger,YieldCurve))</f>
        <v>7.150000000000001E-3</v>
      </c>
      <c r="Q80" s="177" t="str">
        <f t="shared" si="8"/>
        <v>25Y</v>
      </c>
      <c r="R80" s="177">
        <v>2</v>
      </c>
      <c r="S80" s="178" t="str">
        <f>_xll.qlSwapIndex(,FamilyName,Q80,$R80,Currency,Calendar,"1Y","Modified Following",BondBasisDayCounter,IborIndex,Discounting,,_xll.ohTrigger(Trigger,RecalcTrigger))</f>
        <v>obj_00373#0004</v>
      </c>
      <c r="T80" s="179">
        <f>_xll.qlIndexFixing(S80,$Y$19,TRUE,Trigger)</f>
        <v>7.1499999999587146E-3</v>
      </c>
      <c r="U80" s="194">
        <f t="shared" si="9"/>
        <v>-4.1286418728248009E-14</v>
      </c>
      <c r="X80" s="170" t="str">
        <f t="shared" si="7"/>
        <v>1D</v>
      </c>
      <c r="Y80" s="168">
        <f>_xll.qlCalendarAdvance(LiborCalendar,Y79,X80,"f",FALSE)</f>
        <v>42223</v>
      </c>
      <c r="Z80" s="171">
        <f>_xll.qlInterestRateIndexValueDate(IborIndex,Y80,Trigger)</f>
        <v>42227</v>
      </c>
      <c r="AA80" s="172">
        <v>-8.5050504316421041E-3</v>
      </c>
      <c r="AB80" s="169">
        <v>-8.0549999720691545E-3</v>
      </c>
    </row>
    <row r="81" spans="13:28" x14ac:dyDescent="0.2">
      <c r="M81" s="170" t="str">
        <v>obj_00321#0001</v>
      </c>
      <c r="N81" s="170" t="str">
        <f>_xll.qlRateHelperQuoteName(M81)</f>
        <v>CHFAB3L30Y_Quote</v>
      </c>
      <c r="O81" s="168">
        <f>_xll.qlRateHelperLatestDate(M81,Trigger)</f>
        <v>53097</v>
      </c>
      <c r="P81" s="176">
        <f>_xll.qlRateHelperQuoteValue(M81,_xll.ohTrigger(RecalcTrigger,YieldCurve))</f>
        <v>7.575000000000001E-3</v>
      </c>
      <c r="Q81" s="177" t="str">
        <f t="shared" si="8"/>
        <v>30Y</v>
      </c>
      <c r="R81" s="177">
        <v>2</v>
      </c>
      <c r="S81" s="178" t="str">
        <f>_xll.qlSwapIndex(,FamilyName,Q81,$R81,Currency,Calendar,"1Y","Modified Following",BondBasisDayCounter,IborIndex,Discounting,,_xll.ohTrigger(Trigger,RecalcTrigger))</f>
        <v>obj_00376#0004</v>
      </c>
      <c r="T81" s="179">
        <f>_xll.qlIndexFixing(S81,$Y$19,TRUE,Trigger)</f>
        <v>7.5749999999590676E-3</v>
      </c>
      <c r="U81" s="194">
        <f t="shared" si="9"/>
        <v>-4.0933402500886729E-14</v>
      </c>
      <c r="X81" s="170" t="str">
        <f t="shared" si="7"/>
        <v>1D</v>
      </c>
      <c r="Y81" s="168">
        <f>_xll.qlCalendarAdvance(LiborCalendar,Y80,X81,"f",FALSE)</f>
        <v>42226</v>
      </c>
      <c r="Z81" s="171">
        <f>_xll.qlInterestRateIndexValueDate(IborIndex,Y81,Trigger)</f>
        <v>42228</v>
      </c>
      <c r="AA81" s="172">
        <v>-8.5087571888063599E-3</v>
      </c>
      <c r="AB81" s="169">
        <v>-8.0820647310630989E-3</v>
      </c>
    </row>
    <row r="82" spans="13:28" x14ac:dyDescent="0.2">
      <c r="M82" s="170" t="e">
        <v>#N/A</v>
      </c>
      <c r="N82" s="170" t="e">
        <f>_xll.qlRateHelperQuoteName(M82)</f>
        <v>#VALUE!</v>
      </c>
      <c r="O82" s="168" t="e">
        <f>_xll.qlRateHelperLatestDate(M82,Trigger)</f>
        <v>#VALUE!</v>
      </c>
      <c r="P82" s="176" t="e">
        <f>_xll.qlRateHelperQuoteValue(M82,_xll.ohTrigger(RecalcTrigger,YieldCurve))</f>
        <v>#VALUE!</v>
      </c>
      <c r="Q82" s="177" t="e">
        <f t="shared" si="8"/>
        <v>#VALUE!</v>
      </c>
      <c r="R82" s="177">
        <v>2</v>
      </c>
      <c r="S82" s="178" t="e">
        <f>_xll.qlSwapIndex(,FamilyName,Q82,$R82,Currency,Calendar,"1Y","Modified Following",BondBasisDayCounter,IborIndex,Discounting,,_xll.ohTrigger(Trigger,RecalcTrigger))</f>
        <v>#VALUE!</v>
      </c>
      <c r="T82" s="179" t="e">
        <f>_xll.qlIndexFixing(S82,$Y$19,TRUE,Trigger)</f>
        <v>#VALUE!</v>
      </c>
      <c r="U82" s="194" t="e">
        <f t="shared" si="9"/>
        <v>#VALUE!</v>
      </c>
      <c r="X82" s="170" t="str">
        <f t="shared" si="7"/>
        <v>1D</v>
      </c>
      <c r="Y82" s="168">
        <f>_xll.qlCalendarAdvance(LiborCalendar,Y81,X82,"f",FALSE)</f>
        <v>42227</v>
      </c>
      <c r="Z82" s="171">
        <f>_xll.qlInterestRateIndexValueDate(IborIndex,Y82,Trigger)</f>
        <v>42229</v>
      </c>
      <c r="AA82" s="172">
        <v>-8.5121308416490991E-3</v>
      </c>
      <c r="AB82" s="169">
        <v>-8.1109452207028809E-3</v>
      </c>
    </row>
    <row r="83" spans="13:28" x14ac:dyDescent="0.2">
      <c r="M83" s="170" t="e">
        <v>#N/A</v>
      </c>
      <c r="N83" s="170" t="e">
        <f>_xll.qlRateHelperQuoteName(M83)</f>
        <v>#VALUE!</v>
      </c>
      <c r="O83" s="168" t="e">
        <f>_xll.qlRateHelperLatestDate(M83,Trigger)</f>
        <v>#VALUE!</v>
      </c>
      <c r="P83" s="176" t="e">
        <f>_xll.qlRateHelperQuoteValue(M83,_xll.ohTrigger(RecalcTrigger,YieldCurve))</f>
        <v>#VALUE!</v>
      </c>
      <c r="Q83" s="177" t="e">
        <f t="shared" si="8"/>
        <v>#VALUE!</v>
      </c>
      <c r="R83" s="177">
        <v>2</v>
      </c>
      <c r="S83" s="178" t="e">
        <f>_xll.qlSwapIndex(,FamilyName,Q83,$R83,Currency,Calendar,"1Y","Modified Following",BondBasisDayCounter,IborIndex,Discounting,,_xll.ohTrigger(Trigger,RecalcTrigger))</f>
        <v>#VALUE!</v>
      </c>
      <c r="T83" s="179" t="e">
        <f>_xll.qlIndexFixing(S83,$Y$19,TRUE,Trigger)</f>
        <v>#VALUE!</v>
      </c>
      <c r="U83" s="194" t="e">
        <f t="shared" si="9"/>
        <v>#VALUE!</v>
      </c>
      <c r="X83" s="170" t="str">
        <f t="shared" si="7"/>
        <v>1D</v>
      </c>
      <c r="Y83" s="168">
        <f>_xll.qlCalendarAdvance(LiborCalendar,Y82,X83,"f",FALSE)</f>
        <v>42228</v>
      </c>
      <c r="Z83" s="171">
        <f>_xll.qlInterestRateIndexValueDate(IborIndex,Y83,Trigger)</f>
        <v>42230</v>
      </c>
      <c r="AA83" s="172">
        <v>-8.5119765491315658E-3</v>
      </c>
      <c r="AB83" s="169">
        <v>-8.1745730067295241E-3</v>
      </c>
    </row>
    <row r="84" spans="13:28" x14ac:dyDescent="0.2">
      <c r="M84" s="170" t="e">
        <v>#N/A</v>
      </c>
      <c r="N84" s="170" t="e">
        <f>_xll.qlRateHelperQuoteName(M84)</f>
        <v>#VALUE!</v>
      </c>
      <c r="O84" s="168" t="e">
        <f>_xll.qlRateHelperLatestDate(M84,Trigger)</f>
        <v>#VALUE!</v>
      </c>
      <c r="P84" s="176" t="e">
        <f>_xll.qlRateHelperQuoteValue(M84,_xll.ohTrigger(RecalcTrigger,YieldCurve))</f>
        <v>#VALUE!</v>
      </c>
      <c r="Q84" s="177" t="e">
        <f t="shared" si="8"/>
        <v>#VALUE!</v>
      </c>
      <c r="R84" s="177">
        <v>2</v>
      </c>
      <c r="S84" s="178" t="e">
        <f>_xll.qlSwapIndex(,FamilyName,Q84,$R84,Currency,Calendar,"1Y","Modified Following",BondBasisDayCounter,IborIndex,Discounting,,_xll.ohTrigger(Trigger,RecalcTrigger))</f>
        <v>#VALUE!</v>
      </c>
      <c r="T84" s="179" t="e">
        <f>_xll.qlIndexFixing(S84,$Y$19,TRUE,Trigger)</f>
        <v>#VALUE!</v>
      </c>
      <c r="U84" s="194" t="e">
        <f t="shared" si="9"/>
        <v>#VALUE!</v>
      </c>
      <c r="X84" s="170" t="str">
        <f t="shared" si="7"/>
        <v>1D</v>
      </c>
      <c r="Y84" s="168">
        <f>_xll.qlCalendarAdvance(LiborCalendar,Y83,X84,"f",FALSE)</f>
        <v>42229</v>
      </c>
      <c r="Z84" s="171">
        <f>_xll.qlInterestRateIndexValueDate(IborIndex,Y84,Trigger)</f>
        <v>42233</v>
      </c>
      <c r="AA84" s="172">
        <v>-8.5219122008764591E-3</v>
      </c>
      <c r="AB84" s="169">
        <v>-8.2440917636539268E-3</v>
      </c>
    </row>
    <row r="85" spans="13:28" x14ac:dyDescent="0.2">
      <c r="M85" s="170" t="e">
        <v>#N/A</v>
      </c>
      <c r="N85" s="170" t="e">
        <f>_xll.qlRateHelperQuoteName(M85)</f>
        <v>#VALUE!</v>
      </c>
      <c r="O85" s="168" t="e">
        <f>_xll.qlRateHelperLatestDate(M85,Trigger)</f>
        <v>#VALUE!</v>
      </c>
      <c r="P85" s="176" t="e">
        <f>_xll.qlRateHelperQuoteValue(M85,_xll.ohTrigger(RecalcTrigger,YieldCurve))</f>
        <v>#VALUE!</v>
      </c>
      <c r="Q85" s="177" t="e">
        <f t="shared" si="8"/>
        <v>#VALUE!</v>
      </c>
      <c r="R85" s="177">
        <v>2</v>
      </c>
      <c r="S85" s="178" t="e">
        <f>_xll.qlSwapIndex(,FamilyName,Q85,$R85,Currency,Calendar,"1Y","Modified Following",BondBasisDayCounter,IborIndex,Discounting,,_xll.ohTrigger(Trigger,RecalcTrigger))</f>
        <v>#VALUE!</v>
      </c>
      <c r="T85" s="179" t="e">
        <f>_xll.qlIndexFixing(S85,$Y$19,TRUE,Trigger)</f>
        <v>#VALUE!</v>
      </c>
      <c r="U85" s="194" t="e">
        <f t="shared" si="9"/>
        <v>#VALUE!</v>
      </c>
      <c r="X85" s="170" t="str">
        <f t="shared" ref="X85:X148" si="10">X84</f>
        <v>1D</v>
      </c>
      <c r="Y85" s="168">
        <f>_xll.qlCalendarAdvance(LiborCalendar,Y84,X85,"f",FALSE)</f>
        <v>42230</v>
      </c>
      <c r="Z85" s="171">
        <f>_xll.qlInterestRateIndexValueDate(IborIndex,Y85,Trigger)</f>
        <v>42234</v>
      </c>
      <c r="AA85" s="172">
        <v>-8.5233394528356869E-3</v>
      </c>
      <c r="AB85" s="169">
        <v>-8.2788546116940864E-3</v>
      </c>
    </row>
    <row r="86" spans="13:28" x14ac:dyDescent="0.2">
      <c r="M86" s="170" t="e">
        <v>#N/A</v>
      </c>
      <c r="N86" s="170" t="e">
        <f>_xll.qlRateHelperQuoteName(M86)</f>
        <v>#VALUE!</v>
      </c>
      <c r="O86" s="168" t="e">
        <f>_xll.qlRateHelperLatestDate(M86,Trigger)</f>
        <v>#VALUE!</v>
      </c>
      <c r="P86" s="176" t="e">
        <f>_xll.qlRateHelperQuoteValue(M86,_xll.ohTrigger(RecalcTrigger,YieldCurve))</f>
        <v>#VALUE!</v>
      </c>
      <c r="Q86" s="177" t="e">
        <f t="shared" si="8"/>
        <v>#VALUE!</v>
      </c>
      <c r="R86" s="177">
        <v>2</v>
      </c>
      <c r="S86" s="178" t="e">
        <f>_xll.qlSwapIndex(,FamilyName,Q86,$R86,Currency,Calendar,"1Y","Modified Following",BondBasisDayCounter,IborIndex,Discounting,,_xll.ohTrigger(Trigger,RecalcTrigger))</f>
        <v>#VALUE!</v>
      </c>
      <c r="T86" s="179" t="e">
        <f>_xll.qlIndexFixing(S86,$Y$19,TRUE,Trigger)</f>
        <v>#VALUE!</v>
      </c>
      <c r="U86" s="194" t="e">
        <f t="shared" si="9"/>
        <v>#VALUE!</v>
      </c>
      <c r="X86" s="170" t="str">
        <f t="shared" si="10"/>
        <v>1D</v>
      </c>
      <c r="Y86" s="168">
        <f>_xll.qlCalendarAdvance(LiborCalendar,Y85,X86,"f",FALSE)</f>
        <v>42233</v>
      </c>
      <c r="Z86" s="171">
        <f>_xll.qlInterestRateIndexValueDate(IborIndex,Y86,Trigger)</f>
        <v>42235</v>
      </c>
      <c r="AA86" s="172">
        <v>-8.5243536044931224E-3</v>
      </c>
      <c r="AB86" s="169">
        <v>-8.3122368999077878E-3</v>
      </c>
    </row>
    <row r="87" spans="13:28" x14ac:dyDescent="0.2">
      <c r="M87" s="170" t="e">
        <v>#N/A</v>
      </c>
      <c r="N87" s="170" t="e">
        <f>_xll.qlRateHelperQuoteName(M87)</f>
        <v>#VALUE!</v>
      </c>
      <c r="O87" s="168" t="e">
        <f>_xll.qlRateHelperLatestDate(M87,Trigger)</f>
        <v>#VALUE!</v>
      </c>
      <c r="P87" s="176" t="e">
        <f>_xll.qlRateHelperQuoteValue(M87,_xll.ohTrigger(RecalcTrigger,YieldCurve))</f>
        <v>#VALUE!</v>
      </c>
      <c r="Q87" s="177" t="e">
        <f t="shared" si="8"/>
        <v>#VALUE!</v>
      </c>
      <c r="R87" s="177">
        <v>2</v>
      </c>
      <c r="S87" s="178" t="e">
        <f>_xll.qlSwapIndex(,FamilyName,Q87,$R87,Currency,Calendar,"1Y","Modified Following",BondBasisDayCounter,IborIndex,Discounting,,_xll.ohTrigger(Trigger,RecalcTrigger))</f>
        <v>#VALUE!</v>
      </c>
      <c r="T87" s="179" t="e">
        <f>_xll.qlIndexFixing(S87,$Y$19,TRUE,Trigger)</f>
        <v>#VALUE!</v>
      </c>
      <c r="U87" s="194" t="e">
        <f t="shared" si="9"/>
        <v>#VALUE!</v>
      </c>
      <c r="X87" s="170" t="str">
        <f t="shared" si="10"/>
        <v>1D</v>
      </c>
      <c r="Y87" s="168">
        <f>_xll.qlCalendarAdvance(LiborCalendar,Y86,X87,"f",FALSE)</f>
        <v>42234</v>
      </c>
      <c r="Z87" s="171">
        <f>_xll.qlInterestRateIndexValueDate(IborIndex,Y87,Trigger)</f>
        <v>42236</v>
      </c>
      <c r="AA87" s="172">
        <v>-8.5249702123135762E-3</v>
      </c>
      <c r="AB87" s="169">
        <v>-8.3442386286947112E-3</v>
      </c>
    </row>
    <row r="88" spans="13:28" x14ac:dyDescent="0.2">
      <c r="M88" s="170" t="e">
        <v>#N/A</v>
      </c>
      <c r="N88" s="170" t="e">
        <f>_xll.qlRateHelperQuoteName(M88)</f>
        <v>#VALUE!</v>
      </c>
      <c r="O88" s="168" t="e">
        <f>_xll.qlRateHelperLatestDate(M88,Trigger)</f>
        <v>#VALUE!</v>
      </c>
      <c r="P88" s="176" t="e">
        <f>_xll.qlRateHelperQuoteValue(M88,_xll.ohTrigger(RecalcTrigger,YieldCurve))</f>
        <v>#VALUE!</v>
      </c>
      <c r="Q88" s="177" t="e">
        <f t="shared" si="8"/>
        <v>#VALUE!</v>
      </c>
      <c r="R88" s="177">
        <v>2</v>
      </c>
      <c r="S88" s="178" t="e">
        <f>_xll.qlSwapIndex(,FamilyName,Q88,$R88,Currency,Calendar,"1Y","Modified Following",BondBasisDayCounter,IborIndex,Discounting,,_xll.ohTrigger(Trigger,RecalcTrigger))</f>
        <v>#VALUE!</v>
      </c>
      <c r="T88" s="179" t="e">
        <f>_xll.qlIndexFixing(S88,$Y$19,TRUE,Trigger)</f>
        <v>#VALUE!</v>
      </c>
      <c r="U88" s="194" t="e">
        <f t="shared" si="9"/>
        <v>#VALUE!</v>
      </c>
      <c r="X88" s="170" t="str">
        <f t="shared" si="10"/>
        <v>1D</v>
      </c>
      <c r="Y88" s="168">
        <f>_xll.qlCalendarAdvance(LiborCalendar,Y87,X88,"f",FALSE)</f>
        <v>42235</v>
      </c>
      <c r="Z88" s="171">
        <f>_xll.qlInterestRateIndexValueDate(IborIndex,Y88,Trigger)</f>
        <v>42237</v>
      </c>
      <c r="AA88" s="172">
        <v>-8.5213247118733331E-3</v>
      </c>
      <c r="AB88" s="169">
        <v>-8.4034440555091905E-3</v>
      </c>
    </row>
    <row r="89" spans="13:28" x14ac:dyDescent="0.2">
      <c r="M89" s="170" t="e">
        <v>#N/A</v>
      </c>
      <c r="N89" s="170" t="e">
        <f>_xll.qlRateHelperQuoteName(M89)</f>
        <v>#VALUE!</v>
      </c>
      <c r="O89" s="168" t="e">
        <f>_xll.qlRateHelperLatestDate(M89,Trigger)</f>
        <v>#VALUE!</v>
      </c>
      <c r="P89" s="176" t="e">
        <f>_xll.qlRateHelperQuoteValue(M89,_xll.ohTrigger(RecalcTrigger,YieldCurve))</f>
        <v>#VALUE!</v>
      </c>
      <c r="Q89" s="177" t="e">
        <f t="shared" si="8"/>
        <v>#VALUE!</v>
      </c>
      <c r="R89" s="177">
        <v>2</v>
      </c>
      <c r="S89" s="178" t="e">
        <f>_xll.qlSwapIndex(,FamilyName,Q89,$R89,Currency,Calendar,"1Y","Modified Following",BondBasisDayCounter,IborIndex,Discounting,,_xll.ohTrigger(Trigger,RecalcTrigger))</f>
        <v>#VALUE!</v>
      </c>
      <c r="T89" s="179" t="e">
        <f>_xll.qlIndexFixing(S89,$Y$19,TRUE,Trigger)</f>
        <v>#VALUE!</v>
      </c>
      <c r="U89" s="194" t="e">
        <f t="shared" si="9"/>
        <v>#VALUE!</v>
      </c>
      <c r="X89" s="170" t="str">
        <f t="shared" si="10"/>
        <v>1D</v>
      </c>
      <c r="Y89" s="168">
        <f>_xll.qlCalendarAdvance(LiborCalendar,Y88,X89,"f",FALSE)</f>
        <v>42236</v>
      </c>
      <c r="Z89" s="171">
        <f>_xll.qlInterestRateIndexValueDate(IborIndex,Y89,Trigger)</f>
        <v>42240</v>
      </c>
      <c r="AA89" s="172">
        <v>-8.523772330138386E-3</v>
      </c>
      <c r="AB89" s="169">
        <v>-8.4584399562093182E-3</v>
      </c>
    </row>
    <row r="90" spans="13:28" x14ac:dyDescent="0.2">
      <c r="M90" s="170" t="e">
        <v>#N/A</v>
      </c>
      <c r="N90" s="170" t="e">
        <f>_xll.qlRateHelperQuoteName(M90)</f>
        <v>#VALUE!</v>
      </c>
      <c r="O90" s="168" t="e">
        <f>_xll.qlRateHelperLatestDate(M90,Trigger)</f>
        <v>#VALUE!</v>
      </c>
      <c r="P90" s="176" t="e">
        <f>_xll.qlRateHelperQuoteValue(M90,_xll.ohTrigger(RecalcTrigger,YieldCurve))</f>
        <v>#VALUE!</v>
      </c>
      <c r="Q90" s="177" t="e">
        <f t="shared" si="8"/>
        <v>#VALUE!</v>
      </c>
      <c r="R90" s="177">
        <v>2</v>
      </c>
      <c r="S90" s="178" t="e">
        <f>_xll.qlSwapIndex(,FamilyName,Q90,$R90,Currency,Calendar,"1Y","Modified Following",BondBasisDayCounter,IborIndex,Discounting,,_xll.ohTrigger(Trigger,RecalcTrigger))</f>
        <v>#VALUE!</v>
      </c>
      <c r="T90" s="179" t="e">
        <f>_xll.qlIndexFixing(S90,$Y$19,TRUE,Trigger)</f>
        <v>#VALUE!</v>
      </c>
      <c r="U90" s="194" t="e">
        <f t="shared" si="9"/>
        <v>#VALUE!</v>
      </c>
      <c r="X90" s="170" t="str">
        <f t="shared" si="10"/>
        <v>1D</v>
      </c>
      <c r="Y90" s="168">
        <f>_xll.qlCalendarAdvance(LiborCalendar,Y89,X90,"f",FALSE)</f>
        <v>42237</v>
      </c>
      <c r="Z90" s="171">
        <f>_xll.qlInterestRateIndexValueDate(IborIndex,Y90,Trigger)</f>
        <v>42241</v>
      </c>
      <c r="AA90" s="172">
        <v>-8.5226345615725015E-3</v>
      </c>
      <c r="AB90" s="169">
        <v>-8.4835388928983235E-3</v>
      </c>
    </row>
    <row r="91" spans="13:28" x14ac:dyDescent="0.2">
      <c r="M91" s="170" t="e">
        <v>#N/A</v>
      </c>
      <c r="N91" s="170" t="e">
        <f>_xll.qlRateHelperQuoteName(M91)</f>
        <v>#VALUE!</v>
      </c>
      <c r="O91" s="168" t="e">
        <f>_xll.qlRateHelperLatestDate(M91,Trigger)</f>
        <v>#VALUE!</v>
      </c>
      <c r="P91" s="176" t="e">
        <f>_xll.qlRateHelperQuoteValue(M91,_xll.ohTrigger(RecalcTrigger,YieldCurve))</f>
        <v>#VALUE!</v>
      </c>
      <c r="Q91" s="177" t="e">
        <f t="shared" si="8"/>
        <v>#VALUE!</v>
      </c>
      <c r="R91" s="177">
        <v>2</v>
      </c>
      <c r="S91" s="178" t="e">
        <f>_xll.qlSwapIndex(,FamilyName,Q91,$R91,Currency,Calendar,"1Y","Modified Following",BondBasisDayCounter,IborIndex,Discounting,,_xll.ohTrigger(Trigger,RecalcTrigger))</f>
        <v>#VALUE!</v>
      </c>
      <c r="T91" s="179" t="e">
        <f>_xll.qlIndexFixing(S91,$Y$19,TRUE,Trigger)</f>
        <v>#VALUE!</v>
      </c>
      <c r="U91" s="194" t="e">
        <f t="shared" si="9"/>
        <v>#VALUE!</v>
      </c>
      <c r="X91" s="170" t="str">
        <f t="shared" si="10"/>
        <v>1D</v>
      </c>
      <c r="Y91" s="168">
        <f>_xll.qlCalendarAdvance(LiborCalendar,Y90,X91,"f",FALSE)</f>
        <v>42240</v>
      </c>
      <c r="Z91" s="171">
        <f>_xll.qlInterestRateIndexValueDate(IborIndex,Y91,Trigger)</f>
        <v>42242</v>
      </c>
      <c r="AA91" s="172">
        <v>-8.5211925856573077E-3</v>
      </c>
      <c r="AB91" s="169">
        <v>-8.5072572719990802E-3</v>
      </c>
    </row>
    <row r="92" spans="13:28" x14ac:dyDescent="0.2">
      <c r="M92" s="170" t="e">
        <v>#N/A</v>
      </c>
      <c r="N92" s="170" t="e">
        <f>_xll.qlRateHelperQuoteName(M92)</f>
        <v>#VALUE!</v>
      </c>
      <c r="O92" s="168" t="e">
        <f>_xll.qlRateHelperLatestDate(M92,Trigger)</f>
        <v>#VALUE!</v>
      </c>
      <c r="P92" s="176" t="e">
        <f>_xll.qlRateHelperQuoteValue(M92,_xll.ohTrigger(RecalcTrigger,YieldCurve))</f>
        <v>#VALUE!</v>
      </c>
      <c r="Q92" s="177" t="e">
        <f t="shared" si="8"/>
        <v>#VALUE!</v>
      </c>
      <c r="R92" s="177">
        <v>2</v>
      </c>
      <c r="S92" s="178" t="e">
        <f>_xll.qlSwapIndex(,FamilyName,Q92,$R92,Currency,Calendar,"1Y","Modified Following",BondBasisDayCounter,IborIndex,Discounting,,_xll.ohTrigger(Trigger,RecalcTrigger))</f>
        <v>#VALUE!</v>
      </c>
      <c r="T92" s="179" t="e">
        <f>_xll.qlIndexFixing(S92,$Y$19,TRUE,Trigger)</f>
        <v>#VALUE!</v>
      </c>
      <c r="U92" s="194" t="e">
        <f t="shared" si="9"/>
        <v>#VALUE!</v>
      </c>
      <c r="X92" s="170" t="str">
        <f t="shared" si="10"/>
        <v>1D</v>
      </c>
      <c r="Y92" s="168">
        <f>_xll.qlCalendarAdvance(LiborCalendar,Y91,X92,"f",FALSE)</f>
        <v>42241</v>
      </c>
      <c r="Z92" s="171">
        <f>_xll.qlInterestRateIndexValueDate(IborIndex,Y92,Trigger)</f>
        <v>42243</v>
      </c>
      <c r="AA92" s="172">
        <v>-8.5194619582224691E-3</v>
      </c>
      <c r="AB92" s="169">
        <v>-8.5295950939912046E-3</v>
      </c>
    </row>
    <row r="93" spans="13:28" x14ac:dyDescent="0.2">
      <c r="M93" s="170" t="e">
        <v>#N/A</v>
      </c>
      <c r="N93" s="170" t="e">
        <f>_xll.qlRateHelperQuoteName(M93)</f>
        <v>#VALUE!</v>
      </c>
      <c r="O93" s="168" t="e">
        <f>_xll.qlRateHelperLatestDate(M93,Trigger)</f>
        <v>#VALUE!</v>
      </c>
      <c r="P93" s="176" t="e">
        <f>_xll.qlRateHelperQuoteValue(M93,_xll.ohTrigger(RecalcTrigger,YieldCurve))</f>
        <v>#VALUE!</v>
      </c>
      <c r="Q93" s="177" t="e">
        <f t="shared" si="8"/>
        <v>#VALUE!</v>
      </c>
      <c r="R93" s="177">
        <v>2</v>
      </c>
      <c r="S93" s="178" t="e">
        <f>_xll.qlSwapIndex(,FamilyName,Q93,$R93,Currency,Calendar,"1Y","Modified Following",BondBasisDayCounter,IborIndex,Discounting,,_xll.ohTrigger(Trigger,RecalcTrigger))</f>
        <v>#VALUE!</v>
      </c>
      <c r="T93" s="179" t="e">
        <f>_xll.qlIndexFixing(S93,$Y$19,TRUE,Trigger)</f>
        <v>#VALUE!</v>
      </c>
      <c r="U93" s="194" t="e">
        <f t="shared" si="9"/>
        <v>#VALUE!</v>
      </c>
      <c r="X93" s="170" t="str">
        <f t="shared" si="10"/>
        <v>1D</v>
      </c>
      <c r="Y93" s="168">
        <f>_xll.qlCalendarAdvance(LiborCalendar,Y92,X93,"f",FALSE)</f>
        <v>42242</v>
      </c>
      <c r="Z93" s="171">
        <f>_xll.qlInterestRateIndexValueDate(IborIndex,Y93,Trigger)</f>
        <v>42244</v>
      </c>
      <c r="AA93" s="172">
        <v>-8.513309101183246E-3</v>
      </c>
      <c r="AB93" s="169">
        <v>-8.5782302398818011E-3</v>
      </c>
    </row>
    <row r="94" spans="13:28" x14ac:dyDescent="0.2">
      <c r="M94" s="170" t="e">
        <v>#N/A</v>
      </c>
      <c r="N94" s="170" t="e">
        <f>_xll.qlRateHelperQuoteName(M94)</f>
        <v>#VALUE!</v>
      </c>
      <c r="O94" s="168" t="e">
        <f>_xll.qlRateHelperLatestDate(M94,Trigger)</f>
        <v>#VALUE!</v>
      </c>
      <c r="P94" s="176" t="e">
        <f>_xll.qlRateHelperQuoteValue(M94,_xll.ohTrigger(RecalcTrigger,YieldCurve))</f>
        <v>#VALUE!</v>
      </c>
      <c r="Q94" s="177" t="e">
        <f t="shared" si="8"/>
        <v>#VALUE!</v>
      </c>
      <c r="R94" s="177">
        <v>2</v>
      </c>
      <c r="S94" s="178" t="e">
        <f>_xll.qlSwapIndex(,FamilyName,Q94,$R94,Currency,Calendar,"1Y","Modified Following",BondBasisDayCounter,IborIndex,Discounting,,_xll.ohTrigger(Trigger,RecalcTrigger))</f>
        <v>#VALUE!</v>
      </c>
      <c r="T94" s="179" t="e">
        <f>_xll.qlIndexFixing(S94,$Y$19,TRUE,Trigger)</f>
        <v>#VALUE!</v>
      </c>
      <c r="U94" s="194" t="e">
        <f t="shared" si="9"/>
        <v>#VALUE!</v>
      </c>
      <c r="X94" s="170" t="str">
        <f t="shared" si="10"/>
        <v>1D</v>
      </c>
      <c r="Y94" s="168">
        <f>_xll.qlCalendarAdvance(LiborCalendar,Y93,X94,"f",FALSE)</f>
        <v>42243</v>
      </c>
      <c r="Z94" s="171">
        <f>_xll.qlInterestRateIndexValueDate(IborIndex,Y94,Trigger)</f>
        <v>42248</v>
      </c>
      <c r="AA94" s="172">
        <v>-8.5091215451560277E-3</v>
      </c>
      <c r="AB94" s="169">
        <v>-8.6205758537571953E-3</v>
      </c>
    </row>
    <row r="95" spans="13:28" x14ac:dyDescent="0.2">
      <c r="M95" s="170" t="e">
        <v>#N/A</v>
      </c>
      <c r="N95" s="170" t="e">
        <f>_xll.qlRateHelperQuoteName(M95)</f>
        <v>#VALUE!</v>
      </c>
      <c r="O95" s="168" t="e">
        <f>_xll.qlRateHelperLatestDate(M95,Trigger)</f>
        <v>#VALUE!</v>
      </c>
      <c r="P95" s="176" t="e">
        <f>_xll.qlRateHelperQuoteValue(M95,_xll.ohTrigger(RecalcTrigger,YieldCurve))</f>
        <v>#VALUE!</v>
      </c>
      <c r="Q95" s="177" t="e">
        <f t="shared" si="8"/>
        <v>#VALUE!</v>
      </c>
      <c r="R95" s="177">
        <v>2</v>
      </c>
      <c r="S95" s="178" t="e">
        <f>_xll.qlSwapIndex(,FamilyName,Q95,$R95,Currency,Calendar,"1Y","Modified Following",BondBasisDayCounter,IborIndex,Discounting,,_xll.ohTrigger(Trigger,RecalcTrigger))</f>
        <v>#VALUE!</v>
      </c>
      <c r="T95" s="179" t="e">
        <f>_xll.qlIndexFixing(S95,$Y$19,TRUE,Trigger)</f>
        <v>#VALUE!</v>
      </c>
      <c r="U95" s="194" t="e">
        <f t="shared" si="9"/>
        <v>#VALUE!</v>
      </c>
      <c r="X95" s="170" t="str">
        <f t="shared" si="10"/>
        <v>1D</v>
      </c>
      <c r="Y95" s="168">
        <f>_xll.qlCalendarAdvance(LiborCalendar,Y94,X95,"f",FALSE)</f>
        <v>42244</v>
      </c>
      <c r="Z95" s="171">
        <f>_xll.qlInterestRateIndexValueDate(IborIndex,Y95,Trigger)</f>
        <v>42249</v>
      </c>
      <c r="AA95" s="172">
        <v>-8.5059793566075528E-3</v>
      </c>
      <c r="AB95" s="169">
        <v>-8.634630337174265E-3</v>
      </c>
    </row>
    <row r="96" spans="13:28" x14ac:dyDescent="0.2">
      <c r="M96" s="170" t="e">
        <v>#N/A</v>
      </c>
      <c r="N96" s="170" t="e">
        <f>_xll.qlRateHelperQuoteName(M96)</f>
        <v>#VALUE!</v>
      </c>
      <c r="O96" s="168" t="e">
        <f>_xll.qlRateHelperLatestDate(M96,Trigger)</f>
        <v>#VALUE!</v>
      </c>
      <c r="P96" s="176" t="e">
        <f>_xll.qlRateHelperQuoteValue(M96,_xll.ohTrigger(RecalcTrigger,YieldCurve))</f>
        <v>#VALUE!</v>
      </c>
      <c r="Q96" s="177" t="e">
        <f t="shared" si="8"/>
        <v>#VALUE!</v>
      </c>
      <c r="R96" s="177">
        <v>2</v>
      </c>
      <c r="S96" s="178" t="e">
        <f>_xll.qlSwapIndex(,FamilyName,Q96,$R96,Currency,Calendar,"1Y","Modified Following",BondBasisDayCounter,IborIndex,Discounting,,_xll.ohTrigger(Trigger,RecalcTrigger))</f>
        <v>#VALUE!</v>
      </c>
      <c r="T96" s="179" t="e">
        <f>_xll.qlIndexFixing(S96,$Y$19,TRUE,Trigger)</f>
        <v>#VALUE!</v>
      </c>
      <c r="U96" s="194" t="e">
        <f t="shared" si="9"/>
        <v>#VALUE!</v>
      </c>
      <c r="X96" s="170" t="str">
        <f t="shared" si="10"/>
        <v>1D</v>
      </c>
      <c r="Y96" s="168">
        <f>_xll.qlCalendarAdvance(LiborCalendar,Y95,X96,"f",FALSE)</f>
        <v>42248</v>
      </c>
      <c r="Z96" s="171">
        <f>_xll.qlInterestRateIndexValueDate(IborIndex,Y96,Trigger)</f>
        <v>42250</v>
      </c>
      <c r="AA96" s="172">
        <v>-8.5026548384171414E-3</v>
      </c>
      <c r="AB96" s="169">
        <v>-8.6473042648416154E-3</v>
      </c>
    </row>
    <row r="97" spans="13:28" x14ac:dyDescent="0.2">
      <c r="M97" s="170" t="e">
        <v>#N/A</v>
      </c>
      <c r="N97" s="170" t="e">
        <f>_xll.qlRateHelperQuoteName(M97)</f>
        <v>#VALUE!</v>
      </c>
      <c r="O97" s="168" t="e">
        <f>_xll.qlRateHelperLatestDate(M97,Trigger)</f>
        <v>#VALUE!</v>
      </c>
      <c r="P97" s="176" t="e">
        <f>_xll.qlRateHelperQuoteValue(M97,_xll.ohTrigger(RecalcTrigger,YieldCurve))</f>
        <v>#VALUE!</v>
      </c>
      <c r="Q97" s="177" t="e">
        <f t="shared" si="8"/>
        <v>#VALUE!</v>
      </c>
      <c r="R97" s="177">
        <v>2</v>
      </c>
      <c r="S97" s="178" t="e">
        <f>_xll.qlSwapIndex(,FamilyName,Q97,$R97,Currency,Calendar,"1Y","Modified Following",BondBasisDayCounter,IborIndex,Discounting,,_xll.ohTrigger(Trigger,RecalcTrigger))</f>
        <v>#VALUE!</v>
      </c>
      <c r="T97" s="179" t="e">
        <f>_xll.qlIndexFixing(S97,$Y$19,TRUE,Trigger)</f>
        <v>#VALUE!</v>
      </c>
      <c r="U97" s="194" t="e">
        <f t="shared" si="9"/>
        <v>#VALUE!</v>
      </c>
      <c r="X97" s="170" t="str">
        <f t="shared" si="10"/>
        <v>1D</v>
      </c>
      <c r="Y97" s="168">
        <f>_xll.qlCalendarAdvance(LiborCalendar,Y96,X97,"f",FALSE)</f>
        <v>42249</v>
      </c>
      <c r="Z97" s="171">
        <f>_xll.qlInterestRateIndexValueDate(IborIndex,Y97,Trigger)</f>
        <v>42251</v>
      </c>
      <c r="AA97" s="172">
        <v>-8.4991637176892523E-3</v>
      </c>
      <c r="AB97" s="169">
        <v>-8.6678415615981663E-3</v>
      </c>
    </row>
    <row r="98" spans="13:28" x14ac:dyDescent="0.2">
      <c r="M98" s="170" t="e">
        <v>#N/A</v>
      </c>
      <c r="N98" s="170" t="e">
        <f>_xll.qlRateHelperQuoteName(M98)</f>
        <v>#VALUE!</v>
      </c>
      <c r="O98" s="168" t="e">
        <f>_xll.qlRateHelperLatestDate(M98,Trigger)</f>
        <v>#VALUE!</v>
      </c>
      <c r="P98" s="176" t="e">
        <f>_xll.qlRateHelperQuoteValue(M98,_xll.ohTrigger(RecalcTrigger,YieldCurve))</f>
        <v>#VALUE!</v>
      </c>
      <c r="Q98" s="177" t="e">
        <f t="shared" si="8"/>
        <v>#VALUE!</v>
      </c>
      <c r="R98" s="177">
        <v>2</v>
      </c>
      <c r="S98" s="178" t="e">
        <f>_xll.qlSwapIndex(,FamilyName,Q98,$R98,Currency,Calendar,"1Y","Modified Following",BondBasisDayCounter,IborIndex,Discounting,,_xll.ohTrigger(Trigger,RecalcTrigger))</f>
        <v>#VALUE!</v>
      </c>
      <c r="T98" s="179" t="e">
        <f>_xll.qlIndexFixing(S98,$Y$19,TRUE,Trigger)</f>
        <v>#VALUE!</v>
      </c>
      <c r="U98" s="194" t="e">
        <f t="shared" si="9"/>
        <v>#VALUE!</v>
      </c>
      <c r="X98" s="170" t="str">
        <f t="shared" si="10"/>
        <v>1D</v>
      </c>
      <c r="Y98" s="168">
        <f>_xll.qlCalendarAdvance(LiborCalendar,Y97,X98,"f",FALSE)</f>
        <v>42250</v>
      </c>
      <c r="Z98" s="171">
        <f>_xll.qlInterestRateIndexValueDate(IborIndex,Y98,Trigger)</f>
        <v>42254</v>
      </c>
      <c r="AA98" s="172">
        <v>-8.4878480118637106E-3</v>
      </c>
      <c r="AB98" s="169">
        <v>-8.6841944207716182E-3</v>
      </c>
    </row>
    <row r="99" spans="13:28" ht="12" thickBot="1" x14ac:dyDescent="0.25">
      <c r="M99" s="183" t="e">
        <v>#N/A</v>
      </c>
      <c r="N99" s="183" t="e">
        <f>_xll.qlRateHelperQuoteName(M99)</f>
        <v>#VALUE!</v>
      </c>
      <c r="O99" s="175" t="e">
        <f>_xll.qlRateHelperLatestDate(M99,Trigger)</f>
        <v>#VALUE!</v>
      </c>
      <c r="P99" s="184" t="e">
        <f>_xll.qlRateHelperQuoteValue(M99,_xll.ohTrigger(RecalcTrigger,YieldCurve))</f>
        <v>#VALUE!</v>
      </c>
      <c r="Q99" s="258" t="e">
        <f t="shared" si="8"/>
        <v>#VALUE!</v>
      </c>
      <c r="R99" s="258">
        <v>2</v>
      </c>
      <c r="S99" s="299" t="e">
        <f>_xll.qlSwapIndex(,FamilyName,Q99,$R99,Currency,Calendar,"1Y","Modified Following",BondBasisDayCounter,IborIndex,Discounting,,_xll.ohTrigger(Trigger,RecalcTrigger))</f>
        <v>#VALUE!</v>
      </c>
      <c r="T99" s="185" t="e">
        <f>_xll.qlIndexFixing(S99,$Y$19,TRUE,Trigger)</f>
        <v>#VALUE!</v>
      </c>
      <c r="U99" s="259" t="e">
        <f t="shared" si="9"/>
        <v>#VALUE!</v>
      </c>
      <c r="X99" s="170" t="str">
        <f t="shared" si="10"/>
        <v>1D</v>
      </c>
      <c r="Y99" s="168">
        <f>_xll.qlCalendarAdvance(LiborCalendar,Y98,X99,"f",FALSE)</f>
        <v>42251</v>
      </c>
      <c r="Z99" s="171">
        <f>_xll.qlInterestRateIndexValueDate(IborIndex,Y99,Trigger)</f>
        <v>42255</v>
      </c>
      <c r="AA99" s="172">
        <v>-8.4838477527915887E-3</v>
      </c>
      <c r="AB99" s="169">
        <v>-8.6899655715688695E-3</v>
      </c>
    </row>
    <row r="100" spans="13:28" x14ac:dyDescent="0.2">
      <c r="N100" s="178"/>
      <c r="T100" s="130"/>
      <c r="U100" s="257"/>
      <c r="X100" s="170" t="str">
        <f t="shared" si="10"/>
        <v>1D</v>
      </c>
      <c r="Y100" s="168">
        <f>_xll.qlCalendarAdvance(LiborCalendar,Y99,X100,"f",FALSE)</f>
        <v>42254</v>
      </c>
      <c r="Z100" s="171">
        <f>_xll.qlInterestRateIndexValueDate(IborIndex,Y100,Trigger)</f>
        <v>42256</v>
      </c>
      <c r="AA100" s="172">
        <v>-8.4797595273209056E-3</v>
      </c>
      <c r="AB100" s="169">
        <v>-8.69435616725589E-3</v>
      </c>
    </row>
    <row r="101" spans="13:28" x14ac:dyDescent="0.2">
      <c r="T101" s="130"/>
      <c r="U101" s="151"/>
      <c r="X101" s="170" t="str">
        <f t="shared" si="10"/>
        <v>1D</v>
      </c>
      <c r="Y101" s="168">
        <f>_xll.qlCalendarAdvance(LiborCalendar,Y100,X101,"f",FALSE)</f>
        <v>42255</v>
      </c>
      <c r="Z101" s="171">
        <f>_xll.qlInterestRateIndexValueDate(IborIndex,Y101,Trigger)</f>
        <v>42257</v>
      </c>
      <c r="AA101" s="172">
        <v>-8.4755990628398465E-3</v>
      </c>
      <c r="AB101" s="169">
        <v>-8.6973662078326797E-3</v>
      </c>
    </row>
    <row r="102" spans="13:28" x14ac:dyDescent="0.2">
      <c r="T102" s="130"/>
      <c r="U102" s="151"/>
      <c r="X102" s="170" t="str">
        <f t="shared" si="10"/>
        <v>1D</v>
      </c>
      <c r="Y102" s="168">
        <f>_xll.qlCalendarAdvance(LiborCalendar,Y101,X102,"f",FALSE)</f>
        <v>42256</v>
      </c>
      <c r="Z102" s="171">
        <f>_xll.qlInterestRateIndexValueDate(IborIndex,Y102,Trigger)</f>
        <v>42258</v>
      </c>
      <c r="AA102" s="172">
        <v>-8.4713820867976398E-3</v>
      </c>
      <c r="AB102" s="169">
        <v>-8.6985742494061213E-3</v>
      </c>
    </row>
    <row r="103" spans="13:28" x14ac:dyDescent="0.2">
      <c r="T103" s="130"/>
      <c r="U103" s="151"/>
      <c r="X103" s="170" t="str">
        <f t="shared" si="10"/>
        <v>1D</v>
      </c>
      <c r="Y103" s="168">
        <f>_xll.qlCalendarAdvance(LiborCalendar,Y102,X103,"f",FALSE)</f>
        <v>42257</v>
      </c>
      <c r="Z103" s="171">
        <f>_xll.qlInterestRateIndexValueDate(IborIndex,Y103,Trigger)</f>
        <v>42261</v>
      </c>
      <c r="AA103" s="172">
        <v>-8.458549364750885E-3</v>
      </c>
      <c r="AB103" s="169">
        <v>-8.6956008200766988E-3</v>
      </c>
    </row>
    <row r="104" spans="13:28" x14ac:dyDescent="0.2">
      <c r="T104" s="130"/>
      <c r="U104" s="151"/>
      <c r="X104" s="170" t="str">
        <f t="shared" si="10"/>
        <v>1D</v>
      </c>
      <c r="Y104" s="168">
        <f>_xll.qlCalendarAdvance(LiborCalendar,Y103,X104,"f",FALSE)</f>
        <v>42258</v>
      </c>
      <c r="Z104" s="171">
        <f>_xll.qlInterestRateIndexValueDate(IborIndex,Y104,Trigger)</f>
        <v>42262</v>
      </c>
      <c r="AA104" s="172">
        <v>-8.4542636182512194E-3</v>
      </c>
      <c r="AB104" s="169">
        <v>-8.6917080854620465E-3</v>
      </c>
    </row>
    <row r="105" spans="13:28" x14ac:dyDescent="0.2">
      <c r="T105" s="130"/>
      <c r="U105" s="151"/>
      <c r="X105" s="170" t="str">
        <f t="shared" si="10"/>
        <v>1D</v>
      </c>
      <c r="Y105" s="168">
        <f>_xll.qlCalendarAdvance(LiborCalendar,Y104,X105,"f",FALSE)</f>
        <v>42261</v>
      </c>
      <c r="Z105" s="171">
        <f>_xll.qlInterestRateIndexValueDate(IborIndex,Y105,Trigger)</f>
        <v>42263</v>
      </c>
      <c r="AA105" s="172">
        <v>-8.4499999984239162E-3</v>
      </c>
      <c r="AB105" s="169">
        <v>-8.6864347958570676E-3</v>
      </c>
    </row>
    <row r="106" spans="13:28" x14ac:dyDescent="0.2">
      <c r="T106" s="130"/>
      <c r="U106" s="151"/>
      <c r="X106" s="170" t="str">
        <f t="shared" si="10"/>
        <v>1D</v>
      </c>
      <c r="Y106" s="168">
        <f>_xll.qlCalendarAdvance(LiborCalendar,Y105,X106,"f",FALSE)</f>
        <v>42262</v>
      </c>
      <c r="Z106" s="171">
        <f>_xll.qlInterestRateIndexValueDate(IborIndex,Y106,Trigger)</f>
        <v>42264</v>
      </c>
      <c r="AA106" s="172">
        <v>-8.4457740544401552E-3</v>
      </c>
      <c r="AB106" s="169">
        <v>-8.6800199936476474E-3</v>
      </c>
    </row>
    <row r="107" spans="13:28" x14ac:dyDescent="0.2">
      <c r="T107" s="130"/>
      <c r="U107" s="151"/>
      <c r="X107" s="170" t="str">
        <f t="shared" si="10"/>
        <v>1D</v>
      </c>
      <c r="Y107" s="168">
        <f>_xll.qlCalendarAdvance(LiborCalendar,Y106,X107,"f",FALSE)</f>
        <v>42263</v>
      </c>
      <c r="Z107" s="171">
        <f>_xll.qlInterestRateIndexValueDate(IborIndex,Y107,Trigger)</f>
        <v>42265</v>
      </c>
      <c r="AA107" s="172">
        <v>-8.4415979995272929E-3</v>
      </c>
      <c r="AB107" s="169">
        <v>-8.666682653415414E-3</v>
      </c>
    </row>
    <row r="108" spans="13:28" x14ac:dyDescent="0.2">
      <c r="T108" s="130"/>
      <c r="U108" s="151"/>
      <c r="X108" s="170" t="str">
        <f t="shared" si="10"/>
        <v>1D</v>
      </c>
      <c r="Y108" s="168">
        <f>_xll.qlCalendarAdvance(LiborCalendar,Y107,X108,"f",FALSE)</f>
        <v>42264</v>
      </c>
      <c r="Z108" s="171">
        <f>_xll.qlInterestRateIndexValueDate(IborIndex,Y108,Trigger)</f>
        <v>42268</v>
      </c>
      <c r="AA108" s="172">
        <v>-8.4293741779086391E-3</v>
      </c>
      <c r="AB108" s="169">
        <v>-8.6539416159103766E-3</v>
      </c>
    </row>
    <row r="109" spans="13:28" x14ac:dyDescent="0.2">
      <c r="T109" s="130"/>
      <c r="U109" s="151"/>
      <c r="X109" s="170" t="str">
        <f t="shared" si="10"/>
        <v>1D</v>
      </c>
      <c r="Y109" s="168">
        <f>_xll.qlCalendarAdvance(LiborCalendar,Y108,X109,"f",FALSE)</f>
        <v>42265</v>
      </c>
      <c r="Z109" s="171">
        <f>_xll.qlInterestRateIndexValueDate(IborIndex,Y109,Trigger)</f>
        <v>42269</v>
      </c>
      <c r="AA109" s="172">
        <v>-8.4253974453543934E-3</v>
      </c>
      <c r="AB109" s="169">
        <v>-8.647556271816903E-3</v>
      </c>
    </row>
    <row r="110" spans="13:28" x14ac:dyDescent="0.2">
      <c r="T110" s="130"/>
      <c r="U110" s="151"/>
      <c r="X110" s="170" t="str">
        <f t="shared" si="10"/>
        <v>1D</v>
      </c>
      <c r="Y110" s="168">
        <f>_xll.qlCalendarAdvance(LiborCalendar,Y109,X110,"f",FALSE)</f>
        <v>42268</v>
      </c>
      <c r="Z110" s="171">
        <f>_xll.qlInterestRateIndexValueDate(IborIndex,Y110,Trigger)</f>
        <v>42270</v>
      </c>
      <c r="AA110" s="172">
        <v>-8.4214678635836458E-3</v>
      </c>
      <c r="AB110" s="169">
        <v>-8.6412246278477767E-3</v>
      </c>
    </row>
    <row r="111" spans="13:28" x14ac:dyDescent="0.2">
      <c r="T111" s="130"/>
      <c r="U111" s="151"/>
      <c r="X111" s="170" t="str">
        <f t="shared" si="10"/>
        <v>1D</v>
      </c>
      <c r="Y111" s="168">
        <f>_xll.qlCalendarAdvance(LiborCalendar,Y110,X111,"f",FALSE)</f>
        <v>42269</v>
      </c>
      <c r="Z111" s="171">
        <f>_xll.qlInterestRateIndexValueDate(IborIndex,Y111,Trigger)</f>
        <v>42271</v>
      </c>
      <c r="AA111" s="172">
        <v>-8.4175843606617666E-3</v>
      </c>
      <c r="AB111" s="169">
        <v>-8.6349466841229017E-3</v>
      </c>
    </row>
    <row r="112" spans="13:28" x14ac:dyDescent="0.2">
      <c r="T112" s="130"/>
      <c r="U112" s="151"/>
      <c r="X112" s="170" t="str">
        <f t="shared" si="10"/>
        <v>1D</v>
      </c>
      <c r="Y112" s="168">
        <f>_xll.qlCalendarAdvance(LiborCalendar,Y111,X112,"f",FALSE)</f>
        <v>42270</v>
      </c>
      <c r="Z112" s="171">
        <f>_xll.qlInterestRateIndexValueDate(IborIndex,Y112,Trigger)</f>
        <v>42272</v>
      </c>
      <c r="AA112" s="172">
        <v>-8.4073296207666636E-3</v>
      </c>
      <c r="AB112" s="169">
        <v>-8.622363274581879E-3</v>
      </c>
    </row>
    <row r="113" spans="20:28" x14ac:dyDescent="0.2">
      <c r="T113" s="130"/>
      <c r="U113" s="151"/>
      <c r="X113" s="170" t="str">
        <f t="shared" si="10"/>
        <v>1D</v>
      </c>
      <c r="Y113" s="168">
        <f>_xll.qlCalendarAdvance(LiborCalendar,Y112,X113,"f",FALSE)</f>
        <v>42271</v>
      </c>
      <c r="Z113" s="171">
        <f>_xll.qlInterestRateIndexValueDate(IborIndex,Y113,Trigger)</f>
        <v>42275</v>
      </c>
      <c r="AA113" s="172">
        <v>-8.4009212854212877E-3</v>
      </c>
      <c r="AB113" s="169">
        <v>-8.6103719106667143E-3</v>
      </c>
    </row>
    <row r="114" spans="20:28" x14ac:dyDescent="0.2">
      <c r="T114" s="130"/>
      <c r="U114" s="151"/>
      <c r="X114" s="170" t="str">
        <f t="shared" si="10"/>
        <v>1D</v>
      </c>
      <c r="Y114" s="168">
        <f>_xll.qlCalendarAdvance(LiborCalendar,Y113,X114,"f",FALSE)</f>
        <v>42272</v>
      </c>
      <c r="Z114" s="171">
        <f>_xll.qlInterestRateIndexValueDate(IborIndex,Y114,Trigger)</f>
        <v>42276</v>
      </c>
      <c r="AA114" s="172">
        <v>-8.3988205106657957E-3</v>
      </c>
      <c r="AB114" s="169">
        <v>-8.6043624676435115E-3</v>
      </c>
    </row>
    <row r="115" spans="20:28" x14ac:dyDescent="0.2">
      <c r="T115" s="130"/>
      <c r="U115" s="151"/>
      <c r="X115" s="170" t="str">
        <f t="shared" si="10"/>
        <v>1D</v>
      </c>
      <c r="Y115" s="168">
        <f>_xll.qlCalendarAdvance(LiborCalendar,Y114,X115,"f",FALSE)</f>
        <v>42275</v>
      </c>
      <c r="Z115" s="171">
        <f>_xll.qlInterestRateIndexValueDate(IborIndex,Y115,Trigger)</f>
        <v>42277</v>
      </c>
      <c r="AA115" s="172">
        <v>-8.3936496531106485E-3</v>
      </c>
      <c r="AB115" s="169">
        <v>-8.5984067248245921E-3</v>
      </c>
    </row>
    <row r="116" spans="20:28" x14ac:dyDescent="0.2">
      <c r="T116" s="130"/>
      <c r="U116" s="151"/>
      <c r="X116" s="170" t="str">
        <f t="shared" si="10"/>
        <v>1D</v>
      </c>
      <c r="Y116" s="168">
        <f>_xll.qlCalendarAdvance(LiborCalendar,Y115,X116,"f",FALSE)</f>
        <v>42276</v>
      </c>
      <c r="Z116" s="171">
        <f>_xll.qlInterestRateIndexValueDate(IborIndex,Y116,Trigger)</f>
        <v>42278</v>
      </c>
      <c r="AA116" s="172">
        <v>-8.3855036716247514E-3</v>
      </c>
      <c r="AB116" s="169">
        <v>-8.592504682249924E-3</v>
      </c>
    </row>
    <row r="117" spans="20:28" x14ac:dyDescent="0.2">
      <c r="T117" s="130"/>
      <c r="U117" s="151"/>
      <c r="X117" s="170" t="str">
        <f t="shared" si="10"/>
        <v>1D</v>
      </c>
      <c r="Y117" s="168">
        <f>_xll.qlCalendarAdvance(LiborCalendar,Y116,X117,"f",FALSE)</f>
        <v>42277</v>
      </c>
      <c r="Z117" s="171">
        <f>_xll.qlInterestRateIndexValueDate(IborIndex,Y117,Trigger)</f>
        <v>42279</v>
      </c>
      <c r="AA117" s="172">
        <v>-8.3835016312056379E-3</v>
      </c>
      <c r="AB117" s="169">
        <v>-8.5806750673489418E-3</v>
      </c>
    </row>
    <row r="118" spans="20:28" x14ac:dyDescent="0.2">
      <c r="T118" s="130"/>
      <c r="U118" s="151"/>
      <c r="X118" s="170" t="str">
        <f t="shared" si="10"/>
        <v>1D</v>
      </c>
      <c r="Y118" s="168">
        <f>_xll.qlCalendarAdvance(LiborCalendar,Y117,X118,"f",FALSE)</f>
        <v>42278</v>
      </c>
      <c r="Z118" s="171">
        <f>_xll.qlInterestRateIndexValueDate(IborIndex,Y118,Trigger)</f>
        <v>42282</v>
      </c>
      <c r="AA118" s="172">
        <v>-8.3761113641864591E-3</v>
      </c>
      <c r="AB118" s="169">
        <v>-8.5694335135944044E-3</v>
      </c>
    </row>
    <row r="119" spans="20:28" x14ac:dyDescent="0.2">
      <c r="T119" s="130"/>
      <c r="U119" s="151"/>
      <c r="X119" s="170" t="str">
        <f t="shared" si="10"/>
        <v>1D</v>
      </c>
      <c r="Y119" s="168">
        <f>_xll.qlCalendarAdvance(LiborCalendar,Y118,X119,"f",FALSE)</f>
        <v>42279</v>
      </c>
      <c r="Z119" s="171">
        <f>_xll.qlInterestRateIndexValueDate(IborIndex,Y119,Trigger)</f>
        <v>42283</v>
      </c>
      <c r="AA119" s="172">
        <v>-8.3727050739457187E-3</v>
      </c>
      <c r="AB119" s="169">
        <v>-8.5637999718413127E-3</v>
      </c>
    </row>
    <row r="120" spans="20:28" x14ac:dyDescent="0.2">
      <c r="T120" s="130"/>
      <c r="U120" s="151"/>
      <c r="X120" s="170" t="str">
        <f t="shared" si="10"/>
        <v>1D</v>
      </c>
      <c r="Y120" s="168">
        <f>_xll.qlCalendarAdvance(LiborCalendar,Y119,X120,"f",FALSE)</f>
        <v>42282</v>
      </c>
      <c r="Z120" s="171">
        <f>_xll.qlInterestRateIndexValueDate(IborIndex,Y120,Trigger)</f>
        <v>42284</v>
      </c>
      <c r="AA120" s="172">
        <v>-8.3693300988037546E-3</v>
      </c>
      <c r="AB120" s="169">
        <v>-8.5582201303724403E-3</v>
      </c>
    </row>
    <row r="121" spans="20:28" x14ac:dyDescent="0.2">
      <c r="T121" s="130"/>
      <c r="U121" s="151"/>
      <c r="X121" s="170" t="str">
        <f t="shared" si="10"/>
        <v>1D</v>
      </c>
      <c r="Y121" s="168">
        <f>_xll.qlCalendarAdvance(LiborCalendar,Y120,X121,"f",FALSE)</f>
        <v>42283</v>
      </c>
      <c r="Z121" s="171">
        <f>_xll.qlInterestRateIndexValueDate(IborIndex,Y121,Trigger)</f>
        <v>42285</v>
      </c>
      <c r="AA121" s="172">
        <v>-8.3659853784283072E-3</v>
      </c>
      <c r="AB121" s="169">
        <v>-8.5526939890279152E-3</v>
      </c>
    </row>
    <row r="122" spans="20:28" x14ac:dyDescent="0.2">
      <c r="T122" s="130"/>
      <c r="U122" s="151"/>
      <c r="X122" s="170" t="str">
        <f t="shared" si="10"/>
        <v>1D</v>
      </c>
      <c r="Y122" s="168">
        <f>_xll.qlCalendarAdvance(LiborCalendar,Y121,X122,"f",FALSE)</f>
        <v>42284</v>
      </c>
      <c r="Z122" s="171">
        <f>_xll.qlInterestRateIndexValueDate(IborIndex,Y122,Trigger)</f>
        <v>42286</v>
      </c>
      <c r="AA122" s="172">
        <v>-8.3597400668499345E-3</v>
      </c>
      <c r="AB122" s="169">
        <v>-8.5416180344743964E-3</v>
      </c>
    </row>
    <row r="123" spans="20:28" x14ac:dyDescent="0.2">
      <c r="T123" s="130"/>
      <c r="U123" s="151"/>
      <c r="X123" s="170" t="str">
        <f t="shared" si="10"/>
        <v>1D</v>
      </c>
      <c r="Y123" s="168">
        <f>_xll.qlCalendarAdvance(LiborCalendar,Y122,X123,"f",FALSE)</f>
        <v>42285</v>
      </c>
      <c r="Z123" s="171">
        <f>_xll.qlInterestRateIndexValueDate(IborIndex,Y123,Trigger)</f>
        <v>42289</v>
      </c>
      <c r="AA123" s="172">
        <v>-8.3528878378453415E-3</v>
      </c>
      <c r="AB123" s="169">
        <v>-8.5311264256526798E-3</v>
      </c>
    </row>
    <row r="124" spans="20:28" x14ac:dyDescent="0.2">
      <c r="T124" s="130"/>
      <c r="U124" s="151"/>
      <c r="X124" s="170" t="str">
        <f t="shared" si="10"/>
        <v>1D</v>
      </c>
      <c r="Y124" s="168">
        <f>_xll.qlCalendarAdvance(LiborCalendar,Y123,X124,"f",FALSE)</f>
        <v>42286</v>
      </c>
      <c r="Z124" s="171">
        <f>_xll.qlInterestRateIndexValueDate(IborIndex,Y124,Trigger)</f>
        <v>42290</v>
      </c>
      <c r="AA124" s="172">
        <v>-8.3496784862017708E-3</v>
      </c>
      <c r="AB124" s="169">
        <v>-8.5258687853295712E-3</v>
      </c>
    </row>
    <row r="125" spans="20:28" x14ac:dyDescent="0.2">
      <c r="T125" s="130"/>
      <c r="U125" s="151"/>
      <c r="X125" s="170" t="str">
        <f t="shared" si="10"/>
        <v>1D</v>
      </c>
      <c r="Y125" s="168">
        <f>_xll.qlCalendarAdvance(LiborCalendar,Y124,X125,"f",FALSE)</f>
        <v>42289</v>
      </c>
      <c r="Z125" s="171">
        <f>_xll.qlInterestRateIndexValueDate(IborIndex,Y125,Trigger)</f>
        <v>42291</v>
      </c>
      <c r="AA125" s="172">
        <v>-8.3464930272551512E-3</v>
      </c>
      <c r="AB125" s="169">
        <v>-8.5206648451707778E-3</v>
      </c>
    </row>
    <row r="126" spans="20:28" x14ac:dyDescent="0.2">
      <c r="T126" s="130"/>
      <c r="U126" s="151"/>
      <c r="X126" s="170" t="str">
        <f t="shared" si="10"/>
        <v>1D</v>
      </c>
      <c r="Y126" s="168">
        <f>_xll.qlCalendarAdvance(LiborCalendar,Y125,X126,"f",FALSE)</f>
        <v>42290</v>
      </c>
      <c r="Z126" s="171">
        <f>_xll.qlInterestRateIndexValueDate(IborIndex,Y126,Trigger)</f>
        <v>42292</v>
      </c>
      <c r="AA126" s="172">
        <v>-8.3433304006454226E-3</v>
      </c>
      <c r="AB126" s="169">
        <v>-8.5155146052162678E-3</v>
      </c>
    </row>
    <row r="127" spans="20:28" x14ac:dyDescent="0.2">
      <c r="T127" s="130"/>
      <c r="U127" s="151"/>
      <c r="X127" s="170" t="str">
        <f t="shared" si="10"/>
        <v>1D</v>
      </c>
      <c r="Y127" s="168">
        <f>_xll.qlCalendarAdvance(LiborCalendar,Y126,X127,"f",FALSE)</f>
        <v>42291</v>
      </c>
      <c r="Z127" s="171">
        <f>_xll.qlInterestRateIndexValueDate(IborIndex,Y127,Trigger)</f>
        <v>42293</v>
      </c>
      <c r="AA127" s="172">
        <v>-8.3372818338324044E-3</v>
      </c>
      <c r="AB127" s="169">
        <v>-8.5051921785428419E-3</v>
      </c>
    </row>
    <row r="128" spans="20:28" x14ac:dyDescent="0.2">
      <c r="T128" s="130"/>
      <c r="U128" s="151"/>
      <c r="X128" s="170" t="str">
        <f t="shared" si="10"/>
        <v>1D</v>
      </c>
      <c r="Y128" s="168">
        <f>_xll.qlCalendarAdvance(LiborCalendar,Y127,X128,"f",FALSE)</f>
        <v>42292</v>
      </c>
      <c r="Z128" s="171">
        <f>_xll.qlInterestRateIndexValueDate(IborIndex,Y128,Trigger)</f>
        <v>42296</v>
      </c>
      <c r="AA128" s="172">
        <v>-8.3308870102569033E-3</v>
      </c>
      <c r="AB128" s="169">
        <v>-8.4954506476808689E-3</v>
      </c>
    </row>
    <row r="129" spans="20:28" x14ac:dyDescent="0.2">
      <c r="T129" s="130"/>
      <c r="U129" s="151"/>
      <c r="X129" s="170" t="str">
        <f t="shared" si="10"/>
        <v>1D</v>
      </c>
      <c r="Y129" s="168">
        <f>_xll.qlCalendarAdvance(LiborCalendar,Y128,X129,"f",FALSE)</f>
        <v>42293</v>
      </c>
      <c r="Z129" s="171">
        <f>_xll.qlInterestRateIndexValueDate(IborIndex,Y129,Trigger)</f>
        <v>42297</v>
      </c>
      <c r="AA129" s="172">
        <v>-8.3278226398095113E-3</v>
      </c>
      <c r="AB129" s="169">
        <v>-8.4905689087477754E-3</v>
      </c>
    </row>
    <row r="130" spans="20:28" x14ac:dyDescent="0.2">
      <c r="T130" s="130"/>
      <c r="U130" s="151"/>
      <c r="X130" s="170" t="str">
        <f t="shared" si="10"/>
        <v>1D</v>
      </c>
      <c r="Y130" s="168">
        <f>_xll.qlCalendarAdvance(LiborCalendar,Y129,X130,"f",FALSE)</f>
        <v>42296</v>
      </c>
      <c r="Z130" s="171">
        <f>_xll.qlInterestRateIndexValueDate(IborIndex,Y130,Trigger)</f>
        <v>42298</v>
      </c>
      <c r="AA130" s="172">
        <v>-8.3247747394647933E-3</v>
      </c>
      <c r="AB130" s="169">
        <v>-8.4857408702188053E-3</v>
      </c>
    </row>
    <row r="131" spans="20:28" x14ac:dyDescent="0.2">
      <c r="T131" s="130"/>
      <c r="U131" s="151"/>
      <c r="X131" s="170" t="str">
        <f t="shared" si="10"/>
        <v>1D</v>
      </c>
      <c r="Y131" s="168">
        <f>_xll.qlCalendarAdvance(LiborCalendar,Y130,X131,"f",FALSE)</f>
        <v>42297</v>
      </c>
      <c r="Z131" s="171">
        <f>_xll.qlInterestRateIndexValueDate(IborIndex,Y131,Trigger)</f>
        <v>42299</v>
      </c>
      <c r="AA131" s="172">
        <v>-8.3217422488374888E-3</v>
      </c>
      <c r="AB131" s="169">
        <v>-8.4809665317742144E-3</v>
      </c>
    </row>
    <row r="132" spans="20:28" x14ac:dyDescent="0.2">
      <c r="T132" s="130"/>
      <c r="U132" s="151"/>
      <c r="X132" s="170" t="str">
        <f t="shared" si="10"/>
        <v>1D</v>
      </c>
      <c r="Y132" s="168">
        <f>_xll.qlCalendarAdvance(LiborCalendar,Y131,X132,"f",FALSE)</f>
        <v>42298</v>
      </c>
      <c r="Z132" s="171">
        <f>_xll.qlInterestRateIndexValueDate(IborIndex,Y132,Trigger)</f>
        <v>42300</v>
      </c>
      <c r="AA132" s="172">
        <v>-8.3157709846075657E-3</v>
      </c>
      <c r="AB132" s="169">
        <v>-8.4713975019123922E-3</v>
      </c>
    </row>
    <row r="133" spans="20:28" x14ac:dyDescent="0.2">
      <c r="T133" s="130"/>
      <c r="U133" s="151"/>
      <c r="X133" s="170" t="str">
        <f t="shared" si="10"/>
        <v>1D</v>
      </c>
      <c r="Y133" s="168">
        <f>_xll.qlCalendarAdvance(LiborCalendar,Y132,X133,"f",FALSE)</f>
        <v>42299</v>
      </c>
      <c r="Z133" s="171">
        <f>_xll.qlInterestRateIndexValueDate(IborIndex,Y133,Trigger)</f>
        <v>42303</v>
      </c>
      <c r="AA133" s="172">
        <v>-8.3097451756751917E-3</v>
      </c>
      <c r="AB133" s="169">
        <v>-8.4624061804383643E-3</v>
      </c>
    </row>
    <row r="134" spans="20:28" x14ac:dyDescent="0.2">
      <c r="T134" s="130"/>
      <c r="U134" s="151"/>
      <c r="X134" s="170" t="str">
        <f t="shared" si="10"/>
        <v>1D</v>
      </c>
      <c r="Y134" s="168">
        <f>_xll.qlCalendarAdvance(LiborCalendar,Y133,X134,"f",FALSE)</f>
        <v>42300</v>
      </c>
      <c r="Z134" s="171">
        <f>_xll.qlInterestRateIndexValueDate(IborIndex,Y134,Trigger)</f>
        <v>42304</v>
      </c>
      <c r="AA134" s="172">
        <v>-8.3067738277361903E-3</v>
      </c>
      <c r="AB134" s="169">
        <v>-8.4579003432549982E-3</v>
      </c>
    </row>
    <row r="135" spans="20:28" x14ac:dyDescent="0.2">
      <c r="T135" s="130"/>
      <c r="U135" s="151"/>
      <c r="X135" s="170" t="str">
        <f t="shared" si="10"/>
        <v>1D</v>
      </c>
      <c r="Y135" s="168">
        <f>_xll.qlCalendarAdvance(LiborCalendar,Y134,X135,"f",FALSE)</f>
        <v>42303</v>
      </c>
      <c r="Z135" s="171">
        <f>_xll.qlInterestRateIndexValueDate(IborIndex,Y135,Trigger)</f>
        <v>42305</v>
      </c>
      <c r="AA135" s="172">
        <v>-8.3038115271313762E-3</v>
      </c>
      <c r="AB135" s="169">
        <v>-8.4534482061560112E-3</v>
      </c>
    </row>
    <row r="136" spans="20:28" x14ac:dyDescent="0.2">
      <c r="T136" s="130"/>
      <c r="U136" s="151"/>
      <c r="X136" s="170" t="str">
        <f t="shared" si="10"/>
        <v>1D</v>
      </c>
      <c r="Y136" s="168">
        <f>_xll.qlCalendarAdvance(LiborCalendar,Y135,X136,"f",FALSE)</f>
        <v>42304</v>
      </c>
      <c r="Z136" s="171">
        <f>_xll.qlInterestRateIndexValueDate(IborIndex,Y136,Trigger)</f>
        <v>42306</v>
      </c>
      <c r="AA136" s="172">
        <v>-8.3008572134537703E-3</v>
      </c>
      <c r="AB136" s="169">
        <v>-8.4490497694211797E-3</v>
      </c>
    </row>
    <row r="137" spans="20:28" x14ac:dyDescent="0.2">
      <c r="T137" s="130"/>
      <c r="U137" s="151"/>
      <c r="X137" s="170" t="str">
        <f t="shared" si="10"/>
        <v>1D</v>
      </c>
      <c r="Y137" s="168">
        <f>_xll.qlCalendarAdvance(LiborCalendar,Y136,X137,"f",FALSE)</f>
        <v>42305</v>
      </c>
      <c r="Z137" s="171">
        <f>_xll.qlInterestRateIndexValueDate(IborIndex,Y137,Trigger)</f>
        <v>42307</v>
      </c>
      <c r="AA137" s="172">
        <v>-8.2994235078338204E-3</v>
      </c>
      <c r="AB137" s="169">
        <v>-8.440234006807934E-3</v>
      </c>
    </row>
    <row r="138" spans="20:28" x14ac:dyDescent="0.2">
      <c r="T138" s="130"/>
      <c r="U138" s="151"/>
      <c r="X138" s="170" t="str">
        <f t="shared" si="10"/>
        <v>1D</v>
      </c>
      <c r="Y138" s="168">
        <f>_xll.qlCalendarAdvance(LiborCalendar,Y137,X138,"f",FALSE)</f>
        <v>42306</v>
      </c>
      <c r="Z138" s="171">
        <f>_xll.qlInterestRateIndexValueDate(IborIndex,Y138,Trigger)</f>
        <v>42310</v>
      </c>
      <c r="AA138" s="172">
        <v>-8.2890986197137681E-3</v>
      </c>
      <c r="AB138" s="169">
        <v>-8.4319930246845587E-3</v>
      </c>
    </row>
    <row r="139" spans="20:28" x14ac:dyDescent="0.2">
      <c r="T139" s="130"/>
      <c r="U139" s="151"/>
      <c r="X139" s="170" t="str">
        <f t="shared" si="10"/>
        <v>1D</v>
      </c>
      <c r="Y139" s="168">
        <f>_xll.qlCalendarAdvance(LiborCalendar,Y138,X139,"f",FALSE)</f>
        <v>42307</v>
      </c>
      <c r="Z139" s="171">
        <f>_xll.qlInterestRateIndexValueDate(IborIndex,Y139,Trigger)</f>
        <v>42311</v>
      </c>
      <c r="AA139" s="172">
        <v>-8.2861683344206596E-3</v>
      </c>
      <c r="AB139" s="169">
        <v>-8.4278630890910478E-3</v>
      </c>
    </row>
    <row r="140" spans="20:28" x14ac:dyDescent="0.2">
      <c r="T140" s="130"/>
      <c r="U140" s="151"/>
      <c r="X140" s="170" t="str">
        <f t="shared" si="10"/>
        <v>1D</v>
      </c>
      <c r="Y140" s="168">
        <f>_xll.qlCalendarAdvance(LiborCalendar,Y139,X140,"f",FALSE)</f>
        <v>42310</v>
      </c>
      <c r="Z140" s="171">
        <f>_xll.qlInterestRateIndexValueDate(IborIndex,Y140,Trigger)</f>
        <v>42312</v>
      </c>
      <c r="AA140" s="172">
        <v>-8.2832396735333796E-3</v>
      </c>
      <c r="AB140" s="169">
        <v>-8.4237868538217242E-3</v>
      </c>
    </row>
    <row r="141" spans="20:28" x14ac:dyDescent="0.2">
      <c r="T141" s="130"/>
      <c r="U141" s="151"/>
      <c r="X141" s="170" t="str">
        <f t="shared" si="10"/>
        <v>1D</v>
      </c>
      <c r="Y141" s="168">
        <f>_xll.qlCalendarAdvance(LiborCalendar,Y140,X141,"f",FALSE)</f>
        <v>42311</v>
      </c>
      <c r="Z141" s="171">
        <f>_xll.qlInterestRateIndexValueDate(IborIndex,Y141,Trigger)</f>
        <v>42313</v>
      </c>
      <c r="AA141" s="172">
        <v>-8.2803115766210533E-3</v>
      </c>
      <c r="AB141" s="169">
        <v>-8.4197643187167159E-3</v>
      </c>
    </row>
    <row r="142" spans="20:28" x14ac:dyDescent="0.2">
      <c r="T142" s="130"/>
      <c r="U142" s="151"/>
      <c r="X142" s="170" t="str">
        <f t="shared" si="10"/>
        <v>1D</v>
      </c>
      <c r="Y142" s="168">
        <f>_xll.qlCalendarAdvance(LiborCalendar,Y141,X142,"f",FALSE)</f>
        <v>42312</v>
      </c>
      <c r="Z142" s="171">
        <f>_xll.qlInterestRateIndexValueDate(IborIndex,Y142,Trigger)</f>
        <v>42314</v>
      </c>
      <c r="AA142" s="172">
        <v>-8.274167603424077E-3</v>
      </c>
      <c r="AB142" s="169">
        <v>-8.4117016953610957E-3</v>
      </c>
    </row>
    <row r="143" spans="20:28" x14ac:dyDescent="0.2">
      <c r="T143" s="130"/>
      <c r="U143" s="151"/>
      <c r="X143" s="170" t="str">
        <f t="shared" si="10"/>
        <v>1D</v>
      </c>
      <c r="Y143" s="168">
        <f>_xll.qlCalendarAdvance(LiborCalendar,Y142,X143,"f",FALSE)</f>
        <v>42313</v>
      </c>
      <c r="Z143" s="171">
        <f>_xll.qlInterestRateIndexValueDate(IborIndex,Y143,Trigger)</f>
        <v>42317</v>
      </c>
      <c r="AA143" s="172">
        <v>-8.268583619979562E-3</v>
      </c>
      <c r="AB143" s="169">
        <v>-8.4042111810589404E-3</v>
      </c>
    </row>
    <row r="144" spans="20:28" x14ac:dyDescent="0.2">
      <c r="T144" s="130"/>
      <c r="U144" s="151"/>
      <c r="X144" s="170" t="str">
        <f t="shared" si="10"/>
        <v>1D</v>
      </c>
      <c r="Y144" s="168">
        <f>_xll.qlCalendarAdvance(LiborCalendar,Y143,X144,"f",FALSE)</f>
        <v>42314</v>
      </c>
      <c r="Z144" s="171">
        <f>_xll.qlInterestRateIndexValueDate(IborIndex,Y144,Trigger)</f>
        <v>42318</v>
      </c>
      <c r="AA144" s="172">
        <v>-8.2656424363581268E-3</v>
      </c>
      <c r="AB144" s="169">
        <v>-8.4004571472551248E-3</v>
      </c>
    </row>
    <row r="145" spans="20:28" x14ac:dyDescent="0.2">
      <c r="T145" s="130"/>
      <c r="U145" s="151"/>
      <c r="X145" s="170" t="str">
        <f t="shared" si="10"/>
        <v>1D</v>
      </c>
      <c r="Y145" s="168">
        <f>_xll.qlCalendarAdvance(LiborCalendar,Y144,X145,"f",FALSE)</f>
        <v>42317</v>
      </c>
      <c r="Z145" s="171">
        <f>_xll.qlInterestRateIndexValueDate(IborIndex,Y145,Trigger)</f>
        <v>42319</v>
      </c>
      <c r="AA145" s="172">
        <v>-8.2626954540581977E-3</v>
      </c>
      <c r="AB145" s="169">
        <v>-8.3967568137355286E-3</v>
      </c>
    </row>
    <row r="146" spans="20:28" x14ac:dyDescent="0.2">
      <c r="T146" s="130"/>
      <c r="U146" s="151"/>
      <c r="X146" s="170" t="str">
        <f t="shared" si="10"/>
        <v>1D</v>
      </c>
      <c r="Y146" s="168">
        <f>_xll.qlCalendarAdvance(LiborCalendar,Y145,X146,"f",FALSE)</f>
        <v>42318</v>
      </c>
      <c r="Z146" s="171">
        <f>_xll.qlInterestRateIndexValueDate(IborIndex,Y146,Trigger)</f>
        <v>42320</v>
      </c>
      <c r="AA146" s="172">
        <v>-8.2597416126241399E-3</v>
      </c>
      <c r="AB146" s="169">
        <v>-8.3931101805001518E-3</v>
      </c>
    </row>
    <row r="147" spans="20:28" x14ac:dyDescent="0.2">
      <c r="T147" s="130"/>
      <c r="U147" s="151"/>
      <c r="X147" s="170" t="str">
        <f t="shared" si="10"/>
        <v>1D</v>
      </c>
      <c r="Y147" s="168">
        <f>_xll.qlCalendarAdvance(LiborCalendar,Y146,X147,"f",FALSE)</f>
        <v>42319</v>
      </c>
      <c r="Z147" s="171">
        <f>_xll.qlInterestRateIndexValueDate(IborIndex,Y147,Trigger)</f>
        <v>42321</v>
      </c>
      <c r="AA147" s="172">
        <v>-8.2533631342626163E-3</v>
      </c>
      <c r="AB147" s="169">
        <v>-8.3858005693437931E-3</v>
      </c>
    </row>
    <row r="148" spans="20:28" x14ac:dyDescent="0.2">
      <c r="T148" s="130"/>
      <c r="U148" s="151"/>
      <c r="X148" s="170" t="str">
        <f t="shared" si="10"/>
        <v>1D</v>
      </c>
      <c r="Y148" s="168">
        <f>_xll.qlCalendarAdvance(LiborCalendar,Y147,X148,"f",FALSE)</f>
        <v>42320</v>
      </c>
      <c r="Z148" s="171">
        <f>_xll.qlInterestRateIndexValueDate(IborIndex,Y148,Trigger)</f>
        <v>42324</v>
      </c>
      <c r="AA148" s="172">
        <v>-8.2478364463643653E-3</v>
      </c>
      <c r="AB148" s="169">
        <v>-8.3790606501210618E-3</v>
      </c>
    </row>
    <row r="149" spans="20:28" x14ac:dyDescent="0.2">
      <c r="T149" s="130"/>
      <c r="U149" s="151"/>
      <c r="X149" s="170" t="str">
        <f t="shared" ref="X149:X212" si="11">X148</f>
        <v>1D</v>
      </c>
      <c r="Y149" s="168">
        <f>_xll.qlCalendarAdvance(LiborCalendar,Y148,X149,"f",FALSE)</f>
        <v>42321</v>
      </c>
      <c r="Z149" s="171">
        <f>_xll.qlInterestRateIndexValueDate(IborIndex,Y149,Trigger)</f>
        <v>42325</v>
      </c>
      <c r="AA149" s="172">
        <v>-8.2448324023425678E-3</v>
      </c>
      <c r="AB149" s="169">
        <v>-8.3756825182268457E-3</v>
      </c>
    </row>
    <row r="150" spans="20:28" x14ac:dyDescent="0.2">
      <c r="T150" s="130"/>
      <c r="U150" s="151"/>
      <c r="X150" s="170" t="str">
        <f t="shared" si="11"/>
        <v>1D</v>
      </c>
      <c r="Y150" s="168">
        <f>_xll.qlCalendarAdvance(LiborCalendar,Y149,X150,"f",FALSE)</f>
        <v>42324</v>
      </c>
      <c r="Z150" s="171">
        <f>_xll.qlInterestRateIndexValueDate(IborIndex,Y150,Trigger)</f>
        <v>42326</v>
      </c>
      <c r="AA150" s="172">
        <v>-8.2418151363972125E-3</v>
      </c>
      <c r="AB150" s="169">
        <v>-8.372358086576881E-3</v>
      </c>
    </row>
    <row r="151" spans="20:28" x14ac:dyDescent="0.2">
      <c r="T151" s="130"/>
      <c r="U151" s="151"/>
      <c r="X151" s="170" t="str">
        <f t="shared" si="11"/>
        <v>1D</v>
      </c>
      <c r="Y151" s="168">
        <f>_xll.qlCalendarAdvance(LiborCalendar,Y150,X151,"f",FALSE)</f>
        <v>42325</v>
      </c>
      <c r="Z151" s="171">
        <f>_xll.qlInterestRateIndexValueDate(IborIndex,Y151,Trigger)</f>
        <v>42327</v>
      </c>
      <c r="AA151" s="172">
        <v>-8.2387835880509443E-3</v>
      </c>
      <c r="AB151" s="169">
        <v>-8.3690873551711675E-3</v>
      </c>
    </row>
    <row r="152" spans="20:28" x14ac:dyDescent="0.2">
      <c r="T152" s="130"/>
      <c r="U152" s="151"/>
      <c r="X152" s="170" t="str">
        <f t="shared" si="11"/>
        <v>1D</v>
      </c>
      <c r="Y152" s="168">
        <f>_xll.qlCalendarAdvance(LiborCalendar,Y151,X152,"f",FALSE)</f>
        <v>42326</v>
      </c>
      <c r="Z152" s="171">
        <f>_xll.qlInterestRateIndexValueDate(IborIndex,Y152,Trigger)</f>
        <v>42328</v>
      </c>
      <c r="AA152" s="172">
        <v>-8.2320821749283062E-3</v>
      </c>
      <c r="AB152" s="169">
        <v>-8.362530630541265E-3</v>
      </c>
    </row>
    <row r="153" spans="20:28" x14ac:dyDescent="0.2">
      <c r="T153" s="130"/>
      <c r="U153" s="151"/>
      <c r="X153" s="170" t="str">
        <f t="shared" si="11"/>
        <v>1D</v>
      </c>
      <c r="Y153" s="168">
        <f>_xll.qlCalendarAdvance(LiborCalendar,Y152,X153,"f",FALSE)</f>
        <v>42327</v>
      </c>
      <c r="Z153" s="171">
        <f>_xll.qlInterestRateIndexValueDate(IborIndex,Y153,Trigger)</f>
        <v>42331</v>
      </c>
      <c r="AA153" s="172">
        <v>-8.2264933609966159E-3</v>
      </c>
      <c r="AB153" s="169">
        <v>-8.3565414325104115E-3</v>
      </c>
    </row>
    <row r="154" spans="20:28" x14ac:dyDescent="0.2">
      <c r="T154" s="130"/>
      <c r="U154" s="151"/>
      <c r="X154" s="170" t="str">
        <f t="shared" si="11"/>
        <v>1D</v>
      </c>
      <c r="Y154" s="168">
        <f>_xll.qlCalendarAdvance(LiborCalendar,Y153,X154,"f",FALSE)</f>
        <v>42328</v>
      </c>
      <c r="Z154" s="171">
        <f>_xll.qlInterestRateIndexValueDate(IborIndex,Y154,Trigger)</f>
        <v>42332</v>
      </c>
      <c r="AA154" s="172">
        <v>-8.2233744933702807E-3</v>
      </c>
      <c r="AB154" s="169">
        <v>-8.3535392025257948E-3</v>
      </c>
    </row>
    <row r="155" spans="20:28" x14ac:dyDescent="0.2">
      <c r="T155" s="130"/>
      <c r="U155" s="151"/>
      <c r="X155" s="170" t="str">
        <f t="shared" si="11"/>
        <v>1D</v>
      </c>
      <c r="Y155" s="168">
        <f>_xll.qlCalendarAdvance(LiborCalendar,Y154,X155,"f",FALSE)</f>
        <v>42331</v>
      </c>
      <c r="Z155" s="171">
        <f>_xll.qlInterestRateIndexValueDate(IborIndex,Y155,Trigger)</f>
        <v>42333</v>
      </c>
      <c r="AA155" s="172">
        <v>-8.2202349804076352E-3</v>
      </c>
      <c r="AB155" s="169">
        <v>-8.3505906728253976E-3</v>
      </c>
    </row>
    <row r="156" spans="20:28" x14ac:dyDescent="0.2">
      <c r="T156" s="130"/>
      <c r="U156" s="151"/>
      <c r="X156" s="170" t="str">
        <f t="shared" si="11"/>
        <v>1D</v>
      </c>
      <c r="Y156" s="168">
        <f>_xll.qlCalendarAdvance(LiborCalendar,Y155,X156,"f",FALSE)</f>
        <v>42332</v>
      </c>
      <c r="Z156" s="171">
        <f>_xll.qlInterestRateIndexValueDate(IborIndex,Y156,Trigger)</f>
        <v>42334</v>
      </c>
      <c r="AA156" s="172">
        <v>-8.2170737616078619E-3</v>
      </c>
      <c r="AB156" s="169">
        <v>-8.3476958434491877E-3</v>
      </c>
    </row>
    <row r="157" spans="20:28" x14ac:dyDescent="0.2">
      <c r="T157" s="130"/>
      <c r="U157" s="151"/>
      <c r="X157" s="170" t="str">
        <f t="shared" si="11"/>
        <v>1D</v>
      </c>
      <c r="Y157" s="168">
        <f>_xll.qlCalendarAdvance(LiborCalendar,Y156,X157,"f",FALSE)</f>
        <v>42333</v>
      </c>
      <c r="Z157" s="171">
        <f>_xll.qlInterestRateIndexValueDate(IborIndex,Y157,Trigger)</f>
        <v>42335</v>
      </c>
      <c r="AA157" s="172">
        <v>-8.2099687370806376E-3</v>
      </c>
      <c r="AB157" s="169">
        <v>-8.3418918804589737E-3</v>
      </c>
    </row>
    <row r="158" spans="20:28" x14ac:dyDescent="0.2">
      <c r="T158" s="130"/>
      <c r="U158" s="151"/>
      <c r="X158" s="170" t="str">
        <f t="shared" si="11"/>
        <v>1D</v>
      </c>
      <c r="Y158" s="168">
        <f>_xll.qlCalendarAdvance(LiborCalendar,Y157,X158,"f",FALSE)</f>
        <v>42334</v>
      </c>
      <c r="Z158" s="171">
        <f>_xll.qlInterestRateIndexValueDate(IborIndex,Y158,Trigger)</f>
        <v>42338</v>
      </c>
      <c r="AA158" s="172">
        <v>-8.2061900820505924E-3</v>
      </c>
      <c r="AB158" s="169">
        <v>-8.3366535286666377E-3</v>
      </c>
    </row>
    <row r="159" spans="20:28" x14ac:dyDescent="0.2">
      <c r="T159" s="130"/>
      <c r="U159" s="151"/>
      <c r="X159" s="170" t="str">
        <f t="shared" si="11"/>
        <v>1D</v>
      </c>
      <c r="Y159" s="168">
        <f>_xll.qlCalendarAdvance(LiborCalendar,Y158,X159,"f",FALSE)</f>
        <v>42335</v>
      </c>
      <c r="Z159" s="171">
        <f>_xll.qlInterestRateIndexValueDate(IborIndex,Y159,Trigger)</f>
        <v>42339</v>
      </c>
      <c r="AA159" s="172">
        <v>-8.2029249396501809E-3</v>
      </c>
      <c r="AB159" s="169">
        <v>-8.3340272006315885E-3</v>
      </c>
    </row>
    <row r="160" spans="20:28" x14ac:dyDescent="0.2">
      <c r="T160" s="130"/>
      <c r="U160" s="151"/>
      <c r="X160" s="170" t="str">
        <f t="shared" si="11"/>
        <v>1D</v>
      </c>
      <c r="Y160" s="168">
        <f>_xll.qlCalendarAdvance(LiborCalendar,Y159,X160,"f",FALSE)</f>
        <v>42338</v>
      </c>
      <c r="Z160" s="171">
        <f>_xll.qlInterestRateIndexValueDate(IborIndex,Y160,Trigger)</f>
        <v>42340</v>
      </c>
      <c r="AA160" s="172">
        <v>-8.1996319025618922E-3</v>
      </c>
      <c r="AB160" s="169">
        <v>-8.3314545730805989E-3</v>
      </c>
    </row>
    <row r="161" spans="20:28" x14ac:dyDescent="0.2">
      <c r="T161" s="130"/>
      <c r="U161" s="151"/>
      <c r="X161" s="170" t="str">
        <f t="shared" si="11"/>
        <v>1D</v>
      </c>
      <c r="Y161" s="168">
        <f>_xll.qlCalendarAdvance(LiborCalendar,Y160,X161,"f",FALSE)</f>
        <v>42339</v>
      </c>
      <c r="Z161" s="171">
        <f>_xll.qlInterestRateIndexValueDate(IborIndex,Y161,Trigger)</f>
        <v>42341</v>
      </c>
      <c r="AA161" s="172">
        <v>-8.1963098985801033E-3</v>
      </c>
      <c r="AB161" s="169">
        <v>-8.3289356456139885E-3</v>
      </c>
    </row>
    <row r="162" spans="20:28" x14ac:dyDescent="0.2">
      <c r="T162" s="130"/>
      <c r="U162" s="151"/>
      <c r="X162" s="170" t="str">
        <f t="shared" si="11"/>
        <v>1D</v>
      </c>
      <c r="Y162" s="168">
        <f>_xll.qlCalendarAdvance(LiborCalendar,Y161,X162,"f",FALSE)</f>
        <v>42340</v>
      </c>
      <c r="Z162" s="171">
        <f>_xll.qlInterestRateIndexValueDate(IborIndex,Y162,Trigger)</f>
        <v>42342</v>
      </c>
      <c r="AA162" s="172">
        <v>-8.1929578554952431E-3</v>
      </c>
      <c r="AB162" s="169">
        <v>-8.3238843204025414E-3</v>
      </c>
    </row>
    <row r="163" spans="20:28" x14ac:dyDescent="0.2">
      <c r="T163" s="130"/>
      <c r="U163" s="151"/>
      <c r="X163" s="170" t="str">
        <f t="shared" si="11"/>
        <v>1D</v>
      </c>
      <c r="Y163" s="168">
        <f>_xll.qlCalendarAdvance(LiborCalendar,Y162,X163,"f",FALSE)</f>
        <v>42341</v>
      </c>
      <c r="Z163" s="171">
        <f>_xll.qlInterestRateIndexValueDate(IborIndex,Y163,Trigger)</f>
        <v>42345</v>
      </c>
      <c r="AA163" s="172">
        <v>-8.182710769462356E-3</v>
      </c>
      <c r="AB163" s="169">
        <v>-8.3193969391093248E-3</v>
      </c>
    </row>
    <row r="164" spans="20:28" x14ac:dyDescent="0.2">
      <c r="T164" s="130"/>
      <c r="U164" s="151"/>
      <c r="X164" s="170" t="str">
        <f t="shared" si="11"/>
        <v>1D</v>
      </c>
      <c r="Y164" s="168">
        <f>_xll.qlCalendarAdvance(LiborCalendar,Y163,X164,"f",FALSE)</f>
        <v>42342</v>
      </c>
      <c r="Z164" s="171">
        <f>_xll.qlInterestRateIndexValueDate(IborIndex,Y164,Trigger)</f>
        <v>42346</v>
      </c>
      <c r="AA164" s="172">
        <v>-8.1792278477820606E-3</v>
      </c>
      <c r="AB164" s="169">
        <v>-8.3171465130638111E-3</v>
      </c>
    </row>
    <row r="165" spans="20:28" x14ac:dyDescent="0.2">
      <c r="T165" s="130"/>
      <c r="U165" s="151"/>
      <c r="X165" s="170" t="str">
        <f t="shared" si="11"/>
        <v>1D</v>
      </c>
      <c r="Y165" s="168">
        <f>_xll.qlCalendarAdvance(LiborCalendar,Y164,X165,"f",FALSE)</f>
        <v>42345</v>
      </c>
      <c r="Z165" s="171">
        <f>_xll.qlInterestRateIndexValueDate(IborIndex,Y165,Trigger)</f>
        <v>42347</v>
      </c>
      <c r="AA165" s="172">
        <v>-8.175709525885819E-3</v>
      </c>
      <c r="AB165" s="169">
        <v>-8.3149497875423251E-3</v>
      </c>
    </row>
    <row r="166" spans="20:28" x14ac:dyDescent="0.2">
      <c r="T166" s="130"/>
      <c r="U166" s="151"/>
      <c r="X166" s="170" t="str">
        <f t="shared" si="11"/>
        <v>1D</v>
      </c>
      <c r="Y166" s="168">
        <f>_xll.qlCalendarAdvance(LiborCalendar,Y165,X166,"f",FALSE)</f>
        <v>42346</v>
      </c>
      <c r="Z166" s="171">
        <f>_xll.qlInterestRateIndexValueDate(IborIndex,Y166,Trigger)</f>
        <v>42348</v>
      </c>
      <c r="AA166" s="172">
        <v>-8.1721547315333157E-3</v>
      </c>
      <c r="AB166" s="169">
        <v>-8.3128067622650903E-3</v>
      </c>
    </row>
    <row r="167" spans="20:28" x14ac:dyDescent="0.2">
      <c r="T167" s="130"/>
      <c r="U167" s="151"/>
      <c r="X167" s="170" t="str">
        <f t="shared" si="11"/>
        <v>1D</v>
      </c>
      <c r="Y167" s="168">
        <f>_xll.qlCalendarAdvance(LiborCalendar,Y166,X167,"f",FALSE)</f>
        <v>42347</v>
      </c>
      <c r="Z167" s="171">
        <f>_xll.qlInterestRateIndexValueDate(IborIndex,Y167,Trigger)</f>
        <v>42349</v>
      </c>
      <c r="AA167" s="172">
        <v>-8.1685623924859854E-3</v>
      </c>
      <c r="AB167" s="169">
        <v>-8.3085079516109772E-3</v>
      </c>
    </row>
    <row r="168" spans="20:28" x14ac:dyDescent="0.2">
      <c r="T168" s="130"/>
      <c r="U168" s="151"/>
      <c r="X168" s="170" t="str">
        <f t="shared" si="11"/>
        <v>1D</v>
      </c>
      <c r="Y168" s="168">
        <f>_xll.qlCalendarAdvance(LiborCalendar,Y167,X168,"f",FALSE)</f>
        <v>42348</v>
      </c>
      <c r="Z168" s="171">
        <f>_xll.qlInterestRateIndexValueDate(IborIndex,Y168,Trigger)</f>
        <v>42352</v>
      </c>
      <c r="AA168" s="172">
        <v>-8.1575493846796215E-3</v>
      </c>
      <c r="AB168" s="169">
        <v>-8.3047716640383129E-3</v>
      </c>
    </row>
    <row r="169" spans="20:28" x14ac:dyDescent="0.2">
      <c r="T169" s="130"/>
      <c r="U169" s="151"/>
      <c r="X169" s="170" t="str">
        <f t="shared" si="11"/>
        <v>1D</v>
      </c>
      <c r="Y169" s="168">
        <f>_xll.qlCalendarAdvance(LiborCalendar,Y168,X169,"f",FALSE)</f>
        <v>42349</v>
      </c>
      <c r="Z169" s="171">
        <f>_xll.qlInterestRateIndexValueDate(IborIndex,Y169,Trigger)</f>
        <v>42353</v>
      </c>
      <c r="AA169" s="172">
        <v>-8.153796144332974E-3</v>
      </c>
      <c r="AB169" s="169">
        <v>-8.302897140222143E-3</v>
      </c>
    </row>
    <row r="170" spans="20:28" x14ac:dyDescent="0.2">
      <c r="T170" s="130"/>
      <c r="U170" s="151"/>
      <c r="X170" s="170" t="str">
        <f t="shared" si="11"/>
        <v>1D</v>
      </c>
      <c r="Y170" s="168">
        <f>_xll.qlCalendarAdvance(LiborCalendar,Y169,X170,"f",FALSE)</f>
        <v>42352</v>
      </c>
      <c r="Z170" s="171">
        <f>_xll.qlInterestRateIndexValueDate(IborIndex,Y170,Trigger)</f>
        <v>42354</v>
      </c>
      <c r="AA170" s="172">
        <v>-8.1499999980055807E-3</v>
      </c>
      <c r="AB170" s="169">
        <v>-8.301060022604112E-3</v>
      </c>
    </row>
    <row r="171" spans="20:28" x14ac:dyDescent="0.2">
      <c r="T171" s="130"/>
      <c r="U171" s="151"/>
      <c r="X171" s="170" t="str">
        <f t="shared" si="11"/>
        <v>1D</v>
      </c>
      <c r="Y171" s="168">
        <f>_xll.qlCalendarAdvance(LiborCalendar,Y170,X171,"f",FALSE)</f>
        <v>42353</v>
      </c>
      <c r="Z171" s="171">
        <f>_xll.qlInterestRateIndexValueDate(IborIndex,Y171,Trigger)</f>
        <v>42355</v>
      </c>
      <c r="AA171" s="172">
        <v>-8.14616009609705E-3</v>
      </c>
      <c r="AB171" s="169">
        <v>-8.2991951347999304E-3</v>
      </c>
    </row>
    <row r="172" spans="20:28" x14ac:dyDescent="0.2">
      <c r="T172" s="130"/>
      <c r="U172" s="151"/>
      <c r="X172" s="170" t="str">
        <f t="shared" si="11"/>
        <v>1D</v>
      </c>
      <c r="Y172" s="168">
        <f>_xll.qlCalendarAdvance(LiborCalendar,Y171,X172,"f",FALSE)</f>
        <v>42354</v>
      </c>
      <c r="Z172" s="171">
        <f>_xll.qlInterestRateIndexValueDate(IborIndex,Y172,Trigger)</f>
        <v>42356</v>
      </c>
      <c r="AA172" s="172">
        <v>-8.1422764796874898E-3</v>
      </c>
      <c r="AB172" s="169">
        <v>-8.2951273342102283E-3</v>
      </c>
    </row>
    <row r="173" spans="20:28" x14ac:dyDescent="0.2">
      <c r="T173" s="130"/>
      <c r="U173" s="151"/>
      <c r="X173" s="170" t="str">
        <f t="shared" si="11"/>
        <v>1D</v>
      </c>
      <c r="Y173" s="168">
        <f>_xll.qlCalendarAdvance(LiborCalendar,Y172,X173,"f",FALSE)</f>
        <v>42355</v>
      </c>
      <c r="Z173" s="171">
        <f>_xll.qlInterestRateIndexValueDate(IborIndex,Y173,Trigger)</f>
        <v>42359</v>
      </c>
      <c r="AA173" s="172">
        <v>-8.1303659809551527E-3</v>
      </c>
      <c r="AB173" s="169">
        <v>-8.2912949401814373E-3</v>
      </c>
    </row>
    <row r="174" spans="20:28" x14ac:dyDescent="0.2">
      <c r="T174" s="130"/>
      <c r="U174" s="151"/>
      <c r="X174" s="170" t="str">
        <f t="shared" si="11"/>
        <v>1D</v>
      </c>
      <c r="Y174" s="168">
        <f>_xll.qlCalendarAdvance(LiborCalendar,Y173,X174,"f",FALSE)</f>
        <v>42356</v>
      </c>
      <c r="Z174" s="171">
        <f>_xll.qlInterestRateIndexValueDate(IborIndex,Y174,Trigger)</f>
        <v>42360</v>
      </c>
      <c r="AA174" s="172">
        <v>-8.1263101440439967E-3</v>
      </c>
      <c r="AB174" s="169">
        <v>-8.2892097306963564E-3</v>
      </c>
    </row>
    <row r="175" spans="20:28" x14ac:dyDescent="0.2">
      <c r="T175" s="130"/>
      <c r="U175" s="151"/>
      <c r="X175" s="170" t="str">
        <f t="shared" si="11"/>
        <v>1D</v>
      </c>
      <c r="Y175" s="168">
        <f>_xll.qlCalendarAdvance(LiborCalendar,Y174,X175,"f",FALSE)</f>
        <v>42359</v>
      </c>
      <c r="Z175" s="171">
        <f>_xll.qlInterestRateIndexValueDate(IborIndex,Y175,Trigger)</f>
        <v>42361</v>
      </c>
      <c r="AA175" s="172">
        <v>-8.1222119113821944E-3</v>
      </c>
      <c r="AB175" s="169">
        <v>-8.2870804567791723E-3</v>
      </c>
    </row>
    <row r="176" spans="20:28" x14ac:dyDescent="0.2">
      <c r="T176" s="130"/>
      <c r="U176" s="151"/>
      <c r="X176" s="170" t="str">
        <f t="shared" si="11"/>
        <v>1D</v>
      </c>
      <c r="Y176" s="168">
        <f>_xll.qlCalendarAdvance(LiborCalendar,Y175,X176,"f",FALSE)</f>
        <v>42360</v>
      </c>
      <c r="Z176" s="171">
        <f>_xll.qlInterestRateIndexValueDate(IborIndex,Y176,Trigger)</f>
        <v>42362</v>
      </c>
      <c r="AA176" s="172">
        <v>-8.1180715467200869E-3</v>
      </c>
      <c r="AB176" s="169">
        <v>-8.2800032783438837E-3</v>
      </c>
    </row>
    <row r="177" spans="20:28" x14ac:dyDescent="0.2">
      <c r="T177" s="130"/>
      <c r="U177" s="151"/>
      <c r="X177" s="170" t="str">
        <f t="shared" si="11"/>
        <v>1D</v>
      </c>
      <c r="Y177" s="168">
        <f>_xll.qlCalendarAdvance(LiborCalendar,Y176,X177,"f",FALSE)</f>
        <v>42361</v>
      </c>
      <c r="Z177" s="171">
        <f>_xll.qlInterestRateIndexValueDate(IborIndex,Y177,Trigger)</f>
        <v>42367</v>
      </c>
      <c r="AA177" s="172">
        <v>-8.0967469745939508E-3</v>
      </c>
      <c r="AB177" s="169">
        <v>-8.2733794625200474E-3</v>
      </c>
    </row>
    <row r="178" spans="20:28" x14ac:dyDescent="0.2">
      <c r="T178" s="130"/>
      <c r="U178" s="151"/>
      <c r="X178" s="170" t="str">
        <f t="shared" si="11"/>
        <v>1D</v>
      </c>
      <c r="Y178" s="168">
        <f>_xll.qlCalendarAdvance(LiborCalendar,Y177,X178,"f",FALSE)</f>
        <v>42362</v>
      </c>
      <c r="Z178" s="171">
        <f>_xll.qlInterestRateIndexValueDate(IborIndex,Y178,Trigger)</f>
        <v>42368</v>
      </c>
      <c r="AA178" s="172">
        <v>-8.0923593566458642E-3</v>
      </c>
      <c r="AB178" s="169">
        <v>-8.2709417383375339E-3</v>
      </c>
    </row>
    <row r="179" spans="20:28" x14ac:dyDescent="0.2">
      <c r="T179" s="130"/>
      <c r="U179" s="151"/>
      <c r="X179" s="170" t="str">
        <f t="shared" si="11"/>
        <v>1D</v>
      </c>
      <c r="Y179" s="168">
        <f>_xll.qlCalendarAdvance(LiborCalendar,Y178,X179,"f",FALSE)</f>
        <v>42367</v>
      </c>
      <c r="Z179" s="171">
        <f>_xll.qlInterestRateIndexValueDate(IborIndex,Y179,Trigger)</f>
        <v>42369</v>
      </c>
      <c r="AA179" s="172">
        <v>-8.0879314529353607E-3</v>
      </c>
      <c r="AB179" s="169">
        <v>-8.2643425101536216E-3</v>
      </c>
    </row>
    <row r="180" spans="20:28" x14ac:dyDescent="0.2">
      <c r="T180" s="130"/>
      <c r="U180" s="151"/>
      <c r="X180" s="170" t="str">
        <f t="shared" si="11"/>
        <v>1D</v>
      </c>
      <c r="Y180" s="168">
        <f>_xll.qlCalendarAdvance(LiborCalendar,Y179,X180,"f",FALSE)</f>
        <v>42368</v>
      </c>
      <c r="Z180" s="171">
        <f>_xll.qlInterestRateIndexValueDate(IborIndex,Y180,Trigger)</f>
        <v>42373</v>
      </c>
      <c r="AA180" s="172">
        <v>-8.0698222554311666E-3</v>
      </c>
      <c r="AB180" s="169">
        <v>-8.2580921519825878E-3</v>
      </c>
    </row>
    <row r="181" spans="20:28" x14ac:dyDescent="0.2">
      <c r="T181" s="130"/>
      <c r="U181" s="151"/>
      <c r="X181" s="170" t="str">
        <f t="shared" si="11"/>
        <v>1D</v>
      </c>
      <c r="Y181" s="168">
        <f>_xll.qlCalendarAdvance(LiborCalendar,Y180,X181,"f",FALSE)</f>
        <v>42369</v>
      </c>
      <c r="Z181" s="171">
        <f>_xll.qlInterestRateIndexValueDate(IborIndex,Y181,Trigger)</f>
        <v>42374</v>
      </c>
      <c r="AA181" s="172">
        <v>-8.0651968791298559E-3</v>
      </c>
      <c r="AB181" s="169">
        <v>-8.2553900416471038E-3</v>
      </c>
    </row>
    <row r="182" spans="20:28" x14ac:dyDescent="0.2">
      <c r="T182" s="130"/>
      <c r="U182" s="151"/>
      <c r="X182" s="170" t="str">
        <f t="shared" si="11"/>
        <v>1D</v>
      </c>
      <c r="Y182" s="168">
        <f>_xll.qlCalendarAdvance(LiborCalendar,Y181,X182,"f",FALSE)</f>
        <v>42373</v>
      </c>
      <c r="Z182" s="171">
        <f>_xll.qlInterestRateIndexValueDate(IborIndex,Y182,Trigger)</f>
        <v>42375</v>
      </c>
      <c r="AA182" s="172">
        <v>-8.0605327995554293E-3</v>
      </c>
      <c r="AB182" s="169">
        <v>-8.2526438669594526E-3</v>
      </c>
    </row>
    <row r="183" spans="20:28" x14ac:dyDescent="0.2">
      <c r="T183" s="130"/>
      <c r="U183" s="151"/>
      <c r="X183" s="170" t="str">
        <f t="shared" si="11"/>
        <v>1D</v>
      </c>
      <c r="Y183" s="168">
        <f>_xll.qlCalendarAdvance(LiborCalendar,Y182,X183,"f",FALSE)</f>
        <v>42374</v>
      </c>
      <c r="Z183" s="171">
        <f>_xll.qlInterestRateIndexValueDate(IborIndex,Y183,Trigger)</f>
        <v>42376</v>
      </c>
      <c r="AA183" s="172">
        <v>-8.0558302804551573E-3</v>
      </c>
      <c r="AB183" s="169">
        <v>-8.2498536279196344E-3</v>
      </c>
    </row>
    <row r="184" spans="20:28" x14ac:dyDescent="0.2">
      <c r="T184" s="130"/>
      <c r="U184" s="151"/>
      <c r="X184" s="170" t="str">
        <f t="shared" si="11"/>
        <v>1D</v>
      </c>
      <c r="Y184" s="168">
        <f>_xll.qlCalendarAdvance(LiborCalendar,Y183,X184,"f",FALSE)</f>
        <v>42375</v>
      </c>
      <c r="Z184" s="171">
        <f>_xll.qlInterestRateIndexValueDate(IborIndex,Y184,Trigger)</f>
        <v>42377</v>
      </c>
      <c r="AA184" s="172">
        <v>-8.0510895855776185E-3</v>
      </c>
      <c r="AB184" s="169">
        <v>-8.2439374767639961E-3</v>
      </c>
    </row>
    <row r="185" spans="20:28" x14ac:dyDescent="0.2">
      <c r="T185" s="130"/>
      <c r="U185" s="151"/>
      <c r="X185" s="170" t="str">
        <f t="shared" si="11"/>
        <v>1D</v>
      </c>
      <c r="Y185" s="168">
        <f>_xll.qlCalendarAdvance(LiborCalendar,Y184,X185,"f",FALSE)</f>
        <v>42376</v>
      </c>
      <c r="Z185" s="171">
        <f>_xll.qlInterestRateIndexValueDate(IborIndex,Y185,Trigger)</f>
        <v>42380</v>
      </c>
      <c r="AA185" s="172">
        <v>-8.0366410837685708E-3</v>
      </c>
      <c r="AB185" s="169">
        <v>-8.2382520283186267E-3</v>
      </c>
    </row>
    <row r="186" spans="20:28" x14ac:dyDescent="0.2">
      <c r="T186" s="130"/>
      <c r="U186" s="151"/>
      <c r="X186" s="170" t="str">
        <f t="shared" si="11"/>
        <v>1D</v>
      </c>
      <c r="Y186" s="168">
        <f>_xll.qlCalendarAdvance(LiborCalendar,Y185,X186,"f",FALSE)</f>
        <v>42377</v>
      </c>
      <c r="Z186" s="171">
        <f>_xll.qlInterestRateIndexValueDate(IborIndex,Y186,Trigger)</f>
        <v>42381</v>
      </c>
      <c r="AA186" s="172">
        <v>-8.0317503232691257E-3</v>
      </c>
      <c r="AB186" s="169">
        <v>-8.235241467438037E-3</v>
      </c>
    </row>
    <row r="187" spans="20:28" x14ac:dyDescent="0.2">
      <c r="T187" s="130"/>
      <c r="U187" s="151"/>
      <c r="X187" s="170" t="str">
        <f t="shared" si="11"/>
        <v>1D</v>
      </c>
      <c r="Y187" s="168">
        <f>_xll.qlCalendarAdvance(LiborCalendar,Y186,X187,"f",FALSE)</f>
        <v>42380</v>
      </c>
      <c r="Z187" s="171">
        <f>_xll.qlInterestRateIndexValueDate(IborIndex,Y187,Trigger)</f>
        <v>42382</v>
      </c>
      <c r="AA187" s="172">
        <v>-8.0268227057379692E-3</v>
      </c>
      <c r="AB187" s="169">
        <v>-8.2321868423251843E-3</v>
      </c>
    </row>
    <row r="188" spans="20:28" x14ac:dyDescent="0.2">
      <c r="T188" s="130"/>
      <c r="U188" s="151"/>
      <c r="X188" s="170" t="str">
        <f t="shared" si="11"/>
        <v>1D</v>
      </c>
      <c r="Y188" s="168">
        <f>_xll.qlCalendarAdvance(LiborCalendar,Y187,X188,"f",FALSE)</f>
        <v>42381</v>
      </c>
      <c r="Z188" s="171">
        <f>_xll.qlInterestRateIndexValueDate(IborIndex,Y188,Trigger)</f>
        <v>42383</v>
      </c>
      <c r="AA188" s="172">
        <v>-8.0218584949241223E-3</v>
      </c>
      <c r="AB188" s="169">
        <v>-8.2290881527802284E-3</v>
      </c>
    </row>
    <row r="189" spans="20:28" x14ac:dyDescent="0.2">
      <c r="T189" s="130"/>
      <c r="U189" s="151"/>
      <c r="X189" s="170" t="str">
        <f t="shared" si="11"/>
        <v>1D</v>
      </c>
      <c r="Y189" s="168">
        <f>_xll.qlCalendarAdvance(LiborCalendar,Y188,X189,"f",FALSE)</f>
        <v>42382</v>
      </c>
      <c r="Z189" s="171">
        <f>_xll.qlInterestRateIndexValueDate(IborIndex,Y189,Trigger)</f>
        <v>42384</v>
      </c>
      <c r="AA189" s="172">
        <v>-8.016857954577487E-3</v>
      </c>
      <c r="AB189" s="169">
        <v>-8.2225560786186591E-3</v>
      </c>
    </row>
    <row r="190" spans="20:28" x14ac:dyDescent="0.2">
      <c r="T190" s="130"/>
      <c r="U190" s="151"/>
      <c r="X190" s="170" t="str">
        <f t="shared" si="11"/>
        <v>1D</v>
      </c>
      <c r="Y190" s="168">
        <f>_xll.qlCalendarAdvance(LiborCalendar,Y189,X190,"f",FALSE)</f>
        <v>42383</v>
      </c>
      <c r="Z190" s="171">
        <f>_xll.qlInterestRateIndexValueDate(IborIndex,Y190,Trigger)</f>
        <v>42387</v>
      </c>
      <c r="AA190" s="172">
        <v>-8.0016409938451286E-3</v>
      </c>
      <c r="AB190" s="169">
        <v>-8.2162527511187022E-3</v>
      </c>
    </row>
    <row r="191" spans="20:28" x14ac:dyDescent="0.2">
      <c r="T191" s="130"/>
      <c r="U191" s="151"/>
      <c r="X191" s="170" t="str">
        <f t="shared" si="11"/>
        <v>1D</v>
      </c>
      <c r="Y191" s="168">
        <f>_xll.qlCalendarAdvance(LiborCalendar,Y190,X191,"f",FALSE)</f>
        <v>42384</v>
      </c>
      <c r="Z191" s="171">
        <f>_xll.qlInterestRateIndexValueDate(IborIndex,Y191,Trigger)</f>
        <v>42388</v>
      </c>
      <c r="AA191" s="172">
        <v>-7.9964977728738153E-3</v>
      </c>
      <c r="AB191" s="169">
        <v>-8.2129337397329749E-3</v>
      </c>
    </row>
    <row r="192" spans="20:28" x14ac:dyDescent="0.2">
      <c r="T192" s="130"/>
      <c r="U192" s="151"/>
      <c r="X192" s="170" t="str">
        <f t="shared" si="11"/>
        <v>1D</v>
      </c>
      <c r="Y192" s="168">
        <f>_xll.qlCalendarAdvance(LiborCalendar,Y191,X192,"f",FALSE)</f>
        <v>42387</v>
      </c>
      <c r="Z192" s="171">
        <f>_xll.qlInterestRateIndexValueDate(IborIndex,Y192,Trigger)</f>
        <v>42389</v>
      </c>
      <c r="AA192" s="172">
        <v>-7.9913195411253687E-3</v>
      </c>
      <c r="AB192" s="169">
        <v>-8.2095706639950805E-3</v>
      </c>
    </row>
    <row r="193" spans="20:28" x14ac:dyDescent="0.2">
      <c r="T193" s="130"/>
      <c r="U193" s="151"/>
      <c r="X193" s="170" t="str">
        <f t="shared" si="11"/>
        <v>1D</v>
      </c>
      <c r="Y193" s="168">
        <f>_xll.qlCalendarAdvance(LiborCalendar,Y192,X193,"f",FALSE)</f>
        <v>42388</v>
      </c>
      <c r="Z193" s="171">
        <f>_xll.qlInterestRateIndexValueDate(IborIndex,Y193,Trigger)</f>
        <v>42390</v>
      </c>
      <c r="AA193" s="172">
        <v>-7.9861065623527613E-3</v>
      </c>
      <c r="AB193" s="169">
        <v>-8.2061635239849551E-3</v>
      </c>
    </row>
    <row r="194" spans="20:28" x14ac:dyDescent="0.2">
      <c r="T194" s="130"/>
      <c r="U194" s="151"/>
      <c r="X194" s="170" t="str">
        <f t="shared" si="11"/>
        <v>1D</v>
      </c>
      <c r="Y194" s="168">
        <f>_xll.qlCalendarAdvance(LiborCalendar,Y193,X194,"f",FALSE)</f>
        <v>42389</v>
      </c>
      <c r="Z194" s="171">
        <f>_xll.qlInterestRateIndexValueDate(IborIndex,Y194,Trigger)</f>
        <v>42391</v>
      </c>
      <c r="AA194" s="172">
        <v>-7.9808591003072138E-3</v>
      </c>
      <c r="AB194" s="169">
        <v>-8.1990156225275612E-3</v>
      </c>
    </row>
    <row r="195" spans="20:28" x14ac:dyDescent="0.2">
      <c r="T195" s="130"/>
      <c r="U195" s="151"/>
      <c r="X195" s="170" t="str">
        <f t="shared" si="11"/>
        <v>1D</v>
      </c>
      <c r="Y195" s="168">
        <f>_xll.qlCalendarAdvance(LiborCalendar,Y194,X195,"f",FALSE)</f>
        <v>42390</v>
      </c>
      <c r="Z195" s="171">
        <f>_xll.qlInterestRateIndexValueDate(IborIndex,Y195,Trigger)</f>
        <v>42394</v>
      </c>
      <c r="AA195" s="172">
        <v>-7.9649124520732272E-3</v>
      </c>
      <c r="AB195" s="169">
        <v>-8.1920943199831342E-3</v>
      </c>
    </row>
    <row r="196" spans="20:28" x14ac:dyDescent="0.2">
      <c r="T196" s="130"/>
      <c r="U196" s="151"/>
      <c r="X196" s="170" t="str">
        <f t="shared" si="11"/>
        <v>1D</v>
      </c>
      <c r="Y196" s="168">
        <f>_xll.qlCalendarAdvance(LiborCalendar,Y195,X196,"f",FALSE)</f>
        <v>42391</v>
      </c>
      <c r="Z196" s="171">
        <f>_xll.qlInterestRateIndexValueDate(IborIndex,Y196,Trigger)</f>
        <v>42395</v>
      </c>
      <c r="AA196" s="172">
        <v>-7.9595296944766532E-3</v>
      </c>
      <c r="AB196" s="169">
        <v>-8.1884668579723652E-3</v>
      </c>
    </row>
    <row r="197" spans="20:28" x14ac:dyDescent="0.2">
      <c r="T197" s="130"/>
      <c r="U197" s="151"/>
      <c r="X197" s="170" t="str">
        <f t="shared" si="11"/>
        <v>1D</v>
      </c>
      <c r="Y197" s="168">
        <f>_xll.qlCalendarAdvance(LiborCalendar,Y196,X197,"f",FALSE)</f>
        <v>42394</v>
      </c>
      <c r="Z197" s="171">
        <f>_xll.qlInterestRateIndexValueDate(IborIndex,Y197,Trigger)</f>
        <v>42396</v>
      </c>
      <c r="AA197" s="172">
        <v>-7.9541137723803616E-3</v>
      </c>
      <c r="AB197" s="169">
        <v>-8.1847953316493971E-3</v>
      </c>
    </row>
    <row r="198" spans="20:28" x14ac:dyDescent="0.2">
      <c r="T198" s="130"/>
      <c r="U198" s="151"/>
      <c r="X198" s="170" t="str">
        <f t="shared" si="11"/>
        <v>1D</v>
      </c>
      <c r="Y198" s="168">
        <f>_xll.qlCalendarAdvance(LiborCalendar,Y197,X198,"f",FALSE)</f>
        <v>42395</v>
      </c>
      <c r="Z198" s="171">
        <f>_xll.qlInterestRateIndexValueDate(IborIndex,Y198,Trigger)</f>
        <v>42397</v>
      </c>
      <c r="AA198" s="172">
        <v>-7.9486649495399634E-3</v>
      </c>
      <c r="AB198" s="169">
        <v>-8.18107974101423E-3</v>
      </c>
    </row>
    <row r="199" spans="20:28" x14ac:dyDescent="0.2">
      <c r="T199" s="130"/>
      <c r="U199" s="151"/>
      <c r="X199" s="170" t="str">
        <f t="shared" si="11"/>
        <v>1D</v>
      </c>
      <c r="Y199" s="168">
        <f>_xll.qlCalendarAdvance(LiborCalendar,Y198,X199,"f",FALSE)</f>
        <v>42396</v>
      </c>
      <c r="Z199" s="171">
        <f>_xll.qlInterestRateIndexValueDate(IborIndex,Y199,Trigger)</f>
        <v>42398</v>
      </c>
      <c r="AA199" s="172">
        <v>-7.943183489711507E-3</v>
      </c>
      <c r="AB199" s="169">
        <v>-8.1733161071984028E-3</v>
      </c>
    </row>
    <row r="200" spans="20:28" x14ac:dyDescent="0.2">
      <c r="T200" s="130"/>
      <c r="U200" s="151"/>
      <c r="X200" s="170" t="str">
        <f t="shared" si="11"/>
        <v>1D</v>
      </c>
      <c r="Y200" s="168">
        <f>_xll.qlCalendarAdvance(LiborCalendar,Y199,X200,"f",FALSE)</f>
        <v>42397</v>
      </c>
      <c r="Z200" s="171">
        <f>_xll.qlInterestRateIndexValueDate(IborIndex,Y200,Trigger)</f>
        <v>42401</v>
      </c>
      <c r="AA200" s="172">
        <v>-7.92342014655824E-3</v>
      </c>
      <c r="AB200" s="169">
        <v>-8.1657767344323062E-3</v>
      </c>
    </row>
    <row r="201" spans="20:28" x14ac:dyDescent="0.2">
      <c r="T201" s="130"/>
      <c r="U201" s="151"/>
      <c r="X201" s="170" t="str">
        <f t="shared" si="11"/>
        <v>1D</v>
      </c>
      <c r="Y201" s="168">
        <f>_xll.qlCalendarAdvance(LiborCalendar,Y200,X201,"f",FALSE)</f>
        <v>42398</v>
      </c>
      <c r="Z201" s="171">
        <f>_xll.qlInterestRateIndexValueDate(IborIndex,Y201,Trigger)</f>
        <v>42402</v>
      </c>
      <c r="AA201" s="172">
        <v>-7.9209365556824722E-3</v>
      </c>
      <c r="AB201" s="169">
        <v>-8.1618408218364635E-3</v>
      </c>
    </row>
    <row r="202" spans="20:28" x14ac:dyDescent="0.2">
      <c r="T202" s="130"/>
      <c r="U202" s="151"/>
      <c r="X202" s="170" t="str">
        <f t="shared" si="11"/>
        <v>1D</v>
      </c>
      <c r="Y202" s="168">
        <f>_xll.qlCalendarAdvance(LiborCalendar,Y201,X202,"f",FALSE)</f>
        <v>42401</v>
      </c>
      <c r="Z202" s="171">
        <f>_xll.qlInterestRateIndexValueDate(IborIndex,Y202,Trigger)</f>
        <v>42403</v>
      </c>
      <c r="AA202" s="172">
        <v>-7.918439366729757E-3</v>
      </c>
      <c r="AB202" s="169">
        <v>-8.1578608448085177E-3</v>
      </c>
    </row>
    <row r="203" spans="20:28" x14ac:dyDescent="0.2">
      <c r="T203" s="130"/>
      <c r="U203" s="151"/>
      <c r="X203" s="170" t="str">
        <f t="shared" si="11"/>
        <v>1D</v>
      </c>
      <c r="Y203" s="168">
        <f>_xll.qlCalendarAdvance(LiborCalendar,Y202,X203,"f",FALSE)</f>
        <v>42402</v>
      </c>
      <c r="Z203" s="171">
        <f>_xll.qlInterestRateIndexValueDate(IborIndex,Y203,Trigger)</f>
        <v>42404</v>
      </c>
      <c r="AA203" s="172">
        <v>-7.9127800102027912E-3</v>
      </c>
      <c r="AB203" s="169">
        <v>-8.1538368035483089E-3</v>
      </c>
    </row>
    <row r="204" spans="20:28" x14ac:dyDescent="0.2">
      <c r="T204" s="130"/>
      <c r="U204" s="151"/>
      <c r="X204" s="170" t="str">
        <f t="shared" si="11"/>
        <v>1D</v>
      </c>
      <c r="Y204" s="168">
        <f>_xll.qlCalendarAdvance(LiborCalendar,Y203,X204,"f",FALSE)</f>
        <v>42403</v>
      </c>
      <c r="Z204" s="171">
        <f>_xll.qlInterestRateIndexValueDate(IborIndex,Y204,Trigger)</f>
        <v>42405</v>
      </c>
      <c r="AA204" s="172">
        <v>-7.90392159097408E-3</v>
      </c>
      <c r="AB204" s="169">
        <v>-8.1454575312056576E-3</v>
      </c>
    </row>
    <row r="205" spans="20:28" x14ac:dyDescent="0.2">
      <c r="T205" s="130"/>
      <c r="U205" s="151"/>
      <c r="X205" s="170" t="str">
        <f t="shared" si="11"/>
        <v>1D</v>
      </c>
      <c r="Y205" s="168">
        <f>_xll.qlCalendarAdvance(LiborCalendar,Y204,X205,"f",FALSE)</f>
        <v>42404</v>
      </c>
      <c r="Z205" s="171">
        <f>_xll.qlInterestRateIndexValueDate(IborIndex,Y205,Trigger)</f>
        <v>42408</v>
      </c>
      <c r="AA205" s="172">
        <v>-7.8866318840964521E-3</v>
      </c>
      <c r="AB205" s="169">
        <v>-8.1372999941065061E-3</v>
      </c>
    </row>
    <row r="206" spans="20:28" x14ac:dyDescent="0.2">
      <c r="T206" s="130"/>
      <c r="U206" s="151"/>
      <c r="X206" s="170" t="str">
        <f t="shared" si="11"/>
        <v>1D</v>
      </c>
      <c r="Y206" s="168">
        <f>_xll.qlCalendarAdvance(LiborCalendar,Y205,X206,"f",FALSE)</f>
        <v>42405</v>
      </c>
      <c r="Z206" s="171">
        <f>_xll.qlInterestRateIndexValueDate(IborIndex,Y206,Trigger)</f>
        <v>42409</v>
      </c>
      <c r="AA206" s="172">
        <v>-7.8840248903060406E-3</v>
      </c>
      <c r="AB206" s="169">
        <v>-8.1330556307657176E-3</v>
      </c>
    </row>
    <row r="207" spans="20:28" x14ac:dyDescent="0.2">
      <c r="T207" s="130"/>
      <c r="U207" s="151"/>
      <c r="X207" s="170" t="str">
        <f t="shared" si="11"/>
        <v>1D</v>
      </c>
      <c r="Y207" s="168">
        <f>_xll.qlCalendarAdvance(LiborCalendar,Y206,X207,"f",FALSE)</f>
        <v>42408</v>
      </c>
      <c r="Z207" s="171">
        <f>_xll.qlInterestRateIndexValueDate(IborIndex,Y207,Trigger)</f>
        <v>42410</v>
      </c>
      <c r="AA207" s="172">
        <v>-7.8781840657979885E-3</v>
      </c>
      <c r="AB207" s="169">
        <v>-8.12876720311273E-3</v>
      </c>
    </row>
    <row r="208" spans="20:28" x14ac:dyDescent="0.2">
      <c r="T208" s="130"/>
      <c r="U208" s="151"/>
      <c r="X208" s="170" t="str">
        <f t="shared" si="11"/>
        <v>1D</v>
      </c>
      <c r="Y208" s="168">
        <f>_xll.qlCalendarAdvance(LiborCalendar,Y207,X208,"f",FALSE)</f>
        <v>42409</v>
      </c>
      <c r="Z208" s="171">
        <f>_xll.qlInterestRateIndexValueDate(IborIndex,Y208,Trigger)</f>
        <v>42411</v>
      </c>
      <c r="AA208" s="172">
        <v>-7.8723139300920231E-3</v>
      </c>
      <c r="AB208" s="169">
        <v>-8.1244347109477033E-3</v>
      </c>
    </row>
    <row r="209" spans="20:28" x14ac:dyDescent="0.2">
      <c r="T209" s="130"/>
      <c r="U209" s="151"/>
      <c r="X209" s="170" t="str">
        <f t="shared" si="11"/>
        <v>1D</v>
      </c>
      <c r="Y209" s="168">
        <f>_xll.qlCalendarAdvance(LiborCalendar,Y208,X209,"f",FALSE)</f>
        <v>42410</v>
      </c>
      <c r="Z209" s="171">
        <f>_xll.qlInterestRateIndexValueDate(IborIndex,Y209,Trigger)</f>
        <v>42412</v>
      </c>
      <c r="AA209" s="172">
        <v>-7.866414749893913E-3</v>
      </c>
      <c r="AB209" s="169">
        <v>-8.1154398930838312E-3</v>
      </c>
    </row>
    <row r="210" spans="20:28" x14ac:dyDescent="0.2">
      <c r="T210" s="130"/>
      <c r="U210" s="151"/>
      <c r="X210" s="170" t="str">
        <f t="shared" si="11"/>
        <v>1D</v>
      </c>
      <c r="Y210" s="168">
        <f>_xll.qlCalendarAdvance(LiborCalendar,Y209,X210,"f",FALSE)</f>
        <v>42411</v>
      </c>
      <c r="Z210" s="171">
        <f>_xll.qlInterestRateIndexValueDate(IborIndex,Y210,Trigger)</f>
        <v>42415</v>
      </c>
      <c r="AA210" s="172">
        <v>-7.8419691823605753E-3</v>
      </c>
      <c r="AB210" s="169">
        <v>-8.1066640984461813E-3</v>
      </c>
    </row>
    <row r="211" spans="20:28" x14ac:dyDescent="0.2">
      <c r="T211" s="130"/>
      <c r="U211" s="151"/>
      <c r="X211" s="170" t="str">
        <f t="shared" si="11"/>
        <v>1D</v>
      </c>
      <c r="Y211" s="168">
        <f>_xll.qlCalendarAdvance(LiborCalendar,Y210,X211,"f",FALSE)</f>
        <v>42412</v>
      </c>
      <c r="Z211" s="171">
        <f>_xll.qlInterestRateIndexValueDate(IborIndex,Y211,Trigger)</f>
        <v>42416</v>
      </c>
      <c r="AA211" s="172">
        <v>-7.8392369749659616E-3</v>
      </c>
      <c r="AB211" s="169">
        <v>-8.102111284320479E-3</v>
      </c>
    </row>
    <row r="212" spans="20:28" x14ac:dyDescent="0.2">
      <c r="T212" s="130"/>
      <c r="U212" s="151"/>
      <c r="X212" s="170" t="str">
        <f t="shared" si="11"/>
        <v>1D</v>
      </c>
      <c r="Y212" s="168">
        <f>_xll.qlCalendarAdvance(LiborCalendar,Y211,X212,"f",FALSE)</f>
        <v>42415</v>
      </c>
      <c r="Z212" s="171">
        <f>_xll.qlInterestRateIndexValueDate(IborIndex,Y212,Trigger)</f>
        <v>42417</v>
      </c>
      <c r="AA212" s="172">
        <v>-7.8364925163469934E-3</v>
      </c>
      <c r="AB212" s="169">
        <v>-8.0975144058026416E-3</v>
      </c>
    </row>
    <row r="213" spans="20:28" x14ac:dyDescent="0.2">
      <c r="T213" s="130"/>
      <c r="U213" s="151"/>
      <c r="X213" s="170" t="str">
        <f t="shared" ref="X213:X276" si="12">X212</f>
        <v>1D</v>
      </c>
      <c r="Y213" s="168">
        <f>_xll.qlCalendarAdvance(LiborCalendar,Y212,X213,"f",FALSE)</f>
        <v>42416</v>
      </c>
      <c r="Z213" s="171">
        <f>_xll.qlInterestRateIndexValueDate(IborIndex,Y213,Trigger)</f>
        <v>42418</v>
      </c>
      <c r="AA213" s="172">
        <v>-7.8304246701010882E-3</v>
      </c>
      <c r="AB213" s="169">
        <v>-8.0928734628926691E-3</v>
      </c>
    </row>
    <row r="214" spans="20:28" x14ac:dyDescent="0.2">
      <c r="T214" s="130"/>
      <c r="U214" s="151"/>
      <c r="X214" s="170" t="str">
        <f t="shared" si="12"/>
        <v>1D</v>
      </c>
      <c r="Y214" s="168">
        <f>_xll.qlCalendarAdvance(LiborCalendar,Y213,X214,"f",FALSE)</f>
        <v>42417</v>
      </c>
      <c r="Z214" s="171">
        <f>_xll.qlInterestRateIndexValueDate(IborIndex,Y214,Trigger)</f>
        <v>42419</v>
      </c>
      <c r="AA214" s="172">
        <v>-7.8243296463385015E-3</v>
      </c>
      <c r="AB214" s="169">
        <v>-8.0832631911809116E-3</v>
      </c>
    </row>
    <row r="215" spans="20:28" x14ac:dyDescent="0.2">
      <c r="T215" s="130"/>
      <c r="U215" s="151"/>
      <c r="X215" s="170" t="str">
        <f t="shared" si="12"/>
        <v>1D</v>
      </c>
      <c r="Y215" s="168">
        <f>_xll.qlCalendarAdvance(LiborCalendar,Y214,X215,"f",FALSE)</f>
        <v>42418</v>
      </c>
      <c r="Z215" s="171">
        <f>_xll.qlInterestRateIndexValueDate(IborIndex,Y215,Trigger)</f>
        <v>42422</v>
      </c>
      <c r="AA215" s="172">
        <v>-7.802523138264187E-3</v>
      </c>
      <c r="AB215" s="169">
        <v>-8.0738690469717156E-3</v>
      </c>
    </row>
    <row r="216" spans="20:28" x14ac:dyDescent="0.2">
      <c r="T216" s="130"/>
      <c r="U216" s="151"/>
      <c r="X216" s="170" t="str">
        <f t="shared" si="12"/>
        <v>1D</v>
      </c>
      <c r="Y216" s="168">
        <f>_xll.qlCalendarAdvance(LiborCalendar,Y215,X216,"f",FALSE)</f>
        <v>42419</v>
      </c>
      <c r="Z216" s="171">
        <f>_xll.qlInterestRateIndexValueDate(IborIndex,Y216,Trigger)</f>
        <v>42423</v>
      </c>
      <c r="AA216" s="172">
        <v>-7.7996831104454323E-3</v>
      </c>
      <c r="AB216" s="169">
        <v>-8.0690077819012274E-3</v>
      </c>
    </row>
    <row r="217" spans="20:28" x14ac:dyDescent="0.2">
      <c r="T217" s="130"/>
      <c r="U217" s="151"/>
      <c r="X217" s="170" t="str">
        <f t="shared" si="12"/>
        <v>1D</v>
      </c>
      <c r="Y217" s="168">
        <f>_xll.qlCalendarAdvance(LiborCalendar,Y216,X217,"f",FALSE)</f>
        <v>42422</v>
      </c>
      <c r="Z217" s="171">
        <f>_xll.qlInterestRateIndexValueDate(IborIndex,Y217,Trigger)</f>
        <v>42424</v>
      </c>
      <c r="AA217" s="172">
        <v>-7.7934561998489471E-3</v>
      </c>
      <c r="AB217" s="169">
        <v>-8.064102452438604E-3</v>
      </c>
    </row>
    <row r="218" spans="20:28" x14ac:dyDescent="0.2">
      <c r="T218" s="130"/>
      <c r="U218" s="151"/>
      <c r="X218" s="170" t="str">
        <f t="shared" si="12"/>
        <v>1D</v>
      </c>
      <c r="Y218" s="168">
        <f>_xll.qlCalendarAdvance(LiborCalendar,Y217,X218,"f",FALSE)</f>
        <v>42423</v>
      </c>
      <c r="Z218" s="171">
        <f>_xll.qlInterestRateIndexValueDate(IborIndex,Y218,Trigger)</f>
        <v>42425</v>
      </c>
      <c r="AA218" s="172">
        <v>-7.7872037120432225E-3</v>
      </c>
      <c r="AB218" s="169">
        <v>-8.0591530586238136E-3</v>
      </c>
    </row>
    <row r="219" spans="20:28" x14ac:dyDescent="0.2">
      <c r="T219" s="130"/>
      <c r="U219" s="151"/>
      <c r="X219" s="170" t="str">
        <f t="shared" si="12"/>
        <v>1D</v>
      </c>
      <c r="Y219" s="168">
        <f>_xll.qlCalendarAdvance(LiborCalendar,Y218,X219,"f",FALSE)</f>
        <v>42424</v>
      </c>
      <c r="Z219" s="171">
        <f>_xll.qlInterestRateIndexValueDate(IborIndex,Y219,Trigger)</f>
        <v>42426</v>
      </c>
      <c r="AA219" s="172">
        <v>-7.7809259137486819E-3</v>
      </c>
      <c r="AB219" s="169">
        <v>-8.0489274238049191E-3</v>
      </c>
    </row>
    <row r="220" spans="20:28" x14ac:dyDescent="0.2">
      <c r="T220" s="130"/>
      <c r="U220" s="151"/>
      <c r="X220" s="170" t="str">
        <f t="shared" si="12"/>
        <v>1D</v>
      </c>
      <c r="Y220" s="168">
        <f>_xll.qlCalendarAdvance(LiborCalendar,Y219,X220,"f",FALSE)</f>
        <v>42425</v>
      </c>
      <c r="Z220" s="171">
        <f>_xll.qlInterestRateIndexValueDate(IborIndex,Y220,Trigger)</f>
        <v>42429</v>
      </c>
      <c r="AA220" s="172">
        <v>-7.7550688859813303E-3</v>
      </c>
      <c r="AB220" s="169">
        <v>-8.0389148389237164E-3</v>
      </c>
    </row>
    <row r="221" spans="20:28" x14ac:dyDescent="0.2">
      <c r="T221" s="130"/>
      <c r="U221" s="151"/>
      <c r="X221" s="170" t="str">
        <f t="shared" si="12"/>
        <v>1D</v>
      </c>
      <c r="Y221" s="168">
        <f>_xll.qlCalendarAdvance(LiborCalendar,Y220,X221,"f",FALSE)</f>
        <v>42426</v>
      </c>
      <c r="Z221" s="171">
        <f>_xll.qlInterestRateIndexValueDate(IborIndex,Y221,Trigger)</f>
        <v>42430</v>
      </c>
      <c r="AA221" s="172">
        <v>-7.748672116923404E-3</v>
      </c>
      <c r="AB221" s="169">
        <v>-8.0337451228684742E-3</v>
      </c>
    </row>
    <row r="222" spans="20:28" x14ac:dyDescent="0.2">
      <c r="T222" s="130"/>
      <c r="U222" s="151"/>
      <c r="X222" s="170" t="str">
        <f t="shared" si="12"/>
        <v>1D</v>
      </c>
      <c r="Y222" s="168">
        <f>_xll.qlCalendarAdvance(LiborCalendar,Y221,X222,"f",FALSE)</f>
        <v>42429</v>
      </c>
      <c r="Z222" s="171">
        <f>_xll.qlInterestRateIndexValueDate(IborIndex,Y222,Trigger)</f>
        <v>42431</v>
      </c>
      <c r="AA222" s="172">
        <v>-7.7422514587130817E-3</v>
      </c>
      <c r="AB222" s="169">
        <v>-8.028531342541001E-3</v>
      </c>
    </row>
    <row r="223" spans="20:28" x14ac:dyDescent="0.2">
      <c r="T223" s="130"/>
      <c r="U223" s="151"/>
      <c r="X223" s="170" t="str">
        <f t="shared" si="12"/>
        <v>1D</v>
      </c>
      <c r="Y223" s="168">
        <f>_xll.qlCalendarAdvance(LiborCalendar,Y222,X223,"f",FALSE)</f>
        <v>42430</v>
      </c>
      <c r="Z223" s="171">
        <f>_xll.qlInterestRateIndexValueDate(IborIndex,Y223,Trigger)</f>
        <v>42432</v>
      </c>
      <c r="AA223" s="172">
        <v>-7.735807172264699E-3</v>
      </c>
      <c r="AB223" s="169">
        <v>-8.0232734976215525E-3</v>
      </c>
    </row>
    <row r="224" spans="20:28" x14ac:dyDescent="0.2">
      <c r="T224" s="130"/>
      <c r="U224" s="151"/>
      <c r="X224" s="170" t="str">
        <f t="shared" si="12"/>
        <v>1D</v>
      </c>
      <c r="Y224" s="168">
        <f>_xll.qlCalendarAdvance(LiborCalendar,Y223,X224,"f",FALSE)</f>
        <v>42431</v>
      </c>
      <c r="Z224" s="171">
        <f>_xll.qlInterestRateIndexValueDate(IborIndex,Y224,Trigger)</f>
        <v>42433</v>
      </c>
      <c r="AA224" s="172">
        <v>-7.7223578890187336E-3</v>
      </c>
      <c r="AB224" s="169">
        <v>-8.0124325890640336E-3</v>
      </c>
    </row>
    <row r="225" spans="20:28" x14ac:dyDescent="0.2">
      <c r="T225" s="130"/>
      <c r="U225" s="151"/>
      <c r="X225" s="170" t="str">
        <f t="shared" si="12"/>
        <v>1D</v>
      </c>
      <c r="Y225" s="168">
        <f>_xll.qlCalendarAdvance(LiborCalendar,Y224,X225,"f",FALSE)</f>
        <v>42432</v>
      </c>
      <c r="Z225" s="171">
        <f>_xll.qlInterestRateIndexValueDate(IborIndex,Y225,Trigger)</f>
        <v>42436</v>
      </c>
      <c r="AA225" s="172">
        <v>-7.7097989624323928E-3</v>
      </c>
      <c r="AB225" s="169">
        <v>-8.0018014737825993E-3</v>
      </c>
    </row>
    <row r="226" spans="20:28" x14ac:dyDescent="0.2">
      <c r="T226" s="130"/>
      <c r="U226" s="151"/>
      <c r="X226" s="170" t="str">
        <f t="shared" si="12"/>
        <v>1D</v>
      </c>
      <c r="Y226" s="168">
        <f>_xll.qlCalendarAdvance(LiborCalendar,Y225,X226,"f",FALSE)</f>
        <v>42433</v>
      </c>
      <c r="Z226" s="171">
        <f>_xll.qlInterestRateIndexValueDate(IborIndex,Y226,Trigger)</f>
        <v>42437</v>
      </c>
      <c r="AA226" s="172">
        <v>-7.7032404485621398E-3</v>
      </c>
      <c r="AB226" s="169">
        <v>-7.9963233067426032E-3</v>
      </c>
    </row>
    <row r="227" spans="20:28" x14ac:dyDescent="0.2">
      <c r="T227" s="130"/>
      <c r="U227" s="151"/>
      <c r="X227" s="170" t="str">
        <f t="shared" si="12"/>
        <v>1D</v>
      </c>
      <c r="Y227" s="168">
        <f>_xll.qlCalendarAdvance(LiborCalendar,Y226,X227,"f",FALSE)</f>
        <v>42436</v>
      </c>
      <c r="Z227" s="171">
        <f>_xll.qlInterestRateIndexValueDate(IborIndex,Y227,Trigger)</f>
        <v>42438</v>
      </c>
      <c r="AA227" s="172">
        <v>-7.696659871970238E-3</v>
      </c>
      <c r="AB227" s="169">
        <v>-7.9908010751505998E-3</v>
      </c>
    </row>
    <row r="228" spans="20:28" x14ac:dyDescent="0.2">
      <c r="T228" s="130"/>
      <c r="U228" s="151"/>
      <c r="X228" s="170" t="str">
        <f t="shared" si="12"/>
        <v>1D</v>
      </c>
      <c r="Y228" s="168">
        <f>_xll.qlCalendarAdvance(LiborCalendar,Y227,X228,"f",FALSE)</f>
        <v>42437</v>
      </c>
      <c r="Z228" s="171">
        <f>_xll.qlInterestRateIndexValueDate(IborIndex,Y228,Trigger)</f>
        <v>42439</v>
      </c>
      <c r="AA228" s="172">
        <v>-7.6900574935818804E-3</v>
      </c>
      <c r="AB228" s="169">
        <v>-7.9852347792463974E-3</v>
      </c>
    </row>
    <row r="229" spans="20:28" x14ac:dyDescent="0.2">
      <c r="T229" s="130"/>
      <c r="U229" s="151"/>
      <c r="X229" s="170" t="str">
        <f t="shared" si="12"/>
        <v>1D</v>
      </c>
      <c r="Y229" s="168">
        <f>_xll.qlCalendarAdvance(LiborCalendar,Y228,X229,"f",FALSE)</f>
        <v>42438</v>
      </c>
      <c r="Z229" s="171">
        <f>_xll.qlInterestRateIndexValueDate(IborIndex,Y229,Trigger)</f>
        <v>42440</v>
      </c>
      <c r="AA229" s="172">
        <v>-7.6763126077649289E-3</v>
      </c>
      <c r="AB229" s="169">
        <v>-7.9737786850264669E-3</v>
      </c>
    </row>
    <row r="230" spans="20:28" x14ac:dyDescent="0.2">
      <c r="T230" s="130"/>
      <c r="U230" s="151"/>
      <c r="X230" s="170" t="str">
        <f t="shared" si="12"/>
        <v>1D</v>
      </c>
      <c r="Y230" s="168">
        <f>_xll.qlCalendarAdvance(LiborCalendar,Y229,X230,"f",FALSE)</f>
        <v>42439</v>
      </c>
      <c r="Z230" s="171">
        <f>_xll.qlInterestRateIndexValueDate(IborIndex,Y230,Trigger)</f>
        <v>42443</v>
      </c>
      <c r="AA230" s="172">
        <v>-7.6634351805882081E-3</v>
      </c>
      <c r="AB230" s="169">
        <v>-7.9625289508689079E-3</v>
      </c>
    </row>
    <row r="231" spans="20:28" x14ac:dyDescent="0.2">
      <c r="T231" s="130"/>
      <c r="U231" s="151"/>
      <c r="X231" s="170" t="str">
        <f t="shared" si="12"/>
        <v>1D</v>
      </c>
      <c r="Y231" s="168">
        <f>_xll.qlCalendarAdvance(LiborCalendar,Y230,X231,"f",FALSE)</f>
        <v>42440</v>
      </c>
      <c r="Z231" s="171">
        <f>_xll.qlInterestRateIndexValueDate(IborIndex,Y231,Trigger)</f>
        <v>42444</v>
      </c>
      <c r="AA231" s="172">
        <v>-7.6567277071259024E-3</v>
      </c>
      <c r="AB231" s="169">
        <v>-7.9567423326443176E-3</v>
      </c>
    </row>
    <row r="232" spans="20:28" x14ac:dyDescent="0.2">
      <c r="T232" s="130"/>
      <c r="U232" s="151"/>
      <c r="X232" s="170" t="str">
        <f t="shared" si="12"/>
        <v>1D</v>
      </c>
      <c r="Y232" s="168">
        <f>_xll.qlCalendarAdvance(LiborCalendar,Y231,X232,"f",FALSE)</f>
        <v>42443</v>
      </c>
      <c r="Z232" s="171">
        <f>_xll.qlInterestRateIndexValueDate(IborIndex,Y232,Trigger)</f>
        <v>42445</v>
      </c>
      <c r="AA232" s="172">
        <v>-7.6499999974417691E-3</v>
      </c>
      <c r="AB232" s="169">
        <v>-7.9509156602597386E-3</v>
      </c>
    </row>
    <row r="233" spans="20:28" x14ac:dyDescent="0.2">
      <c r="T233" s="130"/>
      <c r="U233" s="151"/>
      <c r="X233" s="170" t="str">
        <f t="shared" si="12"/>
        <v>1D</v>
      </c>
      <c r="Y233" s="168">
        <f>_xll.qlCalendarAdvance(LiborCalendar,Y232,X233,"f",FALSE)</f>
        <v>42444</v>
      </c>
      <c r="Z233" s="171">
        <f>_xll.qlInterestRateIndexValueDate(IborIndex,Y233,Trigger)</f>
        <v>42446</v>
      </c>
      <c r="AA233" s="172">
        <v>-7.6432523298040848E-3</v>
      </c>
      <c r="AB233" s="169">
        <v>-7.9450649752033087E-3</v>
      </c>
    </row>
    <row r="234" spans="20:28" x14ac:dyDescent="0.2">
      <c r="T234" s="130"/>
      <c r="U234" s="151"/>
      <c r="X234" s="170" t="str">
        <f t="shared" si="12"/>
        <v>1D</v>
      </c>
      <c r="Y234" s="168">
        <f>_xll.qlCalendarAdvance(LiborCalendar,Y233,X234,"f",FALSE)</f>
        <v>42445</v>
      </c>
      <c r="Z234" s="171">
        <f>_xll.qlInterestRateIndexValueDate(IborIndex,Y234,Trigger)</f>
        <v>42447</v>
      </c>
      <c r="AA234" s="172">
        <v>-7.6292294676123008E-3</v>
      </c>
      <c r="AB234" s="169">
        <v>-7.933122105936441E-3</v>
      </c>
    </row>
    <row r="235" spans="20:28" x14ac:dyDescent="0.2">
      <c r="T235" s="130"/>
      <c r="U235" s="151"/>
      <c r="X235" s="170" t="str">
        <f t="shared" si="12"/>
        <v>1D</v>
      </c>
      <c r="Y235" s="168">
        <f>_xll.qlCalendarAdvance(LiborCalendar,Y234,X235,"f",FALSE)</f>
        <v>42446</v>
      </c>
      <c r="Z235" s="171">
        <f>_xll.qlInterestRateIndexValueDate(IborIndex,Y235,Trigger)</f>
        <v>42450</v>
      </c>
      <c r="AA235" s="172">
        <v>-7.6160692052910147E-3</v>
      </c>
      <c r="AB235" s="169">
        <v>-7.9214622103807031E-3</v>
      </c>
    </row>
    <row r="236" spans="20:28" x14ac:dyDescent="0.2">
      <c r="T236" s="130"/>
      <c r="U236" s="151"/>
      <c r="X236" s="170" t="str">
        <f t="shared" si="12"/>
        <v>1D</v>
      </c>
      <c r="Y236" s="168">
        <f>_xll.qlCalendarAdvance(LiborCalendar,Y235,X236,"f",FALSE)</f>
        <v>42447</v>
      </c>
      <c r="Z236" s="171">
        <f>_xll.qlInterestRateIndexValueDate(IborIndex,Y236,Trigger)</f>
        <v>42451</v>
      </c>
      <c r="AA236" s="172">
        <v>-7.6092271354212121E-3</v>
      </c>
      <c r="AB236" s="169">
        <v>-7.9155115132056864E-3</v>
      </c>
    </row>
    <row r="237" spans="20:28" x14ac:dyDescent="0.2">
      <c r="T237" s="130"/>
      <c r="U237" s="151"/>
      <c r="X237" s="170" t="str">
        <f t="shared" si="12"/>
        <v>1D</v>
      </c>
      <c r="Y237" s="168">
        <f>_xll.qlCalendarAdvance(LiborCalendar,Y236,X237,"f",FALSE)</f>
        <v>42450</v>
      </c>
      <c r="Z237" s="171">
        <f>_xll.qlInterestRateIndexValueDate(IborIndex,Y237,Trigger)</f>
        <v>42452</v>
      </c>
      <c r="AA237" s="172">
        <v>-7.6023672799614521E-3</v>
      </c>
      <c r="AB237" s="169">
        <v>-7.909540813550997E-3</v>
      </c>
    </row>
    <row r="238" spans="20:28" x14ac:dyDescent="0.2">
      <c r="T238" s="130"/>
      <c r="U238" s="151"/>
      <c r="X238" s="170" t="str">
        <f t="shared" si="12"/>
        <v>1D</v>
      </c>
      <c r="Y238" s="168">
        <f>_xll.qlCalendarAdvance(LiborCalendar,Y237,X238,"f",FALSE)</f>
        <v>42451</v>
      </c>
      <c r="Z238" s="171">
        <f>_xll.qlInterestRateIndexValueDate(IborIndex,Y238,Trigger)</f>
        <v>42453</v>
      </c>
      <c r="AA238" s="172">
        <v>-7.5954900038697985E-3</v>
      </c>
      <c r="AB238" s="169">
        <v>-7.8911427296706194E-3</v>
      </c>
    </row>
    <row r="239" spans="20:28" x14ac:dyDescent="0.2">
      <c r="T239" s="130"/>
      <c r="U239" s="151"/>
      <c r="X239" s="170" t="str">
        <f t="shared" si="12"/>
        <v>1D</v>
      </c>
      <c r="Y239" s="168">
        <f>_xll.qlCalendarAdvance(LiborCalendar,Y238,X239,"f",FALSE)</f>
        <v>42452</v>
      </c>
      <c r="Z239" s="171">
        <f>_xll.qlInterestRateIndexValueDate(IborIndex,Y239,Trigger)</f>
        <v>42458</v>
      </c>
      <c r="AA239" s="172">
        <v>-7.5608550876217553E-3</v>
      </c>
      <c r="AB239" s="169">
        <v>-7.8732965644690012E-3</v>
      </c>
    </row>
    <row r="240" spans="20:28" x14ac:dyDescent="0.2">
      <c r="T240" s="130"/>
      <c r="U240" s="151"/>
      <c r="X240" s="170" t="str">
        <f t="shared" si="12"/>
        <v>1D</v>
      </c>
      <c r="Y240" s="168">
        <f>_xll.qlCalendarAdvance(LiborCalendar,Y239,X240,"f",FALSE)</f>
        <v>42453</v>
      </c>
      <c r="Z240" s="171">
        <f>_xll.qlInterestRateIndexValueDate(IborIndex,Y240,Trigger)</f>
        <v>42459</v>
      </c>
      <c r="AA240" s="172">
        <v>-7.5538809519840652E-3</v>
      </c>
      <c r="AB240" s="169">
        <v>-7.8671858477763479E-3</v>
      </c>
    </row>
    <row r="241" spans="20:28" x14ac:dyDescent="0.2">
      <c r="T241" s="130"/>
      <c r="U241" s="151"/>
      <c r="X241" s="170" t="str">
        <f t="shared" si="12"/>
        <v>1D</v>
      </c>
      <c r="Y241" s="168">
        <f>_xll.qlCalendarAdvance(LiborCalendar,Y240,X241,"f",FALSE)</f>
        <v>42458</v>
      </c>
      <c r="Z241" s="171">
        <f>_xll.qlInterestRateIndexValueDate(IborIndex,Y241,Trigger)</f>
        <v>42460</v>
      </c>
      <c r="AA241" s="172">
        <v>-7.5506030465898582E-3</v>
      </c>
      <c r="AB241" s="169">
        <v>-7.86105512864399E-3</v>
      </c>
    </row>
    <row r="242" spans="20:28" x14ac:dyDescent="0.2">
      <c r="T242" s="130"/>
      <c r="U242" s="151"/>
      <c r="X242" s="170" t="str">
        <f t="shared" si="12"/>
        <v>1D</v>
      </c>
      <c r="Y242" s="168">
        <f>_xll.qlCalendarAdvance(LiborCalendar,Y241,X242,"f",FALSE)</f>
        <v>42459</v>
      </c>
      <c r="Z242" s="171">
        <f>_xll.qlInterestRateIndexValueDate(IborIndex,Y242,Trigger)</f>
        <v>42461</v>
      </c>
      <c r="AA242" s="172">
        <v>-7.5436043320057222E-3</v>
      </c>
      <c r="AB242" s="169">
        <v>-7.8485558987528847E-3</v>
      </c>
    </row>
    <row r="243" spans="20:28" x14ac:dyDescent="0.2">
      <c r="T243" s="130"/>
      <c r="U243" s="151"/>
      <c r="X243" s="170" t="str">
        <f t="shared" si="12"/>
        <v>1D</v>
      </c>
      <c r="Y243" s="168">
        <f>_xll.qlCalendarAdvance(LiborCalendar,Y242,X243,"f",FALSE)</f>
        <v>42460</v>
      </c>
      <c r="Z243" s="171">
        <f>_xll.qlInterestRateIndexValueDate(IborIndex,Y243,Trigger)</f>
        <v>42464</v>
      </c>
      <c r="AA243" s="172">
        <v>-7.5225230187163971E-3</v>
      </c>
      <c r="AB243" s="169">
        <v>-7.8363322276775449E-3</v>
      </c>
    </row>
    <row r="244" spans="20:28" x14ac:dyDescent="0.2">
      <c r="T244" s="130"/>
      <c r="U244" s="151"/>
      <c r="X244" s="170" t="str">
        <f t="shared" si="12"/>
        <v>1D</v>
      </c>
      <c r="Y244" s="168">
        <f>_xll.qlCalendarAdvance(LiborCalendar,Y243,X244,"f",FALSE)</f>
        <v>42461</v>
      </c>
      <c r="Z244" s="171">
        <f>_xll.qlInterestRateIndexValueDate(IborIndex,Y244,Trigger)</f>
        <v>42465</v>
      </c>
      <c r="AA244" s="172">
        <v>-7.5154687544496052E-3</v>
      </c>
      <c r="AB244" s="169">
        <v>-7.8301014964266002E-3</v>
      </c>
    </row>
    <row r="245" spans="20:28" x14ac:dyDescent="0.2">
      <c r="T245" s="130"/>
      <c r="U245" s="151"/>
      <c r="X245" s="170" t="str">
        <f t="shared" si="12"/>
        <v>1D</v>
      </c>
      <c r="Y245" s="168">
        <f>_xll.qlCalendarAdvance(LiborCalendar,Y244,X245,"f",FALSE)</f>
        <v>42464</v>
      </c>
      <c r="Z245" s="171">
        <f>_xll.qlInterestRateIndexValueDate(IborIndex,Y245,Trigger)</f>
        <v>42466</v>
      </c>
      <c r="AA245" s="172">
        <v>-7.5084015252736671E-3</v>
      </c>
      <c r="AB245" s="169">
        <v>-7.823850762656015E-3</v>
      </c>
    </row>
    <row r="246" spans="20:28" x14ac:dyDescent="0.2">
      <c r="T246" s="130"/>
      <c r="U246" s="151"/>
      <c r="X246" s="170" t="str">
        <f t="shared" si="12"/>
        <v>1D</v>
      </c>
      <c r="Y246" s="168">
        <f>_xll.qlCalendarAdvance(LiborCalendar,Y245,X246,"f",FALSE)</f>
        <v>42465</v>
      </c>
      <c r="Z246" s="171">
        <f>_xll.qlInterestRateIndexValueDate(IborIndex,Y246,Trigger)</f>
        <v>42467</v>
      </c>
      <c r="AA246" s="172">
        <v>-7.5013217002002173E-3</v>
      </c>
      <c r="AB246" s="169">
        <v>-7.8175800264057571E-3</v>
      </c>
    </row>
    <row r="247" spans="20:28" x14ac:dyDescent="0.2">
      <c r="T247" s="130"/>
      <c r="U247" s="151"/>
      <c r="X247" s="170" t="str">
        <f t="shared" si="12"/>
        <v>1D</v>
      </c>
      <c r="Y247" s="168">
        <f>_xll.qlCalendarAdvance(LiborCalendar,Y246,X247,"f",FALSE)</f>
        <v>42466</v>
      </c>
      <c r="Z247" s="171">
        <f>_xll.qlInterestRateIndexValueDate(IborIndex,Y247,Trigger)</f>
        <v>42468</v>
      </c>
      <c r="AA247" s="172">
        <v>-7.4942296482408896E-3</v>
      </c>
      <c r="AB247" s="169">
        <v>-7.8048026649302216E-3</v>
      </c>
    </row>
    <row r="248" spans="20:28" x14ac:dyDescent="0.2">
      <c r="T248" s="130"/>
      <c r="U248" s="151"/>
      <c r="X248" s="170" t="str">
        <f t="shared" si="12"/>
        <v>1D</v>
      </c>
      <c r="Y248" s="168">
        <f>_xll.qlCalendarAdvance(LiborCalendar,Y247,X248,"f",FALSE)</f>
        <v>42467</v>
      </c>
      <c r="Z248" s="171">
        <f>_xll.qlInterestRateIndexValueDate(IborIndex,Y248,Trigger)</f>
        <v>42471</v>
      </c>
      <c r="AA248" s="172">
        <v>-7.4728838212105445E-3</v>
      </c>
      <c r="AB248" s="169">
        <v>-7.792297057087616E-3</v>
      </c>
    </row>
    <row r="249" spans="20:28" x14ac:dyDescent="0.2">
      <c r="T249" s="130"/>
      <c r="U249" s="151"/>
      <c r="X249" s="170" t="str">
        <f t="shared" si="12"/>
        <v>1D</v>
      </c>
      <c r="Y249" s="168">
        <f>_xll.qlCalendarAdvance(LiborCalendar,Y248,X249,"f",FALSE)</f>
        <v>42468</v>
      </c>
      <c r="Z249" s="171">
        <f>_xll.qlInterestRateIndexValueDate(IborIndex,Y249,Trigger)</f>
        <v>42472</v>
      </c>
      <c r="AA249" s="172">
        <v>-7.4657465518842229E-3</v>
      </c>
      <c r="AB249" s="169">
        <v>-7.7859263086788033E-3</v>
      </c>
    </row>
    <row r="250" spans="20:28" x14ac:dyDescent="0.2">
      <c r="T250" s="130"/>
      <c r="U250" s="151"/>
      <c r="X250" s="170" t="str">
        <f t="shared" si="12"/>
        <v>1D</v>
      </c>
      <c r="Y250" s="168">
        <f>_xll.qlCalendarAdvance(LiborCalendar,Y249,X250,"f",FALSE)</f>
        <v>42471</v>
      </c>
      <c r="Z250" s="171">
        <f>_xll.qlInterestRateIndexValueDate(IborIndex,Y250,Trigger)</f>
        <v>42473</v>
      </c>
      <c r="AA250" s="172">
        <v>-7.4585989007719218E-3</v>
      </c>
      <c r="AB250" s="169">
        <v>-7.779535557790318E-3</v>
      </c>
    </row>
    <row r="251" spans="20:28" x14ac:dyDescent="0.2">
      <c r="T251" s="130"/>
      <c r="U251" s="151"/>
      <c r="X251" s="170" t="str">
        <f t="shared" si="12"/>
        <v>1D</v>
      </c>
      <c r="Y251" s="168">
        <f>_xll.qlCalendarAdvance(LiborCalendar,Y250,X251,"f",FALSE)</f>
        <v>42472</v>
      </c>
      <c r="Z251" s="171">
        <f>_xll.qlInterestRateIndexValueDate(IborIndex,Y251,Trigger)</f>
        <v>42474</v>
      </c>
      <c r="AA251" s="172">
        <v>-7.4514412369032822E-3</v>
      </c>
      <c r="AB251" s="169">
        <v>-7.7731248044221601E-3</v>
      </c>
    </row>
    <row r="252" spans="20:28" x14ac:dyDescent="0.2">
      <c r="T252" s="130"/>
      <c r="U252" s="151"/>
      <c r="X252" s="170" t="str">
        <f t="shared" si="12"/>
        <v>1D</v>
      </c>
      <c r="Y252" s="168">
        <f>_xll.qlCalendarAdvance(LiborCalendar,Y251,X252,"f",FALSE)</f>
        <v>42473</v>
      </c>
      <c r="Z252" s="171">
        <f>_xll.qlInterestRateIndexValueDate(IborIndex,Y252,Trigger)</f>
        <v>42475</v>
      </c>
      <c r="AA252" s="172">
        <v>-7.4442739293088247E-3</v>
      </c>
      <c r="AB252" s="169">
        <v>-7.7600693428037104E-3</v>
      </c>
    </row>
    <row r="253" spans="20:28" x14ac:dyDescent="0.2">
      <c r="T253" s="130"/>
      <c r="U253" s="151"/>
      <c r="X253" s="170" t="str">
        <f t="shared" si="12"/>
        <v>1D</v>
      </c>
      <c r="Y253" s="168">
        <f>_xll.qlCalendarAdvance(LiborCalendar,Y252,X253,"f",FALSE)</f>
        <v>42474</v>
      </c>
      <c r="Z253" s="171">
        <f>_xll.qlInterestRateIndexValueDate(IborIndex,Y253,Trigger)</f>
        <v>42478</v>
      </c>
      <c r="AA253" s="172">
        <v>-7.4227178345104465E-3</v>
      </c>
      <c r="AB253" s="169">
        <v>-7.7472817665125149E-3</v>
      </c>
    </row>
    <row r="254" spans="20:28" x14ac:dyDescent="0.2">
      <c r="T254" s="130"/>
      <c r="U254" s="151"/>
      <c r="X254" s="170" t="str">
        <f t="shared" si="12"/>
        <v>1D</v>
      </c>
      <c r="Y254" s="168">
        <f>_xll.qlCalendarAdvance(LiborCalendar,Y253,X254,"f",FALSE)</f>
        <v>42475</v>
      </c>
      <c r="Z254" s="171">
        <f>_xll.qlInterestRateIndexValueDate(IborIndex,Y254,Trigger)</f>
        <v>42479</v>
      </c>
      <c r="AA254" s="172">
        <v>-7.415515642366235E-3</v>
      </c>
      <c r="AB254" s="169">
        <v>-7.7407710008658981E-3</v>
      </c>
    </row>
    <row r="255" spans="20:28" x14ac:dyDescent="0.2">
      <c r="T255" s="130"/>
      <c r="U255" s="151"/>
      <c r="X255" s="170" t="str">
        <f t="shared" si="12"/>
        <v>1D</v>
      </c>
      <c r="Y255" s="168">
        <f>_xll.qlCalendarAdvance(LiborCalendar,Y254,X255,"f",FALSE)</f>
        <v>42478</v>
      </c>
      <c r="Z255" s="171">
        <f>_xll.qlInterestRateIndexValueDate(IborIndex,Y255,Trigger)</f>
        <v>42480</v>
      </c>
      <c r="AA255" s="172">
        <v>-7.4083056516883366E-3</v>
      </c>
      <c r="AB255" s="169">
        <v>-7.7342402328595128E-3</v>
      </c>
    </row>
    <row r="256" spans="20:28" x14ac:dyDescent="0.2">
      <c r="T256" s="130"/>
      <c r="U256" s="151"/>
      <c r="X256" s="170" t="str">
        <f t="shared" si="12"/>
        <v>1D</v>
      </c>
      <c r="Y256" s="168">
        <f>_xll.qlCalendarAdvance(LiborCalendar,Y255,X256,"f",FALSE)</f>
        <v>42479</v>
      </c>
      <c r="Z256" s="171">
        <f>_xll.qlInterestRateIndexValueDate(IborIndex,Y256,Trigger)</f>
        <v>42481</v>
      </c>
      <c r="AA256" s="172">
        <v>-7.4010882315217645E-3</v>
      </c>
      <c r="AB256" s="169">
        <v>-7.7276894623334869E-3</v>
      </c>
    </row>
    <row r="257" spans="20:28" x14ac:dyDescent="0.2">
      <c r="T257" s="130"/>
      <c r="U257" s="151"/>
      <c r="X257" s="170" t="str">
        <f t="shared" si="12"/>
        <v>1D</v>
      </c>
      <c r="Y257" s="168">
        <f>_xll.qlCalendarAdvance(LiborCalendar,Y256,X257,"f",FALSE)</f>
        <v>42480</v>
      </c>
      <c r="Z257" s="171">
        <f>_xll.qlInterestRateIndexValueDate(IborIndex,Y257,Trigger)</f>
        <v>42482</v>
      </c>
      <c r="AA257" s="172">
        <v>-7.3938637509150485E-3</v>
      </c>
      <c r="AB257" s="169">
        <v>-7.7143559313608279E-3</v>
      </c>
    </row>
    <row r="258" spans="20:28" x14ac:dyDescent="0.2">
      <c r="T258" s="130"/>
      <c r="U258" s="151"/>
      <c r="X258" s="170" t="str">
        <f t="shared" si="12"/>
        <v>1D</v>
      </c>
      <c r="Y258" s="168">
        <f>_xll.qlCalendarAdvance(LiborCalendar,Y257,X258,"f",FALSE)</f>
        <v>42481</v>
      </c>
      <c r="Z258" s="171">
        <f>_xll.qlInterestRateIndexValueDate(IborIndex,Y258,Trigger)</f>
        <v>42485</v>
      </c>
      <c r="AA258" s="172">
        <v>-7.3721516369893826E-3</v>
      </c>
      <c r="AB258" s="169">
        <v>-7.7012863555525612E-3</v>
      </c>
    </row>
    <row r="259" spans="20:28" x14ac:dyDescent="0.2">
      <c r="T259" s="130"/>
      <c r="U259" s="151"/>
      <c r="X259" s="170" t="str">
        <f t="shared" si="12"/>
        <v>1D</v>
      </c>
      <c r="Y259" s="168">
        <f>_xll.qlCalendarAdvance(LiborCalendar,Y258,X259,"f",FALSE)</f>
        <v>42482</v>
      </c>
      <c r="Z259" s="171">
        <f>_xll.qlInterestRateIndexValueDate(IborIndex,Y259,Trigger)</f>
        <v>42486</v>
      </c>
      <c r="AA259" s="172">
        <v>-7.3649026051679795E-3</v>
      </c>
      <c r="AB259" s="169">
        <v>-7.6946355727480764E-3</v>
      </c>
    </row>
    <row r="260" spans="20:28" x14ac:dyDescent="0.2">
      <c r="T260" s="130"/>
      <c r="U260" s="151"/>
      <c r="X260" s="170" t="str">
        <f t="shared" si="12"/>
        <v>1D</v>
      </c>
      <c r="Y260" s="168">
        <f>_xll.qlCalendarAdvance(LiborCalendar,Y259,X260,"f",FALSE)</f>
        <v>42485</v>
      </c>
      <c r="Z260" s="171">
        <f>_xll.qlInterestRateIndexValueDate(IborIndex,Y260,Trigger)</f>
        <v>42487</v>
      </c>
      <c r="AA260" s="172">
        <v>-7.3576483581916747E-3</v>
      </c>
      <c r="AB260" s="169">
        <v>-7.6879647873440149E-3</v>
      </c>
    </row>
    <row r="261" spans="20:28" x14ac:dyDescent="0.2">
      <c r="T261" s="130"/>
      <c r="U261" s="151"/>
      <c r="X261" s="170" t="str">
        <f t="shared" si="12"/>
        <v>1D</v>
      </c>
      <c r="Y261" s="168">
        <f>_xll.qlCalendarAdvance(LiborCalendar,Y260,X261,"f",FALSE)</f>
        <v>42486</v>
      </c>
      <c r="Z261" s="171">
        <f>_xll.qlInterestRateIndexValueDate(IborIndex,Y261,Trigger)</f>
        <v>42488</v>
      </c>
      <c r="AA261" s="172">
        <v>-7.3503892651261248E-3</v>
      </c>
      <c r="AB261" s="169">
        <v>-7.681273999700089E-3</v>
      </c>
    </row>
    <row r="262" spans="20:28" x14ac:dyDescent="0.2">
      <c r="T262" s="130"/>
      <c r="U262" s="151"/>
      <c r="X262" s="170" t="str">
        <f t="shared" si="12"/>
        <v>1D</v>
      </c>
      <c r="Y262" s="168">
        <f>_xll.qlCalendarAdvance(LiborCalendar,Y261,X262,"f",FALSE)</f>
        <v>42487</v>
      </c>
      <c r="Z262" s="171">
        <f>_xll.qlInterestRateIndexValueDate(IborIndex,Y262,Trigger)</f>
        <v>42489</v>
      </c>
      <c r="AA262" s="172">
        <v>-7.3431256950378674E-3</v>
      </c>
      <c r="AB262" s="169">
        <v>-7.6642022558215395E-3</v>
      </c>
    </row>
    <row r="263" spans="20:28" x14ac:dyDescent="0.2">
      <c r="T263" s="130"/>
      <c r="U263" s="151"/>
      <c r="X263" s="170" t="str">
        <f t="shared" si="12"/>
        <v>1D</v>
      </c>
      <c r="Y263" s="168">
        <f>_xll.qlCalendarAdvance(LiborCalendar,Y262,X263,"f",FALSE)</f>
        <v>42488</v>
      </c>
      <c r="Z263" s="171">
        <f>_xll.qlInterestRateIndexValueDate(IborIndex,Y263,Trigger)</f>
        <v>42493</v>
      </c>
      <c r="AA263" s="172">
        <v>-7.3103040585907556E-3</v>
      </c>
      <c r="AB263" s="169">
        <v>-7.6475200237258179E-3</v>
      </c>
    </row>
    <row r="264" spans="20:28" x14ac:dyDescent="0.2">
      <c r="T264" s="130"/>
      <c r="U264" s="151"/>
      <c r="X264" s="170" t="str">
        <f t="shared" si="12"/>
        <v>1D</v>
      </c>
      <c r="Y264" s="168">
        <f>_xll.qlCalendarAdvance(LiborCalendar,Y263,X264,"f",FALSE)</f>
        <v>42489</v>
      </c>
      <c r="Z264" s="171">
        <f>_xll.qlInterestRateIndexValueDate(IborIndex,Y264,Trigger)</f>
        <v>42494</v>
      </c>
      <c r="AA264" s="172">
        <v>-7.3030267956849968E-3</v>
      </c>
      <c r="AB264" s="169">
        <v>-7.6407092212438243E-3</v>
      </c>
    </row>
    <row r="265" spans="20:28" x14ac:dyDescent="0.2">
      <c r="T265" s="130"/>
      <c r="U265" s="151"/>
      <c r="X265" s="170" t="str">
        <f t="shared" si="12"/>
        <v>1D</v>
      </c>
      <c r="Y265" s="168">
        <f>_xll.qlCalendarAdvance(LiborCalendar,Y264,X265,"f",FALSE)</f>
        <v>42493</v>
      </c>
      <c r="Z265" s="171">
        <f>_xll.qlInterestRateIndexValueDate(IborIndex,Y265,Trigger)</f>
        <v>42496</v>
      </c>
      <c r="AA265" s="172">
        <v>-7.2810375093616429E-3</v>
      </c>
      <c r="AB265" s="169">
        <v>-7.6199888359029799E-3</v>
      </c>
    </row>
    <row r="266" spans="20:28" x14ac:dyDescent="0.2">
      <c r="T266" s="130"/>
      <c r="U266" s="151"/>
      <c r="X266" s="170" t="str">
        <f t="shared" si="12"/>
        <v>1D</v>
      </c>
      <c r="Y266" s="168">
        <f>_xll.qlCalendarAdvance(LiborCalendar,Y265,X266,"f",FALSE)</f>
        <v>42494</v>
      </c>
      <c r="Z266" s="171">
        <f>_xll.qlInterestRateIndexValueDate(IborIndex,Y266,Trigger)</f>
        <v>42496</v>
      </c>
      <c r="AA266" s="172">
        <v>-7.2810375093616429E-3</v>
      </c>
      <c r="AB266" s="169">
        <v>-7.6199888359029799E-3</v>
      </c>
    </row>
    <row r="267" spans="20:28" x14ac:dyDescent="0.2">
      <c r="T267" s="130"/>
      <c r="U267" s="151"/>
      <c r="X267" s="170" t="str">
        <f t="shared" si="12"/>
        <v>1D</v>
      </c>
      <c r="Y267" s="168">
        <f>_xll.qlCalendarAdvance(LiborCalendar,Y266,X267,"f",FALSE)</f>
        <v>42495</v>
      </c>
      <c r="Z267" s="171">
        <f>_xll.qlInterestRateIndexValueDate(IborIndex,Y267,Trigger)</f>
        <v>42499</v>
      </c>
      <c r="AA267" s="172">
        <v>-7.266616430441305E-3</v>
      </c>
      <c r="AB267" s="169">
        <v>-7.6063551710792154E-3</v>
      </c>
    </row>
    <row r="268" spans="20:28" x14ac:dyDescent="0.2">
      <c r="T268" s="130"/>
      <c r="U268" s="151"/>
      <c r="X268" s="170" t="str">
        <f t="shared" si="12"/>
        <v>1D</v>
      </c>
      <c r="Y268" s="168">
        <f>_xll.qlCalendarAdvance(LiborCalendar,Y267,X268,"f",FALSE)</f>
        <v>42496</v>
      </c>
      <c r="Z268" s="171">
        <f>_xll.qlInterestRateIndexValueDate(IborIndex,Y268,Trigger)</f>
        <v>42500</v>
      </c>
      <c r="AA268" s="172">
        <v>-7.2593321027672108E-3</v>
      </c>
      <c r="AB268" s="169">
        <v>-7.5994243536792183E-3</v>
      </c>
    </row>
    <row r="269" spans="20:28" x14ac:dyDescent="0.2">
      <c r="T269" s="130"/>
      <c r="U269" s="151"/>
      <c r="X269" s="170" t="str">
        <f t="shared" si="12"/>
        <v>1D</v>
      </c>
      <c r="Y269" s="168">
        <f>_xll.qlCalendarAdvance(LiborCalendar,Y268,X269,"f",FALSE)</f>
        <v>42499</v>
      </c>
      <c r="Z269" s="171">
        <f>_xll.qlInterestRateIndexValueDate(IborIndex,Y269,Trigger)</f>
        <v>42501</v>
      </c>
      <c r="AA269" s="172">
        <v>-7.252047875402008E-3</v>
      </c>
      <c r="AB269" s="169">
        <v>-7.5924735336796445E-3</v>
      </c>
    </row>
    <row r="270" spans="20:28" x14ac:dyDescent="0.2">
      <c r="T270" s="130"/>
      <c r="U270" s="151"/>
      <c r="X270" s="170" t="str">
        <f t="shared" si="12"/>
        <v>1D</v>
      </c>
      <c r="Y270" s="168">
        <f>_xll.qlCalendarAdvance(LiborCalendar,Y269,X270,"f",FALSE)</f>
        <v>42500</v>
      </c>
      <c r="Z270" s="171">
        <f>_xll.qlInterestRateIndexValueDate(IborIndex,Y270,Trigger)</f>
        <v>42502</v>
      </c>
      <c r="AA270" s="172">
        <v>-7.2447641134332228E-3</v>
      </c>
      <c r="AB270" s="169">
        <v>-7.5855027113203022E-3</v>
      </c>
    </row>
    <row r="271" spans="20:28" x14ac:dyDescent="0.2">
      <c r="T271" s="130"/>
      <c r="U271" s="151"/>
      <c r="X271" s="170" t="str">
        <f t="shared" si="12"/>
        <v>1D</v>
      </c>
      <c r="Y271" s="168">
        <f>_xll.qlCalendarAdvance(LiborCalendar,Y270,X271,"f",FALSE)</f>
        <v>42501</v>
      </c>
      <c r="Z271" s="171">
        <f>_xll.qlInterestRateIndexValueDate(IborIndex,Y271,Trigger)</f>
        <v>42503</v>
      </c>
      <c r="AA271" s="172">
        <v>-7.2301112978861394E-3</v>
      </c>
      <c r="AB271" s="169">
        <v>-7.5713351495831915E-3</v>
      </c>
    </row>
    <row r="272" spans="20:28" x14ac:dyDescent="0.2">
      <c r="T272" s="130"/>
      <c r="U272" s="151"/>
      <c r="X272" s="170" t="str">
        <f t="shared" si="12"/>
        <v>1D</v>
      </c>
      <c r="Y272" s="168">
        <f>_xll.qlCalendarAdvance(LiborCalendar,Y271,X272,"f",FALSE)</f>
        <v>42502</v>
      </c>
      <c r="Z272" s="171">
        <f>_xll.qlInterestRateIndexValueDate(IborIndex,Y272,Trigger)</f>
        <v>42507</v>
      </c>
      <c r="AA272" s="172">
        <v>-7.208365062670188E-3</v>
      </c>
      <c r="AB272" s="169">
        <v>-7.5503485620087574E-3</v>
      </c>
    </row>
    <row r="273" spans="20:28" x14ac:dyDescent="0.2">
      <c r="T273" s="130"/>
      <c r="U273" s="151"/>
      <c r="X273" s="170" t="str">
        <f t="shared" si="12"/>
        <v>1D</v>
      </c>
      <c r="Y273" s="168">
        <f>_xll.qlCalendarAdvance(LiborCalendar,Y272,X273,"f",FALSE)</f>
        <v>42503</v>
      </c>
      <c r="Z273" s="171">
        <f>_xll.qlInterestRateIndexValueDate(IborIndex,Y273,Trigger)</f>
        <v>42507</v>
      </c>
      <c r="AA273" s="172">
        <v>-7.208365062670188E-3</v>
      </c>
      <c r="AB273" s="169">
        <v>-7.5503485620087574E-3</v>
      </c>
    </row>
    <row r="274" spans="20:28" x14ac:dyDescent="0.2">
      <c r="T274" s="130"/>
      <c r="U274" s="151"/>
      <c r="X274" s="170" t="str">
        <f t="shared" si="12"/>
        <v>1D</v>
      </c>
      <c r="Y274" s="168">
        <f>_xll.qlCalendarAdvance(LiborCalendar,Y273,X274,"f",FALSE)</f>
        <v>42506</v>
      </c>
      <c r="Z274" s="171">
        <f>_xll.qlInterestRateIndexValueDate(IborIndex,Y274,Trigger)</f>
        <v>42508</v>
      </c>
      <c r="AA274" s="172">
        <v>-7.2010917600035217E-3</v>
      </c>
      <c r="AB274" s="169">
        <v>-7.5432577246514754E-3</v>
      </c>
    </row>
    <row r="275" spans="20:28" x14ac:dyDescent="0.2">
      <c r="T275" s="130"/>
      <c r="U275" s="151"/>
      <c r="X275" s="170" t="str">
        <f t="shared" si="12"/>
        <v>1D</v>
      </c>
      <c r="Y275" s="168">
        <f>_xll.qlCalendarAdvance(LiborCalendar,Y274,X275,"f",FALSE)</f>
        <v>42507</v>
      </c>
      <c r="Z275" s="171">
        <f>_xll.qlInterestRateIndexValueDate(IborIndex,Y275,Trigger)</f>
        <v>42509</v>
      </c>
      <c r="AA275" s="172">
        <v>-7.1938214784011247E-3</v>
      </c>
      <c r="AB275" s="169">
        <v>-7.5361468848544888E-3</v>
      </c>
    </row>
    <row r="276" spans="20:28" x14ac:dyDescent="0.2">
      <c r="T276" s="130"/>
      <c r="U276" s="151"/>
      <c r="X276" s="170" t="str">
        <f t="shared" si="12"/>
        <v>1D</v>
      </c>
      <c r="Y276" s="168">
        <f>_xll.qlCalendarAdvance(LiborCalendar,Y275,X276,"f",FALSE)</f>
        <v>42508</v>
      </c>
      <c r="Z276" s="171">
        <f>_xll.qlInterestRateIndexValueDate(IborIndex,Y276,Trigger)</f>
        <v>42510</v>
      </c>
      <c r="AA276" s="172">
        <v>-7.1792565955938921E-3</v>
      </c>
      <c r="AB276" s="169">
        <v>-7.5217013692707724E-3</v>
      </c>
    </row>
    <row r="277" spans="20:28" x14ac:dyDescent="0.2">
      <c r="T277" s="130"/>
      <c r="U277" s="151"/>
      <c r="X277" s="170" t="str">
        <f t="shared" ref="X277:X340" si="13">X276</f>
        <v>1D</v>
      </c>
      <c r="Y277" s="168">
        <f>_xll.qlCalendarAdvance(LiborCalendar,Y276,X277,"f",FALSE)</f>
        <v>42509</v>
      </c>
      <c r="Z277" s="171">
        <f>_xll.qlInterestRateIndexValueDate(IborIndex,Y277,Trigger)</f>
        <v>42513</v>
      </c>
      <c r="AA277" s="172">
        <v>-7.1647778648130803E-3</v>
      </c>
      <c r="AB277" s="169">
        <v>-7.5075035006300084E-3</v>
      </c>
    </row>
    <row r="278" spans="20:28" x14ac:dyDescent="0.2">
      <c r="T278" s="130"/>
      <c r="U278" s="151"/>
      <c r="X278" s="170" t="str">
        <f t="shared" si="13"/>
        <v>1D</v>
      </c>
      <c r="Y278" s="168">
        <f>_xll.qlCalendarAdvance(LiborCalendar,Y277,X278,"f",FALSE)</f>
        <v>42510</v>
      </c>
      <c r="Z278" s="171">
        <f>_xll.qlInterestRateIndexValueDate(IborIndex,Y278,Trigger)</f>
        <v>42514</v>
      </c>
      <c r="AA278" s="172">
        <v>-7.1575281651868067E-3</v>
      </c>
      <c r="AB278" s="169">
        <v>-7.5002926483547228E-3</v>
      </c>
    </row>
    <row r="279" spans="20:28" x14ac:dyDescent="0.2">
      <c r="T279" s="130"/>
      <c r="U279" s="151"/>
      <c r="X279" s="170" t="str">
        <f t="shared" si="13"/>
        <v>1D</v>
      </c>
      <c r="Y279" s="168">
        <f>_xll.qlCalendarAdvance(LiborCalendar,Y278,X279,"f",FALSE)</f>
        <v>42513</v>
      </c>
      <c r="Z279" s="171">
        <f>_xll.qlInterestRateIndexValueDate(IborIndex,Y279,Trigger)</f>
        <v>42515</v>
      </c>
      <c r="AA279" s="172">
        <v>-7.150283677305482E-3</v>
      </c>
      <c r="AB279" s="169">
        <v>-7.4930617935198285E-3</v>
      </c>
    </row>
    <row r="280" spans="20:28" x14ac:dyDescent="0.2">
      <c r="T280" s="130"/>
      <c r="U280" s="151"/>
      <c r="X280" s="170" t="str">
        <f t="shared" si="13"/>
        <v>1D</v>
      </c>
      <c r="Y280" s="168">
        <f>_xll.qlCalendarAdvance(LiborCalendar,Y279,X280,"f",FALSE)</f>
        <v>42514</v>
      </c>
      <c r="Z280" s="171">
        <f>_xll.qlInterestRateIndexValueDate(IborIndex,Y280,Trigger)</f>
        <v>42516</v>
      </c>
      <c r="AA280" s="172">
        <v>-7.1430447662926885E-3</v>
      </c>
      <c r="AB280" s="169">
        <v>-7.4858109362851977E-3</v>
      </c>
    </row>
    <row r="281" spans="20:28" x14ac:dyDescent="0.2">
      <c r="T281" s="130"/>
      <c r="U281" s="151"/>
      <c r="X281" s="170" t="str">
        <f t="shared" si="13"/>
        <v>1D</v>
      </c>
      <c r="Y281" s="168">
        <f>_xll.qlCalendarAdvance(LiborCalendar,Y280,X281,"f",FALSE)</f>
        <v>42515</v>
      </c>
      <c r="Z281" s="171">
        <f>_xll.qlInterestRateIndexValueDate(IborIndex,Y281,Trigger)</f>
        <v>42517</v>
      </c>
      <c r="AA281" s="172">
        <v>-7.1249949010392501E-3</v>
      </c>
      <c r="AB281" s="169">
        <v>-7.4673514305312327E-3</v>
      </c>
    </row>
    <row r="282" spans="20:28" x14ac:dyDescent="0.2">
      <c r="T282" s="130"/>
      <c r="U282" s="151"/>
      <c r="X282" s="170" t="str">
        <f t="shared" si="13"/>
        <v>1D</v>
      </c>
      <c r="Y282" s="168">
        <f>_xll.qlCalendarAdvance(LiborCalendar,Y281,X282,"f",FALSE)</f>
        <v>42516</v>
      </c>
      <c r="Z282" s="171">
        <f>_xll.qlInterestRateIndexValueDate(IborIndex,Y282,Trigger)</f>
        <v>42521</v>
      </c>
      <c r="AA282" s="172">
        <v>-7.1069466437194122E-3</v>
      </c>
      <c r="AB282" s="169">
        <v>-7.4492566123574022E-3</v>
      </c>
    </row>
    <row r="283" spans="20:28" x14ac:dyDescent="0.2">
      <c r="T283" s="130"/>
      <c r="U283" s="151"/>
      <c r="X283" s="170" t="str">
        <f t="shared" si="13"/>
        <v>1D</v>
      </c>
      <c r="Y283" s="168">
        <f>_xll.qlCalendarAdvance(LiborCalendar,Y282,X283,"f",FALSE)</f>
        <v>42517</v>
      </c>
      <c r="Z283" s="171">
        <f>_xll.qlInterestRateIndexValueDate(IborIndex,Y283,Trigger)</f>
        <v>42522</v>
      </c>
      <c r="AA283" s="172">
        <v>-7.0997488616381839E-3</v>
      </c>
      <c r="AB283" s="169">
        <v>-7.4418857400049276E-3</v>
      </c>
    </row>
    <row r="284" spans="20:28" x14ac:dyDescent="0.2">
      <c r="T284" s="130"/>
      <c r="U284" s="151"/>
      <c r="X284" s="170" t="str">
        <f t="shared" si="13"/>
        <v>1D</v>
      </c>
      <c r="Y284" s="168">
        <f>_xll.qlCalendarAdvance(LiborCalendar,Y283,X284,"f",FALSE)</f>
        <v>42521</v>
      </c>
      <c r="Z284" s="171">
        <f>_xll.qlInterestRateIndexValueDate(IborIndex,Y284,Trigger)</f>
        <v>42523</v>
      </c>
      <c r="AA284" s="172">
        <v>-7.0925592123583445E-3</v>
      </c>
      <c r="AB284" s="169">
        <v>-7.4344948653326526E-3</v>
      </c>
    </row>
    <row r="285" spans="20:28" x14ac:dyDescent="0.2">
      <c r="T285" s="130"/>
      <c r="U285" s="151"/>
      <c r="X285" s="170" t="str">
        <f t="shared" si="13"/>
        <v>1D</v>
      </c>
      <c r="Y285" s="168">
        <f>_xll.qlCalendarAdvance(LiborCalendar,Y284,X285,"f",FALSE)</f>
        <v>42522</v>
      </c>
      <c r="Z285" s="171">
        <f>_xll.qlInterestRateIndexValueDate(IborIndex,Y285,Trigger)</f>
        <v>42524</v>
      </c>
      <c r="AA285" s="172">
        <v>-7.0782519698336334E-3</v>
      </c>
      <c r="AB285" s="169">
        <v>-7.4194935218319102E-3</v>
      </c>
    </row>
    <row r="286" spans="20:28" x14ac:dyDescent="0.2">
      <c r="T286" s="130"/>
      <c r="U286" s="151"/>
      <c r="X286" s="170" t="str">
        <f t="shared" si="13"/>
        <v>1D</v>
      </c>
      <c r="Y286" s="168">
        <f>_xll.qlCalendarAdvance(LiborCalendar,Y285,X286,"f",FALSE)</f>
        <v>42523</v>
      </c>
      <c r="Z286" s="171">
        <f>_xll.qlInterestRateIndexValueDate(IborIndex,Y286,Trigger)</f>
        <v>42527</v>
      </c>
      <c r="AA286" s="172">
        <v>-7.0638892461741872E-3</v>
      </c>
      <c r="AB286" s="169">
        <v>-7.4047313408875937E-3</v>
      </c>
    </row>
    <row r="287" spans="20:28" x14ac:dyDescent="0.2">
      <c r="T287" s="130"/>
      <c r="U287" s="151"/>
      <c r="X287" s="170" t="str">
        <f t="shared" si="13"/>
        <v>1D</v>
      </c>
      <c r="Y287" s="168">
        <f>_xll.qlCalendarAdvance(LiborCalendar,Y286,X287,"f",FALSE)</f>
        <v>42524</v>
      </c>
      <c r="Z287" s="171">
        <f>_xll.qlInterestRateIndexValueDate(IborIndex,Y287,Trigger)</f>
        <v>42528</v>
      </c>
      <c r="AA287" s="172">
        <v>-7.0567457381156265E-3</v>
      </c>
      <c r="AB287" s="169">
        <v>-7.3972404536171155E-3</v>
      </c>
    </row>
    <row r="288" spans="20:28" x14ac:dyDescent="0.2">
      <c r="T288" s="130"/>
      <c r="U288" s="151"/>
      <c r="X288" s="170" t="str">
        <f t="shared" si="13"/>
        <v>1D</v>
      </c>
      <c r="Y288" s="168">
        <f>_xll.qlCalendarAdvance(LiborCalendar,Y287,X288,"f",FALSE)</f>
        <v>42527</v>
      </c>
      <c r="Z288" s="171">
        <f>_xll.qlInterestRateIndexValueDate(IborIndex,Y288,Trigger)</f>
        <v>42529</v>
      </c>
      <c r="AA288" s="172">
        <v>-7.0496125537611318E-3</v>
      </c>
      <c r="AB288" s="169">
        <v>-7.3897295637070926E-3</v>
      </c>
    </row>
    <row r="289" spans="20:28" x14ac:dyDescent="0.2">
      <c r="T289" s="130"/>
      <c r="U289" s="151"/>
      <c r="X289" s="170" t="str">
        <f t="shared" si="13"/>
        <v>1D</v>
      </c>
      <c r="Y289" s="168">
        <f>_xll.qlCalendarAdvance(LiborCalendar,Y288,X289,"f",FALSE)</f>
        <v>42528</v>
      </c>
      <c r="Z289" s="171">
        <f>_xll.qlInterestRateIndexValueDate(IborIndex,Y289,Trigger)</f>
        <v>42530</v>
      </c>
      <c r="AA289" s="172">
        <v>-7.0424900582720809E-3</v>
      </c>
      <c r="AB289" s="169">
        <v>-7.382198671277429E-3</v>
      </c>
    </row>
    <row r="290" spans="20:28" x14ac:dyDescent="0.2">
      <c r="T290" s="130"/>
      <c r="U290" s="151"/>
      <c r="X290" s="170" t="str">
        <f t="shared" si="13"/>
        <v>1D</v>
      </c>
      <c r="Y290" s="168">
        <f>_xll.qlCalendarAdvance(LiborCalendar,Y289,X290,"f",FALSE)</f>
        <v>42529</v>
      </c>
      <c r="Z290" s="171">
        <f>_xll.qlInterestRateIndexValueDate(IborIndex,Y290,Trigger)</f>
        <v>42531</v>
      </c>
      <c r="AA290" s="172">
        <v>-7.0283471881074228E-3</v>
      </c>
      <c r="AB290" s="169">
        <v>-7.3669194522141268E-3</v>
      </c>
    </row>
    <row r="291" spans="20:28" x14ac:dyDescent="0.2">
      <c r="T291" s="130"/>
      <c r="U291" s="151"/>
      <c r="X291" s="170" t="str">
        <f t="shared" si="13"/>
        <v>1D</v>
      </c>
      <c r="Y291" s="168">
        <f>_xll.qlCalendarAdvance(LiborCalendar,Y290,X291,"f",FALSE)</f>
        <v>42530</v>
      </c>
      <c r="Z291" s="171">
        <f>_xll.qlInterestRateIndexValueDate(IborIndex,Y291,Trigger)</f>
        <v>42534</v>
      </c>
      <c r="AA291" s="172">
        <v>-7.0141142682483117E-3</v>
      </c>
      <c r="AB291" s="169">
        <v>-7.3518750765622087E-3</v>
      </c>
    </row>
    <row r="292" spans="20:28" x14ac:dyDescent="0.2">
      <c r="T292" s="130"/>
      <c r="U292" s="151"/>
      <c r="X292" s="170" t="str">
        <f t="shared" si="13"/>
        <v>1D</v>
      </c>
      <c r="Y292" s="168">
        <f>_xll.qlCalendarAdvance(LiborCalendar,Y291,X292,"f",FALSE)</f>
        <v>42531</v>
      </c>
      <c r="Z292" s="171">
        <f>_xll.qlInterestRateIndexValueDate(IborIndex,Y292,Trigger)</f>
        <v>42535</v>
      </c>
      <c r="AA292" s="172">
        <v>-7.0070506945693013E-3</v>
      </c>
      <c r="AB292" s="169">
        <v>-7.3442441715743101E-3</v>
      </c>
    </row>
    <row r="293" spans="20:28" x14ac:dyDescent="0.2">
      <c r="T293" s="130"/>
      <c r="U293" s="151"/>
      <c r="X293" s="170" t="str">
        <f t="shared" si="13"/>
        <v>1D</v>
      </c>
      <c r="Y293" s="168">
        <f>_xll.qlCalendarAdvance(LiborCalendar,Y292,X293,"f",FALSE)</f>
        <v>42534</v>
      </c>
      <c r="Z293" s="171">
        <f>_xll.qlInterestRateIndexValueDate(IborIndex,Y293,Trigger)</f>
        <v>42536</v>
      </c>
      <c r="AA293" s="172">
        <v>-7.0000000007670211E-3</v>
      </c>
      <c r="AB293" s="169">
        <v>-7.3365932641067388E-3</v>
      </c>
    </row>
    <row r="294" spans="20:28" x14ac:dyDescent="0.2">
      <c r="T294" s="130"/>
      <c r="U294" s="151"/>
      <c r="X294" s="170" t="str">
        <f t="shared" si="13"/>
        <v>1D</v>
      </c>
      <c r="Y294" s="168">
        <f>_xll.qlCalendarAdvance(LiborCalendar,Y293,X294,"f",FALSE)</f>
        <v>42535</v>
      </c>
      <c r="Z294" s="171">
        <f>_xll.qlInterestRateIndexValueDate(IborIndex,Y294,Trigger)</f>
        <v>42537</v>
      </c>
      <c r="AA294" s="172">
        <v>-6.9929625218513175E-3</v>
      </c>
      <c r="AB294" s="169">
        <v>-7.3289279622734682E-3</v>
      </c>
    </row>
    <row r="295" spans="20:28" x14ac:dyDescent="0.2">
      <c r="T295" s="130"/>
      <c r="U295" s="151"/>
      <c r="X295" s="170" t="str">
        <f t="shared" si="13"/>
        <v>1D</v>
      </c>
      <c r="Y295" s="168">
        <f>_xll.qlCalendarAdvance(LiborCalendar,Y294,X295,"f",FALSE)</f>
        <v>42536</v>
      </c>
      <c r="Z295" s="171">
        <f>_xll.qlInterestRateIndexValueDate(IborIndex,Y295,Trigger)</f>
        <v>42538</v>
      </c>
      <c r="AA295" s="172">
        <v>-6.9790022497422432E-3</v>
      </c>
      <c r="AB295" s="169">
        <v>-7.313483051589742E-3</v>
      </c>
    </row>
    <row r="296" spans="20:28" x14ac:dyDescent="0.2">
      <c r="T296" s="130"/>
      <c r="U296" s="151"/>
      <c r="X296" s="170" t="str">
        <f t="shared" si="13"/>
        <v>1D</v>
      </c>
      <c r="Y296" s="168">
        <f>_xll.qlCalendarAdvance(LiborCalendar,Y295,X296,"f",FALSE)</f>
        <v>42537</v>
      </c>
      <c r="Z296" s="171">
        <f>_xll.qlInterestRateIndexValueDate(IborIndex,Y296,Trigger)</f>
        <v>42541</v>
      </c>
      <c r="AA296" s="172">
        <v>-6.964944845781691E-3</v>
      </c>
      <c r="AB296" s="169">
        <v>-7.2983807904813958E-3</v>
      </c>
    </row>
    <row r="297" spans="20:28" x14ac:dyDescent="0.2">
      <c r="T297" s="130"/>
      <c r="U297" s="151"/>
      <c r="X297" s="170" t="str">
        <f t="shared" si="13"/>
        <v>1D</v>
      </c>
      <c r="Y297" s="168">
        <f>_xll.qlCalendarAdvance(LiborCalendar,Y296,X297,"f",FALSE)</f>
        <v>42538</v>
      </c>
      <c r="Z297" s="171">
        <f>_xll.qlInterestRateIndexValueDate(IborIndex,Y297,Trigger)</f>
        <v>42542</v>
      </c>
      <c r="AA297" s="172">
        <v>-6.9579726428488668E-3</v>
      </c>
      <c r="AB297" s="169">
        <v>-7.2907781146325235E-3</v>
      </c>
    </row>
    <row r="298" spans="20:28" x14ac:dyDescent="0.2">
      <c r="T298" s="130"/>
      <c r="U298" s="151"/>
      <c r="X298" s="170" t="str">
        <f t="shared" si="13"/>
        <v>1D</v>
      </c>
      <c r="Y298" s="168">
        <f>_xll.qlCalendarAdvance(LiborCalendar,Y297,X298,"f",FALSE)</f>
        <v>42541</v>
      </c>
      <c r="Z298" s="171">
        <f>_xll.qlInterestRateIndexValueDate(IborIndex,Y298,Trigger)</f>
        <v>42543</v>
      </c>
      <c r="AA298" s="172">
        <v>-6.951012964477866E-3</v>
      </c>
      <c r="AB298" s="169">
        <v>-7.2831890856672743E-3</v>
      </c>
    </row>
    <row r="299" spans="20:28" x14ac:dyDescent="0.2">
      <c r="T299" s="130"/>
      <c r="U299" s="151"/>
      <c r="X299" s="170" t="str">
        <f t="shared" si="13"/>
        <v>1D</v>
      </c>
      <c r="Y299" s="168">
        <f>_xll.qlCalendarAdvance(LiborCalendar,Y298,X299,"f",FALSE)</f>
        <v>42542</v>
      </c>
      <c r="Z299" s="171">
        <f>_xll.qlInterestRateIndexValueDate(IborIndex,Y299,Trigger)</f>
        <v>42544</v>
      </c>
      <c r="AA299" s="172">
        <v>-6.9440656297321164E-3</v>
      </c>
      <c r="AB299" s="169">
        <v>-7.2756137035456803E-3</v>
      </c>
    </row>
    <row r="300" spans="20:28" x14ac:dyDescent="0.2">
      <c r="T300" s="130"/>
      <c r="U300" s="151"/>
      <c r="X300" s="170" t="str">
        <f t="shared" si="13"/>
        <v>1D</v>
      </c>
      <c r="Y300" s="168">
        <f>_xll.qlCalendarAdvance(LiborCalendar,Y299,X300,"f",FALSE)</f>
        <v>42543</v>
      </c>
      <c r="Z300" s="171">
        <f>_xll.qlInterestRateIndexValueDate(IborIndex,Y300,Trigger)</f>
        <v>42545</v>
      </c>
      <c r="AA300" s="172">
        <v>-6.9302757989909529E-3</v>
      </c>
      <c r="AB300" s="169">
        <v>-7.2603619992195334E-3</v>
      </c>
    </row>
    <row r="301" spans="20:28" x14ac:dyDescent="0.2">
      <c r="T301" s="130"/>
      <c r="U301" s="151"/>
      <c r="X301" s="170" t="str">
        <f t="shared" si="13"/>
        <v>1D</v>
      </c>
      <c r="Y301" s="168">
        <f>_xll.qlCalendarAdvance(LiborCalendar,Y300,X301,"f",FALSE)</f>
        <v>42544</v>
      </c>
      <c r="Z301" s="171">
        <f>_xll.qlInterestRateIndexValueDate(IborIndex,Y301,Trigger)</f>
        <v>42548</v>
      </c>
      <c r="AA301" s="172">
        <v>-6.9163961081855274E-3</v>
      </c>
      <c r="AB301" s="169">
        <v>-7.2454486432960152E-3</v>
      </c>
    </row>
    <row r="302" spans="20:28" x14ac:dyDescent="0.2">
      <c r="T302" s="130"/>
      <c r="U302" s="151"/>
      <c r="X302" s="170" t="str">
        <f t="shared" si="13"/>
        <v>1D</v>
      </c>
      <c r="Y302" s="168">
        <f>_xll.qlCalendarAdvance(LiborCalendar,Y301,X302,"f",FALSE)</f>
        <v>42545</v>
      </c>
      <c r="Z302" s="171">
        <f>_xll.qlInterestRateIndexValueDate(IborIndex,Y302,Trigger)</f>
        <v>42549</v>
      </c>
      <c r="AA302" s="172">
        <v>-6.909507777445807E-3</v>
      </c>
      <c r="AB302" s="169">
        <v>-7.2379414953527288E-3</v>
      </c>
    </row>
    <row r="303" spans="20:28" x14ac:dyDescent="0.2">
      <c r="T303" s="130"/>
      <c r="U303" s="151"/>
      <c r="X303" s="170" t="str">
        <f t="shared" si="13"/>
        <v>1D</v>
      </c>
      <c r="Y303" s="168">
        <f>_xll.qlCalendarAdvance(LiborCalendar,Y302,X303,"f",FALSE)</f>
        <v>42548</v>
      </c>
      <c r="Z303" s="171">
        <f>_xll.qlInterestRateIndexValueDate(IborIndex,Y303,Trigger)</f>
        <v>42550</v>
      </c>
      <c r="AA303" s="172">
        <v>-6.9026307046723854E-3</v>
      </c>
      <c r="AB303" s="169">
        <v>-7.2304479942930655E-3</v>
      </c>
    </row>
    <row r="304" spans="20:28" x14ac:dyDescent="0.2">
      <c r="T304" s="130"/>
      <c r="U304" s="151"/>
      <c r="X304" s="170" t="str">
        <f t="shared" si="13"/>
        <v>1D</v>
      </c>
      <c r="Y304" s="168">
        <f>_xll.qlCalendarAdvance(LiborCalendar,Y303,X304,"f",FALSE)</f>
        <v>42549</v>
      </c>
      <c r="Z304" s="171">
        <f>_xll.qlInterestRateIndexValueDate(IborIndex,Y304,Trigger)</f>
        <v>42551</v>
      </c>
      <c r="AA304" s="172">
        <v>-6.8957647089186993E-3</v>
      </c>
      <c r="AB304" s="169">
        <v>-7.2229681400770573E-3</v>
      </c>
    </row>
    <row r="305" spans="20:28" x14ac:dyDescent="0.2">
      <c r="T305" s="130"/>
      <c r="U305" s="151"/>
      <c r="X305" s="170" t="str">
        <f t="shared" si="13"/>
        <v>1D</v>
      </c>
      <c r="Y305" s="168">
        <f>_xll.qlCalendarAdvance(LiborCalendar,Y304,X305,"f",FALSE)</f>
        <v>42550</v>
      </c>
      <c r="Z305" s="171">
        <f>_xll.qlInterestRateIndexValueDate(IborIndex,Y305,Trigger)</f>
        <v>42552</v>
      </c>
      <c r="AA305" s="172">
        <v>-6.8821207584052304E-3</v>
      </c>
      <c r="AB305" s="169">
        <v>-7.2079095997823472E-3</v>
      </c>
    </row>
    <row r="306" spans="20:28" x14ac:dyDescent="0.2">
      <c r="T306" s="130"/>
      <c r="U306" s="151"/>
      <c r="X306" s="170" t="str">
        <f t="shared" si="13"/>
        <v>1D</v>
      </c>
      <c r="Y306" s="168">
        <f>_xll.qlCalendarAdvance(LiborCalendar,Y305,X306,"f",FALSE)</f>
        <v>42551</v>
      </c>
      <c r="Z306" s="171">
        <f>_xll.qlInterestRateIndexValueDate(IborIndex,Y306,Trigger)</f>
        <v>42555</v>
      </c>
      <c r="AA306" s="172">
        <v>-6.8684078771040439E-3</v>
      </c>
      <c r="AB306" s="169">
        <v>-7.1931851916096079E-3</v>
      </c>
    </row>
    <row r="307" spans="20:28" x14ac:dyDescent="0.2">
      <c r="T307" s="130"/>
      <c r="U307" s="151"/>
      <c r="X307" s="170" t="str">
        <f t="shared" si="13"/>
        <v>1D</v>
      </c>
      <c r="Y307" s="168">
        <f>_xll.qlCalendarAdvance(LiborCalendar,Y306,X307,"f",FALSE)</f>
        <v>42552</v>
      </c>
      <c r="Z307" s="171">
        <f>_xll.qlInterestRateIndexValueDate(IborIndex,Y307,Trigger)</f>
        <v>42556</v>
      </c>
      <c r="AA307" s="172">
        <v>-6.8615945521884837E-3</v>
      </c>
      <c r="AB307" s="169">
        <v>-7.1857735716518434E-3</v>
      </c>
    </row>
    <row r="308" spans="20:28" x14ac:dyDescent="0.2">
      <c r="T308" s="130"/>
      <c r="U308" s="151"/>
      <c r="X308" s="170" t="str">
        <f t="shared" si="13"/>
        <v>1D</v>
      </c>
      <c r="Y308" s="168">
        <f>_xll.qlCalendarAdvance(LiborCalendar,Y307,X308,"f",FALSE)</f>
        <v>42555</v>
      </c>
      <c r="Z308" s="171">
        <f>_xll.qlInterestRateIndexValueDate(IborIndex,Y308,Trigger)</f>
        <v>42557</v>
      </c>
      <c r="AA308" s="172">
        <v>-6.8547912185780982E-3</v>
      </c>
      <c r="AB308" s="169">
        <v>-7.178375598537734E-3</v>
      </c>
    </row>
    <row r="309" spans="20:28" x14ac:dyDescent="0.2">
      <c r="T309" s="130"/>
      <c r="U309" s="151"/>
      <c r="X309" s="170" t="str">
        <f t="shared" si="13"/>
        <v>1D</v>
      </c>
      <c r="Y309" s="168">
        <f>_xll.qlCalendarAdvance(LiborCalendar,Y308,X309,"f",FALSE)</f>
        <v>42556</v>
      </c>
      <c r="Z309" s="171">
        <f>_xll.qlInterestRateIndexValueDate(IborIndex,Y309,Trigger)</f>
        <v>42558</v>
      </c>
      <c r="AA309" s="172">
        <v>-6.8479976953145956E-3</v>
      </c>
      <c r="AB309" s="169">
        <v>-7.1709912722273117E-3</v>
      </c>
    </row>
    <row r="310" spans="20:28" x14ac:dyDescent="0.2">
      <c r="T310" s="130"/>
      <c r="U310" s="151"/>
      <c r="X310" s="170" t="str">
        <f t="shared" si="13"/>
        <v>1D</v>
      </c>
      <c r="Y310" s="168">
        <f>_xll.qlCalendarAdvance(LiborCalendar,Y309,X310,"f",FALSE)</f>
        <v>42557</v>
      </c>
      <c r="Z310" s="171">
        <f>_xll.qlInterestRateIndexValueDate(IborIndex,Y310,Trigger)</f>
        <v>42559</v>
      </c>
      <c r="AA310" s="172">
        <v>-6.8344763864570971E-3</v>
      </c>
      <c r="AB310" s="169">
        <v>-7.1561258541574801E-3</v>
      </c>
    </row>
    <row r="311" spans="20:28" x14ac:dyDescent="0.2">
      <c r="T311" s="130"/>
      <c r="U311" s="151"/>
      <c r="X311" s="170" t="str">
        <f t="shared" si="13"/>
        <v>1D</v>
      </c>
      <c r="Y311" s="168">
        <f>_xll.qlCalendarAdvance(LiborCalendar,Y310,X311,"f",FALSE)</f>
        <v>42558</v>
      </c>
      <c r="Z311" s="171">
        <f>_xll.qlInterestRateIndexValueDate(IborIndex,Y311,Trigger)</f>
        <v>42562</v>
      </c>
      <c r="AA311" s="172">
        <v>-6.8209180865579271E-3</v>
      </c>
      <c r="AB311" s="169">
        <v>-7.14159043570195E-3</v>
      </c>
    </row>
    <row r="312" spans="20:28" x14ac:dyDescent="0.2">
      <c r="T312" s="130"/>
      <c r="U312" s="151"/>
      <c r="X312" s="170" t="str">
        <f t="shared" si="13"/>
        <v>1D</v>
      </c>
      <c r="Y312" s="168">
        <f>_xll.qlCalendarAdvance(LiborCalendar,Y311,X312,"f",FALSE)</f>
        <v>42559</v>
      </c>
      <c r="Z312" s="171">
        <f>_xll.qlInterestRateIndexValueDate(IborIndex,Y312,Trigger)</f>
        <v>42563</v>
      </c>
      <c r="AA312" s="172">
        <v>-6.814170900632739E-3</v>
      </c>
      <c r="AB312" s="169">
        <v>-7.1342743436497713E-3</v>
      </c>
    </row>
    <row r="313" spans="20:28" x14ac:dyDescent="0.2">
      <c r="T313" s="130"/>
      <c r="U313" s="151"/>
      <c r="X313" s="170" t="str">
        <f t="shared" si="13"/>
        <v>1D</v>
      </c>
      <c r="Y313" s="168">
        <f>_xll.qlCalendarAdvance(LiborCalendar,Y312,X313,"f",FALSE)</f>
        <v>42562</v>
      </c>
      <c r="Z313" s="171">
        <f>_xll.qlInterestRateIndexValueDate(IborIndex,Y313,Trigger)</f>
        <v>42564</v>
      </c>
      <c r="AA313" s="172">
        <v>-6.8074324392864358E-3</v>
      </c>
      <c r="AB313" s="169">
        <v>-7.1269718985611519E-3</v>
      </c>
    </row>
    <row r="314" spans="20:28" x14ac:dyDescent="0.2">
      <c r="T314" s="130"/>
      <c r="U314" s="151"/>
      <c r="X314" s="170" t="str">
        <f t="shared" si="13"/>
        <v>1D</v>
      </c>
      <c r="Y314" s="168">
        <f>_xll.qlCalendarAdvance(LiborCalendar,Y313,X314,"f",FALSE)</f>
        <v>42563</v>
      </c>
      <c r="Z314" s="171">
        <f>_xll.qlInterestRateIndexValueDate(IborIndex,Y314,Trigger)</f>
        <v>42565</v>
      </c>
      <c r="AA314" s="172">
        <v>-6.8007025215494309E-3</v>
      </c>
      <c r="AB314" s="169">
        <v>-7.1196831003561556E-3</v>
      </c>
    </row>
    <row r="315" spans="20:28" x14ac:dyDescent="0.2">
      <c r="T315" s="130"/>
      <c r="U315" s="151"/>
      <c r="X315" s="170" t="str">
        <f t="shared" si="13"/>
        <v>1D</v>
      </c>
      <c r="Y315" s="168">
        <f>_xll.qlCalendarAdvance(LiborCalendar,Y314,X315,"f",FALSE)</f>
        <v>42564</v>
      </c>
      <c r="Z315" s="171">
        <f>_xll.qlInterestRateIndexValueDate(IborIndex,Y315,Trigger)</f>
        <v>42566</v>
      </c>
      <c r="AA315" s="172">
        <v>-6.7872819383692599E-3</v>
      </c>
      <c r="AB315" s="169">
        <v>-7.1050107632375514E-3</v>
      </c>
    </row>
    <row r="316" spans="20:28" x14ac:dyDescent="0.2">
      <c r="T316" s="130"/>
      <c r="U316" s="151"/>
      <c r="X316" s="170" t="str">
        <f t="shared" si="13"/>
        <v>1D</v>
      </c>
      <c r="Y316" s="168">
        <f>_xll.qlCalendarAdvance(LiborCalendar,Y315,X316,"f",FALSE)</f>
        <v>42565</v>
      </c>
      <c r="Z316" s="171">
        <f>_xll.qlInterestRateIndexValueDate(IborIndex,Y316,Trigger)</f>
        <v>42569</v>
      </c>
      <c r="AA316" s="172">
        <v>-6.7738646673404478E-3</v>
      </c>
      <c r="AB316" s="169">
        <v>-7.0906643757728816E-3</v>
      </c>
    </row>
    <row r="317" spans="20:28" x14ac:dyDescent="0.2">
      <c r="T317" s="130"/>
      <c r="U317" s="151"/>
      <c r="X317" s="170" t="str">
        <f t="shared" si="13"/>
        <v>1D</v>
      </c>
      <c r="Y317" s="168">
        <f>_xll.qlCalendarAdvance(LiborCalendar,Y316,X317,"f",FALSE)</f>
        <v>42566</v>
      </c>
      <c r="Z317" s="171">
        <f>_xll.qlInterestRateIndexValueDate(IborIndex,Y317,Trigger)</f>
        <v>42570</v>
      </c>
      <c r="AA317" s="172">
        <v>-6.7671747531191607E-3</v>
      </c>
      <c r="AB317" s="169">
        <v>-7.083443811866097E-3</v>
      </c>
    </row>
    <row r="318" spans="20:28" x14ac:dyDescent="0.2">
      <c r="T318" s="130"/>
      <c r="U318" s="151"/>
      <c r="X318" s="170" t="str">
        <f t="shared" si="13"/>
        <v>1D</v>
      </c>
      <c r="Y318" s="168">
        <f>_xll.qlCalendarAdvance(LiborCalendar,Y317,X318,"f",FALSE)</f>
        <v>42569</v>
      </c>
      <c r="Z318" s="171">
        <f>_xll.qlInterestRateIndexValueDate(IborIndex,Y318,Trigger)</f>
        <v>42571</v>
      </c>
      <c r="AA318" s="172">
        <v>-6.7604922966822637E-3</v>
      </c>
      <c r="AB318" s="169">
        <v>-7.0762368948029675E-3</v>
      </c>
    </row>
    <row r="319" spans="20:28" x14ac:dyDescent="0.2">
      <c r="T319" s="130"/>
      <c r="U319" s="151"/>
      <c r="X319" s="170" t="str">
        <f t="shared" si="13"/>
        <v>1D</v>
      </c>
      <c r="Y319" s="168">
        <f>_xll.qlCalendarAdvance(LiborCalendar,Y318,X319,"f",FALSE)</f>
        <v>42570</v>
      </c>
      <c r="Z319" s="171">
        <f>_xll.qlInterestRateIndexValueDate(IborIndex,Y319,Trigger)</f>
        <v>42572</v>
      </c>
      <c r="AA319" s="172">
        <v>-6.7538171170549556E-3</v>
      </c>
      <c r="AB319" s="169">
        <v>-7.0690436245435251E-3</v>
      </c>
    </row>
    <row r="320" spans="20:28" x14ac:dyDescent="0.2">
      <c r="T320" s="130"/>
      <c r="U320" s="151"/>
      <c r="X320" s="170" t="str">
        <f t="shared" si="13"/>
        <v>1D</v>
      </c>
      <c r="Y320" s="168">
        <f>_xll.qlCalendarAdvance(LiborCalendar,Y319,X320,"f",FALSE)</f>
        <v>42571</v>
      </c>
      <c r="Z320" s="171">
        <f>_xll.qlInterestRateIndexValueDate(IborIndex,Y320,Trigger)</f>
        <v>42573</v>
      </c>
      <c r="AA320" s="172">
        <v>-6.7404766661861163E-3</v>
      </c>
      <c r="AB320" s="169">
        <v>-7.0545643278352443E-3</v>
      </c>
    </row>
    <row r="321" spans="20:28" x14ac:dyDescent="0.2">
      <c r="T321" s="130"/>
      <c r="U321" s="151"/>
      <c r="X321" s="170" t="str">
        <f t="shared" si="13"/>
        <v>1D</v>
      </c>
      <c r="Y321" s="168">
        <f>_xll.qlCalendarAdvance(LiborCalendar,Y320,X321,"f",FALSE)</f>
        <v>42572</v>
      </c>
      <c r="Z321" s="171">
        <f>_xll.qlInterestRateIndexValueDate(IborIndex,Y321,Trigger)</f>
        <v>42576</v>
      </c>
      <c r="AA321" s="172">
        <v>-6.7271855470939172E-3</v>
      </c>
      <c r="AB321" s="169">
        <v>-7.040407012302019E-3</v>
      </c>
    </row>
    <row r="322" spans="20:28" x14ac:dyDescent="0.2">
      <c r="T322" s="130"/>
      <c r="U322" s="151"/>
      <c r="X322" s="170" t="str">
        <f t="shared" si="13"/>
        <v>1D</v>
      </c>
      <c r="Y322" s="168">
        <f>_xll.qlCalendarAdvance(LiborCalendar,Y321,X322,"f",FALSE)</f>
        <v>42573</v>
      </c>
      <c r="Z322" s="171">
        <f>_xll.qlInterestRateIndexValueDate(IborIndex,Y322,Trigger)</f>
        <v>42577</v>
      </c>
      <c r="AA322" s="172">
        <v>-6.7205440368412889E-3</v>
      </c>
      <c r="AB322" s="169">
        <v>-7.0332819764207244E-3</v>
      </c>
    </row>
    <row r="323" spans="20:28" x14ac:dyDescent="0.2">
      <c r="T323" s="130"/>
      <c r="U323" s="151"/>
      <c r="X323" s="170" t="str">
        <f t="shared" si="13"/>
        <v>1D</v>
      </c>
      <c r="Y323" s="168">
        <f>_xll.qlCalendarAdvance(LiborCalendar,Y322,X323,"f",FALSE)</f>
        <v>42576</v>
      </c>
      <c r="Z323" s="171">
        <f>_xll.qlInterestRateIndexValueDate(IborIndex,Y323,Trigger)</f>
        <v>42578</v>
      </c>
      <c r="AA323" s="172">
        <v>-6.7139087175190374E-3</v>
      </c>
      <c r="AB323" s="169">
        <v>-7.0261705873830849E-3</v>
      </c>
    </row>
    <row r="324" spans="20:28" x14ac:dyDescent="0.2">
      <c r="T324" s="130"/>
      <c r="U324" s="151"/>
      <c r="X324" s="170" t="str">
        <f t="shared" si="13"/>
        <v>1D</v>
      </c>
      <c r="Y324" s="168">
        <f>_xll.qlCalendarAdvance(LiborCalendar,Y323,X324,"f",FALSE)</f>
        <v>42577</v>
      </c>
      <c r="Z324" s="171">
        <f>_xll.qlInterestRateIndexValueDate(IborIndex,Y324,Trigger)</f>
        <v>42579</v>
      </c>
      <c r="AA324" s="172">
        <v>-6.707279408142806E-3</v>
      </c>
      <c r="AB324" s="169">
        <v>-7.0190728452690365E-3</v>
      </c>
    </row>
    <row r="325" spans="20:28" x14ac:dyDescent="0.2">
      <c r="T325" s="130"/>
      <c r="U325" s="151"/>
      <c r="X325" s="170" t="str">
        <f t="shared" si="13"/>
        <v>1D</v>
      </c>
      <c r="Y325" s="168">
        <f>_xll.qlCalendarAdvance(LiborCalendar,Y324,X325,"f",FALSE)</f>
        <v>42578</v>
      </c>
      <c r="Z325" s="171">
        <f>_xll.qlInterestRateIndexValueDate(IborIndex,Y325,Trigger)</f>
        <v>42580</v>
      </c>
      <c r="AA325" s="172">
        <v>-6.6939998188464645E-3</v>
      </c>
      <c r="AB325" s="169">
        <v>-7.0047865488565009E-3</v>
      </c>
    </row>
    <row r="326" spans="20:28" x14ac:dyDescent="0.2">
      <c r="T326" s="130"/>
      <c r="U326" s="151"/>
      <c r="X326" s="170" t="str">
        <f t="shared" si="13"/>
        <v>1D</v>
      </c>
      <c r="Y326" s="168">
        <f>_xll.qlCalendarAdvance(LiborCalendar,Y325,X326,"f",FALSE)</f>
        <v>42579</v>
      </c>
      <c r="Z326" s="171">
        <f>_xll.qlInterestRateIndexValueDate(IborIndex,Y326,Trigger)</f>
        <v>42584</v>
      </c>
      <c r="AA326" s="172">
        <v>-6.6742166759172971E-3</v>
      </c>
      <c r="AB326" s="169">
        <v>-6.9837888377133339E-3</v>
      </c>
    </row>
    <row r="327" spans="20:28" x14ac:dyDescent="0.2">
      <c r="T327" s="130"/>
      <c r="U327" s="151"/>
      <c r="X327" s="170" t="str">
        <f t="shared" si="13"/>
        <v>1D</v>
      </c>
      <c r="Y327" s="168">
        <f>_xll.qlCalendarAdvance(LiborCalendar,Y326,X327,"f",FALSE)</f>
        <v>42580</v>
      </c>
      <c r="Z327" s="171">
        <f>_xll.qlInterestRateIndexValueDate(IborIndex,Y327,Trigger)</f>
        <v>42584</v>
      </c>
      <c r="AA327" s="172">
        <v>-6.6742166759172971E-3</v>
      </c>
      <c r="AB327" s="169">
        <v>-6.9837888377133339E-3</v>
      </c>
    </row>
    <row r="328" spans="20:28" x14ac:dyDescent="0.2">
      <c r="T328" s="130"/>
      <c r="U328" s="151"/>
      <c r="X328" s="170" t="str">
        <f t="shared" si="13"/>
        <v>1D</v>
      </c>
      <c r="Y328" s="168">
        <f>_xll.qlCalendarAdvance(LiborCalendar,Y327,X328,"f",FALSE)</f>
        <v>42583</v>
      </c>
      <c r="Z328" s="171">
        <f>_xll.qlInterestRateIndexValueDate(IborIndex,Y328,Trigger)</f>
        <v>42585</v>
      </c>
      <c r="AA328" s="172">
        <v>-6.6676196254774568E-3</v>
      </c>
      <c r="AB328" s="169">
        <v>-6.9767729767011843E-3</v>
      </c>
    </row>
    <row r="329" spans="20:28" x14ac:dyDescent="0.2">
      <c r="T329" s="130"/>
      <c r="U329" s="151"/>
      <c r="X329" s="170" t="str">
        <f t="shared" si="13"/>
        <v>1D</v>
      </c>
      <c r="Y329" s="168">
        <f>_xll.qlCalendarAdvance(LiborCalendar,Y328,X329,"f",FALSE)</f>
        <v>42584</v>
      </c>
      <c r="Z329" s="171">
        <f>_xll.qlInterestRateIndexValueDate(IborIndex,Y329,Trigger)</f>
        <v>42586</v>
      </c>
      <c r="AA329" s="172">
        <v>-6.6610273180601129E-3</v>
      </c>
      <c r="AB329" s="169">
        <v>-6.96977076273253E-3</v>
      </c>
    </row>
    <row r="330" spans="20:28" x14ac:dyDescent="0.2">
      <c r="T330" s="130"/>
      <c r="U330" s="151"/>
      <c r="X330" s="170" t="str">
        <f t="shared" si="13"/>
        <v>1D</v>
      </c>
      <c r="Y330" s="168">
        <f>_xll.qlCalendarAdvance(LiborCalendar,Y329,X330,"f",FALSE)</f>
        <v>42585</v>
      </c>
      <c r="Z330" s="171">
        <f>_xll.qlInterestRateIndexValueDate(IborIndex,Y330,Trigger)</f>
        <v>42587</v>
      </c>
      <c r="AA330" s="172">
        <v>-6.6477906422392E-3</v>
      </c>
      <c r="AB330" s="169">
        <v>-6.9556774270607136E-3</v>
      </c>
    </row>
    <row r="331" spans="20:28" x14ac:dyDescent="0.2">
      <c r="T331" s="130"/>
      <c r="U331" s="151"/>
      <c r="X331" s="170" t="str">
        <f t="shared" si="13"/>
        <v>1D</v>
      </c>
      <c r="Y331" s="168">
        <f>_xll.qlCalendarAdvance(LiborCalendar,Y330,X331,"f",FALSE)</f>
        <v>42586</v>
      </c>
      <c r="Z331" s="171">
        <f>_xll.qlInterestRateIndexValueDate(IborIndex,Y331,Trigger)</f>
        <v>42590</v>
      </c>
      <c r="AA331" s="172">
        <v>-6.6347018986909088E-3</v>
      </c>
      <c r="AB331" s="169">
        <v>-6.9418983754143682E-3</v>
      </c>
    </row>
    <row r="332" spans="20:28" x14ac:dyDescent="0.2">
      <c r="T332" s="130"/>
      <c r="U332" s="151"/>
      <c r="X332" s="170" t="str">
        <f t="shared" si="13"/>
        <v>1D</v>
      </c>
      <c r="Y332" s="168">
        <f>_xll.qlCalendarAdvance(LiborCalendar,Y331,X332,"f",FALSE)</f>
        <v>42587</v>
      </c>
      <c r="Z332" s="171">
        <f>_xll.qlInterestRateIndexValueDate(IborIndex,Y332,Trigger)</f>
        <v>42591</v>
      </c>
      <c r="AA332" s="172">
        <v>-6.6281305914373465E-3</v>
      </c>
      <c r="AB332" s="169">
        <v>-6.9349643957838936E-3</v>
      </c>
    </row>
    <row r="333" spans="20:28" x14ac:dyDescent="0.2">
      <c r="T333" s="130"/>
      <c r="U333" s="151"/>
      <c r="X333" s="170" t="str">
        <f t="shared" si="13"/>
        <v>1D</v>
      </c>
      <c r="Y333" s="168">
        <f>_xll.qlCalendarAdvance(LiborCalendar,Y332,X333,"f",FALSE)</f>
        <v>42590</v>
      </c>
      <c r="Z333" s="171">
        <f>_xll.qlInterestRateIndexValueDate(IborIndex,Y333,Trigger)</f>
        <v>42592</v>
      </c>
      <c r="AA333" s="172">
        <v>-6.6215629412210665E-3</v>
      </c>
      <c r="AB333" s="169">
        <v>-6.9280440629571061E-3</v>
      </c>
    </row>
    <row r="334" spans="20:28" x14ac:dyDescent="0.2">
      <c r="T334" s="130"/>
      <c r="U334" s="151"/>
      <c r="X334" s="170" t="str">
        <f t="shared" si="13"/>
        <v>1D</v>
      </c>
      <c r="Y334" s="168">
        <f>_xll.qlCalendarAdvance(LiborCalendar,Y333,X334,"f",FALSE)</f>
        <v>42591</v>
      </c>
      <c r="Z334" s="171">
        <f>_xll.qlInterestRateIndexValueDate(IborIndex,Y334,Trigger)</f>
        <v>42593</v>
      </c>
      <c r="AA334" s="172">
        <v>-6.6149987670398981E-3</v>
      </c>
      <c r="AB334" s="169">
        <v>-6.9211373771738138E-3</v>
      </c>
    </row>
    <row r="335" spans="20:28" x14ac:dyDescent="0.2">
      <c r="T335" s="130"/>
      <c r="U335" s="151"/>
      <c r="X335" s="170" t="str">
        <f t="shared" si="13"/>
        <v>1D</v>
      </c>
      <c r="Y335" s="168">
        <f>_xll.qlCalendarAdvance(LiborCalendar,Y334,X335,"f",FALSE)</f>
        <v>42592</v>
      </c>
      <c r="Z335" s="171">
        <f>_xll.qlInterestRateIndexValueDate(IborIndex,Y335,Trigger)</f>
        <v>42594</v>
      </c>
      <c r="AA335" s="172">
        <v>-6.6017883792471128E-3</v>
      </c>
      <c r="AB335" s="169">
        <v>-6.9072369633271791E-3</v>
      </c>
    </row>
    <row r="336" spans="20:28" x14ac:dyDescent="0.2">
      <c r="T336" s="130"/>
      <c r="U336" s="151"/>
      <c r="X336" s="170" t="str">
        <f t="shared" si="13"/>
        <v>1D</v>
      </c>
      <c r="Y336" s="168">
        <f>_xll.qlCalendarAdvance(LiborCalendar,Y335,X336,"f",FALSE)</f>
        <v>42593</v>
      </c>
      <c r="Z336" s="171">
        <f>_xll.qlInterestRateIndexValueDate(IborIndex,Y336,Trigger)</f>
        <v>42597</v>
      </c>
      <c r="AA336" s="172">
        <v>-6.588773210584719E-3</v>
      </c>
      <c r="AB336" s="169">
        <v>-6.8936471025571322E-3</v>
      </c>
    </row>
    <row r="337" spans="20:28" x14ac:dyDescent="0.2">
      <c r="T337" s="130"/>
      <c r="U337" s="151"/>
      <c r="X337" s="170" t="str">
        <f t="shared" si="13"/>
        <v>1D</v>
      </c>
      <c r="Y337" s="168">
        <f>_xll.qlCalendarAdvance(LiborCalendar,Y336,X337,"f",FALSE)</f>
        <v>42594</v>
      </c>
      <c r="Z337" s="171">
        <f>_xll.qlInterestRateIndexValueDate(IborIndex,Y337,Trigger)</f>
        <v>42598</v>
      </c>
      <c r="AA337" s="172">
        <v>-6.5822237015083331E-3</v>
      </c>
      <c r="AB337" s="169">
        <v>-6.8868086511519877E-3</v>
      </c>
    </row>
    <row r="338" spans="20:28" x14ac:dyDescent="0.2">
      <c r="T338" s="130"/>
      <c r="U338" s="151"/>
      <c r="X338" s="170" t="str">
        <f t="shared" si="13"/>
        <v>1D</v>
      </c>
      <c r="Y338" s="168">
        <f>_xll.qlCalendarAdvance(LiborCalendar,Y337,X338,"f",FALSE)</f>
        <v>42597</v>
      </c>
      <c r="Z338" s="171">
        <f>_xll.qlInterestRateIndexValueDate(IborIndex,Y338,Trigger)</f>
        <v>42599</v>
      </c>
      <c r="AA338" s="172">
        <v>-6.5756765824318848E-3</v>
      </c>
      <c r="AB338" s="169">
        <v>-6.8799838466304664E-3</v>
      </c>
    </row>
    <row r="339" spans="20:28" x14ac:dyDescent="0.2">
      <c r="T339" s="130"/>
      <c r="U339" s="151"/>
      <c r="X339" s="170" t="str">
        <f t="shared" si="13"/>
        <v>1D</v>
      </c>
      <c r="Y339" s="168">
        <f>_xll.qlCalendarAdvance(LiborCalendar,Y338,X339,"f",FALSE)</f>
        <v>42598</v>
      </c>
      <c r="Z339" s="171">
        <f>_xll.qlInterestRateIndexValueDate(IborIndex,Y339,Trigger)</f>
        <v>42600</v>
      </c>
      <c r="AA339" s="172">
        <v>-6.5691316723427776E-3</v>
      </c>
      <c r="AB339" s="169">
        <v>-6.8731726889126321E-3</v>
      </c>
    </row>
    <row r="340" spans="20:28" x14ac:dyDescent="0.2">
      <c r="T340" s="130"/>
      <c r="U340" s="151"/>
      <c r="X340" s="170" t="str">
        <f t="shared" si="13"/>
        <v>1D</v>
      </c>
      <c r="Y340" s="168">
        <f>_xll.qlCalendarAdvance(LiborCalendar,Y339,X340,"f",FALSE)</f>
        <v>42599</v>
      </c>
      <c r="Z340" s="171">
        <f>_xll.qlInterestRateIndexValueDate(IborIndex,Y340,Trigger)</f>
        <v>42601</v>
      </c>
      <c r="AA340" s="172">
        <v>-6.5559322697881315E-3</v>
      </c>
      <c r="AB340" s="169">
        <v>-6.8594651584152899E-3</v>
      </c>
    </row>
    <row r="341" spans="20:28" x14ac:dyDescent="0.2">
      <c r="T341" s="130"/>
      <c r="U341" s="151"/>
      <c r="X341" s="170" t="str">
        <f t="shared" ref="X341:X404" si="14">X340</f>
        <v>1D</v>
      </c>
      <c r="Y341" s="168">
        <f>_xll.qlCalendarAdvance(LiborCalendar,Y340,X341,"f",FALSE)</f>
        <v>42600</v>
      </c>
      <c r="Z341" s="171">
        <f>_xll.qlInterestRateIndexValueDate(IborIndex,Y341,Trigger)</f>
        <v>42604</v>
      </c>
      <c r="AA341" s="172">
        <v>-6.5429705016286843E-3</v>
      </c>
      <c r="AB341" s="169">
        <v>-6.8460645272772069E-3</v>
      </c>
    </row>
    <row r="342" spans="20:28" x14ac:dyDescent="0.2">
      <c r="T342" s="130"/>
      <c r="U342" s="151"/>
      <c r="X342" s="170" t="str">
        <f t="shared" si="14"/>
        <v>1D</v>
      </c>
      <c r="Y342" s="168">
        <f>_xll.qlCalendarAdvance(LiborCalendar,Y341,X342,"f",FALSE)</f>
        <v>42601</v>
      </c>
      <c r="Z342" s="171">
        <f>_xll.qlInterestRateIndexValueDate(IborIndex,Y342,Trigger)</f>
        <v>42605</v>
      </c>
      <c r="AA342" s="172">
        <v>-6.5364339212860348E-3</v>
      </c>
      <c r="AB342" s="169">
        <v>-6.8393216039375204E-3</v>
      </c>
    </row>
    <row r="343" spans="20:28" x14ac:dyDescent="0.2">
      <c r="T343" s="130"/>
      <c r="U343" s="151"/>
      <c r="X343" s="170" t="str">
        <f t="shared" si="14"/>
        <v>1D</v>
      </c>
      <c r="Y343" s="168">
        <f>_xll.qlCalendarAdvance(LiborCalendar,Y342,X343,"f",FALSE)</f>
        <v>42604</v>
      </c>
      <c r="Z343" s="171">
        <f>_xll.qlInterestRateIndexValueDate(IborIndex,Y343,Trigger)</f>
        <v>42606</v>
      </c>
      <c r="AA343" s="172">
        <v>-6.5298984638468942E-3</v>
      </c>
      <c r="AB343" s="169">
        <v>-6.8325923276812972E-3</v>
      </c>
    </row>
    <row r="344" spans="20:28" x14ac:dyDescent="0.2">
      <c r="T344" s="130"/>
      <c r="U344" s="151"/>
      <c r="X344" s="170" t="str">
        <f t="shared" si="14"/>
        <v>1D</v>
      </c>
      <c r="Y344" s="168">
        <f>_xll.qlCalendarAdvance(LiborCalendar,Y343,X344,"f",FALSE)</f>
        <v>42605</v>
      </c>
      <c r="Z344" s="171">
        <f>_xll.qlInterestRateIndexValueDate(IborIndex,Y344,Trigger)</f>
        <v>42607</v>
      </c>
      <c r="AA344" s="172">
        <v>-6.5233639482895431E-3</v>
      </c>
      <c r="AB344" s="169">
        <v>-6.8258766982687291E-3</v>
      </c>
    </row>
    <row r="345" spans="20:28" x14ac:dyDescent="0.2">
      <c r="T345" s="130"/>
      <c r="U345" s="151"/>
      <c r="X345" s="170" t="str">
        <f t="shared" si="14"/>
        <v>1D</v>
      </c>
      <c r="Y345" s="168">
        <f>_xll.qlCalendarAdvance(LiborCalendar,Y344,X345,"f",FALSE)</f>
        <v>42606</v>
      </c>
      <c r="Z345" s="171">
        <f>_xll.qlInterestRateIndexValueDate(IborIndex,Y345,Trigger)</f>
        <v>42608</v>
      </c>
      <c r="AA345" s="172">
        <v>-6.5101615508433852E-3</v>
      </c>
      <c r="AB345" s="169">
        <v>-6.8089626758460753E-3</v>
      </c>
    </row>
    <row r="346" spans="20:28" x14ac:dyDescent="0.2">
      <c r="T346" s="130"/>
      <c r="U346" s="151"/>
      <c r="X346" s="170" t="str">
        <f t="shared" si="14"/>
        <v>1D</v>
      </c>
      <c r="Y346" s="168">
        <f>_xll.qlCalendarAdvance(LiborCalendar,Y345,X346,"f",FALSE)</f>
        <v>42607</v>
      </c>
      <c r="Z346" s="171">
        <f>_xll.qlInterestRateIndexValueDate(IborIndex,Y346,Trigger)</f>
        <v>42612</v>
      </c>
      <c r="AA346" s="172">
        <v>-6.4906991630020458E-3</v>
      </c>
      <c r="AB346" s="169">
        <v>-6.7925032546201081E-3</v>
      </c>
    </row>
    <row r="347" spans="20:28" x14ac:dyDescent="0.2">
      <c r="T347" s="130"/>
      <c r="U347" s="151"/>
      <c r="X347" s="170" t="str">
        <f t="shared" si="14"/>
        <v>1D</v>
      </c>
      <c r="Y347" s="168">
        <f>_xll.qlCalendarAdvance(LiborCalendar,Y346,X347,"f",FALSE)</f>
        <v>42608</v>
      </c>
      <c r="Z347" s="171">
        <f>_xll.qlInterestRateIndexValueDate(IborIndex,Y347,Trigger)</f>
        <v>42613</v>
      </c>
      <c r="AA347" s="172">
        <v>-6.4875050411873107E-3</v>
      </c>
      <c r="AB347" s="169">
        <v>-6.7858695065492469E-3</v>
      </c>
    </row>
    <row r="348" spans="20:28" x14ac:dyDescent="0.2">
      <c r="T348" s="130"/>
      <c r="U348" s="151"/>
      <c r="X348" s="170" t="str">
        <f t="shared" si="14"/>
        <v>1D</v>
      </c>
      <c r="Y348" s="168">
        <f>_xll.qlCalendarAdvance(LiborCalendar,Y347,X348,"f",FALSE)</f>
        <v>42612</v>
      </c>
      <c r="Z348" s="171">
        <f>_xll.qlInterestRateIndexValueDate(IborIndex,Y348,Trigger)</f>
        <v>42614</v>
      </c>
      <c r="AA348" s="172">
        <v>-6.4809732435913252E-3</v>
      </c>
      <c r="AB348" s="169">
        <v>-6.7792494053620089E-3</v>
      </c>
    </row>
    <row r="349" spans="20:28" x14ac:dyDescent="0.2">
      <c r="T349" s="130"/>
      <c r="U349" s="151"/>
      <c r="X349" s="170" t="str">
        <f t="shared" si="14"/>
        <v>1D</v>
      </c>
      <c r="Y349" s="168">
        <f>_xll.qlCalendarAdvance(LiborCalendar,Y348,X349,"f",FALSE)</f>
        <v>42613</v>
      </c>
      <c r="Z349" s="171">
        <f>_xll.qlInterestRateIndexValueDate(IborIndex,Y349,Trigger)</f>
        <v>42615</v>
      </c>
      <c r="AA349" s="172">
        <v>-6.474440967650064E-3</v>
      </c>
      <c r="AB349" s="169">
        <v>-6.7659275283737941E-3</v>
      </c>
    </row>
    <row r="350" spans="20:28" x14ac:dyDescent="0.2">
      <c r="T350" s="130"/>
      <c r="U350" s="151"/>
      <c r="X350" s="170" t="str">
        <f t="shared" si="14"/>
        <v>1D</v>
      </c>
      <c r="Y350" s="168">
        <f>_xll.qlCalendarAdvance(LiborCalendar,Y349,X350,"f",FALSE)</f>
        <v>42614</v>
      </c>
      <c r="Z350" s="171">
        <f>_xll.qlInterestRateIndexValueDate(IborIndex,Y350,Trigger)</f>
        <v>42618</v>
      </c>
      <c r="AA350" s="172">
        <v>-6.4548394395241545E-3</v>
      </c>
      <c r="AB350" s="169">
        <v>-6.7529054698090007E-3</v>
      </c>
    </row>
    <row r="351" spans="20:28" x14ac:dyDescent="0.2">
      <c r="T351" s="130"/>
      <c r="U351" s="151"/>
      <c r="X351" s="170" t="str">
        <f t="shared" si="14"/>
        <v>1D</v>
      </c>
      <c r="Y351" s="168">
        <f>_xll.qlCalendarAdvance(LiborCalendar,Y350,X351,"f",FALSE)</f>
        <v>42615</v>
      </c>
      <c r="Z351" s="171">
        <f>_xll.qlInterestRateIndexValueDate(IborIndex,Y351,Trigger)</f>
        <v>42619</v>
      </c>
      <c r="AA351" s="172">
        <v>-6.4483034199678052E-3</v>
      </c>
      <c r="AB351" s="169">
        <v>-6.7463536031597826E-3</v>
      </c>
    </row>
    <row r="352" spans="20:28" x14ac:dyDescent="0.2">
      <c r="T352" s="130"/>
      <c r="U352" s="151"/>
      <c r="X352" s="170" t="str">
        <f t="shared" si="14"/>
        <v>1D</v>
      </c>
      <c r="Y352" s="168">
        <f>_xll.qlCalendarAdvance(LiborCalendar,Y351,X352,"f",FALSE)</f>
        <v>42618</v>
      </c>
      <c r="Z352" s="171">
        <f>_xll.qlInterestRateIndexValueDate(IborIndex,Y352,Trigger)</f>
        <v>42620</v>
      </c>
      <c r="AA352" s="172">
        <v>-6.441766006944136E-3</v>
      </c>
      <c r="AB352" s="169">
        <v>-6.7398153834741237E-3</v>
      </c>
    </row>
    <row r="353" spans="20:28" x14ac:dyDescent="0.2">
      <c r="T353" s="130"/>
      <c r="U353" s="151"/>
      <c r="X353" s="170" t="str">
        <f t="shared" si="14"/>
        <v>1D</v>
      </c>
      <c r="Y353" s="168">
        <f>_xll.qlCalendarAdvance(LiborCalendar,Y352,X353,"f",FALSE)</f>
        <v>42619</v>
      </c>
      <c r="Z353" s="171">
        <f>_xll.qlInterestRateIndexValueDate(IborIndex,Y353,Trigger)</f>
        <v>42621</v>
      </c>
      <c r="AA353" s="172">
        <v>-6.4352270174237317E-3</v>
      </c>
      <c r="AB353" s="169">
        <v>-6.7332908106321199E-3</v>
      </c>
    </row>
    <row r="354" spans="20:28" x14ac:dyDescent="0.2">
      <c r="T354" s="130"/>
      <c r="U354" s="151"/>
      <c r="X354" s="170" t="str">
        <f t="shared" si="14"/>
        <v>1D</v>
      </c>
      <c r="Y354" s="168">
        <f>_xll.qlCalendarAdvance(LiborCalendar,Y353,X354,"f",FALSE)</f>
        <v>42620</v>
      </c>
      <c r="Z354" s="171">
        <f>_xll.qlInterestRateIndexValueDate(IborIndex,Y354,Trigger)</f>
        <v>42622</v>
      </c>
      <c r="AA354" s="172">
        <v>-6.428686268379372E-3</v>
      </c>
      <c r="AB354" s="169">
        <v>-6.7201617047363271E-3</v>
      </c>
    </row>
    <row r="355" spans="20:28" x14ac:dyDescent="0.2">
      <c r="T355" s="130"/>
      <c r="U355" s="151"/>
      <c r="X355" s="170" t="str">
        <f t="shared" si="14"/>
        <v>1D</v>
      </c>
      <c r="Y355" s="168">
        <f>_xll.qlCalendarAdvance(LiborCalendar,Y354,X355,"f",FALSE)</f>
        <v>42621</v>
      </c>
      <c r="Z355" s="171">
        <f>_xll.qlInterestRateIndexValueDate(IborIndex,Y355,Trigger)</f>
        <v>42625</v>
      </c>
      <c r="AA355" s="172">
        <v>-6.4090516337860061E-3</v>
      </c>
      <c r="AB355" s="169">
        <v>-6.7073289883401443E-3</v>
      </c>
    </row>
    <row r="356" spans="20:28" x14ac:dyDescent="0.2">
      <c r="T356" s="130"/>
      <c r="U356" s="151"/>
      <c r="X356" s="170" t="str">
        <f t="shared" si="14"/>
        <v>1D</v>
      </c>
      <c r="Y356" s="168">
        <f>_xll.qlCalendarAdvance(LiborCalendar,Y355,X356,"f",FALSE)</f>
        <v>42622</v>
      </c>
      <c r="Z356" s="171">
        <f>_xll.qlInterestRateIndexValueDate(IborIndex,Y356,Trigger)</f>
        <v>42626</v>
      </c>
      <c r="AA356" s="172">
        <v>-6.4025020163261939E-3</v>
      </c>
      <c r="AB356" s="169">
        <v>-6.7008726500761284E-3</v>
      </c>
    </row>
    <row r="357" spans="20:28" x14ac:dyDescent="0.2">
      <c r="T357" s="130"/>
      <c r="U357" s="151"/>
      <c r="X357" s="170" t="str">
        <f t="shared" si="14"/>
        <v>1D</v>
      </c>
      <c r="Y357" s="168">
        <f>_xll.qlCalendarAdvance(LiborCalendar,Y356,X357,"f",FALSE)</f>
        <v>42625</v>
      </c>
      <c r="Z357" s="171">
        <f>_xll.qlInterestRateIndexValueDate(IborIndex,Y357,Trigger)</f>
        <v>42627</v>
      </c>
      <c r="AA357" s="172">
        <v>-6.3959497241760227E-3</v>
      </c>
      <c r="AB357" s="169">
        <v>-6.6944299586557676E-3</v>
      </c>
    </row>
    <row r="358" spans="20:28" x14ac:dyDescent="0.2">
      <c r="T358" s="130"/>
      <c r="U358" s="151"/>
      <c r="X358" s="170" t="str">
        <f t="shared" si="14"/>
        <v>1D</v>
      </c>
      <c r="Y358" s="168">
        <f>_xll.qlCalendarAdvance(LiborCalendar,Y357,X358,"f",FALSE)</f>
        <v>42626</v>
      </c>
      <c r="Z358" s="171">
        <f>_xll.qlInterestRateIndexValueDate(IborIndex,Y358,Trigger)</f>
        <v>42628</v>
      </c>
      <c r="AA358" s="172">
        <v>-6.3893945743003664E-3</v>
      </c>
      <c r="AB358" s="169">
        <v>-6.6879981338230365E-3</v>
      </c>
    </row>
    <row r="359" spans="20:28" x14ac:dyDescent="0.2">
      <c r="T359" s="130"/>
      <c r="U359" s="151"/>
      <c r="X359" s="170" t="str">
        <f t="shared" si="14"/>
        <v>1D</v>
      </c>
      <c r="Y359" s="168">
        <f>_xll.qlCalendarAdvance(LiborCalendar,Y358,X359,"f",FALSE)</f>
        <v>42627</v>
      </c>
      <c r="Z359" s="171">
        <f>_xll.qlInterestRateIndexValueDate(IborIndex,Y359,Trigger)</f>
        <v>42629</v>
      </c>
      <c r="AA359" s="172">
        <v>-6.3828364141654157E-3</v>
      </c>
      <c r="AB359" s="169">
        <v>-6.6750061591536181E-3</v>
      </c>
    </row>
    <row r="360" spans="20:28" x14ac:dyDescent="0.2">
      <c r="T360" s="130"/>
      <c r="U360" s="151"/>
      <c r="X360" s="170" t="str">
        <f t="shared" si="14"/>
        <v>1D</v>
      </c>
      <c r="Y360" s="168">
        <f>_xll.qlCalendarAdvance(LiborCalendar,Y359,X360,"f",FALSE)</f>
        <v>42628</v>
      </c>
      <c r="Z360" s="171">
        <f>_xll.qlInterestRateIndexValueDate(IborIndex,Y360,Trigger)</f>
        <v>42632</v>
      </c>
      <c r="AA360" s="172">
        <v>-6.3631436890286847E-3</v>
      </c>
      <c r="AB360" s="169">
        <v>-6.6622516075520721E-3</v>
      </c>
    </row>
    <row r="361" spans="20:28" x14ac:dyDescent="0.2">
      <c r="T361" s="130"/>
      <c r="U361" s="151"/>
      <c r="X361" s="170" t="str">
        <f t="shared" si="14"/>
        <v>1D</v>
      </c>
      <c r="Y361" s="168">
        <f>_xll.qlCalendarAdvance(LiborCalendar,Y360,X361,"f",FALSE)</f>
        <v>42629</v>
      </c>
      <c r="Z361" s="171">
        <f>_xll.qlInterestRateIndexValueDate(IborIndex,Y361,Trigger)</f>
        <v>42633</v>
      </c>
      <c r="AA361" s="172">
        <v>-6.3565733656887847E-3</v>
      </c>
      <c r="AB361" s="169">
        <v>-6.6558073889133595E-3</v>
      </c>
    </row>
    <row r="362" spans="20:28" x14ac:dyDescent="0.2">
      <c r="T362" s="130"/>
      <c r="U362" s="151"/>
      <c r="X362" s="170" t="str">
        <f t="shared" si="14"/>
        <v>1D</v>
      </c>
      <c r="Y362" s="168">
        <f>_xll.qlCalendarAdvance(LiborCalendar,Y361,X362,"f",FALSE)</f>
        <v>42632</v>
      </c>
      <c r="Z362" s="171">
        <f>_xll.qlInterestRateIndexValueDate(IborIndex,Y362,Trigger)</f>
        <v>42634</v>
      </c>
      <c r="AA362" s="172">
        <v>-6.3500000015096567E-3</v>
      </c>
      <c r="AB362" s="169">
        <v>-6.6493601353423415E-3</v>
      </c>
    </row>
    <row r="363" spans="20:28" x14ac:dyDescent="0.2">
      <c r="T363" s="130"/>
      <c r="U363" s="151"/>
      <c r="X363" s="170" t="str">
        <f t="shared" si="14"/>
        <v>1D</v>
      </c>
      <c r="Y363" s="168">
        <f>_xll.qlCalendarAdvance(LiborCalendar,Y362,X363,"f",FALSE)</f>
        <v>42633</v>
      </c>
      <c r="Z363" s="171">
        <f>_xll.qlInterestRateIndexValueDate(IborIndex,Y363,Trigger)</f>
        <v>42635</v>
      </c>
      <c r="AA363" s="172">
        <v>-6.3434235387102673E-3</v>
      </c>
      <c r="AB363" s="169">
        <v>-6.6429098470388581E-3</v>
      </c>
    </row>
    <row r="364" spans="20:28" x14ac:dyDescent="0.2">
      <c r="T364" s="130"/>
      <c r="U364" s="151"/>
      <c r="X364" s="170" t="str">
        <f t="shared" si="14"/>
        <v>1D</v>
      </c>
      <c r="Y364" s="168">
        <f>_xll.qlCalendarAdvance(LiborCalendar,Y363,X364,"f",FALSE)</f>
        <v>42634</v>
      </c>
      <c r="Z364" s="171">
        <f>_xll.qlInterestRateIndexValueDate(IborIndex,Y364,Trigger)</f>
        <v>42636</v>
      </c>
      <c r="AA364" s="172">
        <v>-6.3368436884416708E-3</v>
      </c>
      <c r="AB364" s="169">
        <v>-6.6298770524753081E-3</v>
      </c>
    </row>
    <row r="365" spans="20:28" x14ac:dyDescent="0.2">
      <c r="T365" s="130"/>
      <c r="U365" s="151"/>
      <c r="X365" s="170" t="str">
        <f t="shared" si="14"/>
        <v>1D</v>
      </c>
      <c r="Y365" s="168">
        <f>_xll.qlCalendarAdvance(LiborCalendar,Y364,X365,"f",FALSE)</f>
        <v>42635</v>
      </c>
      <c r="Z365" s="171">
        <f>_xll.qlInterestRateIndexValueDate(IborIndex,Y365,Trigger)</f>
        <v>42639</v>
      </c>
      <c r="AA365" s="172">
        <v>-6.3103194380146575E-3</v>
      </c>
      <c r="AB365" s="169">
        <v>-6.6170783451013904E-3</v>
      </c>
    </row>
    <row r="366" spans="20:28" x14ac:dyDescent="0.2">
      <c r="T366" s="130"/>
      <c r="U366" s="151"/>
      <c r="X366" s="170" t="str">
        <f t="shared" si="14"/>
        <v>1D</v>
      </c>
      <c r="Y366" s="168">
        <f>_xll.qlCalendarAdvance(LiborCalendar,Y365,X366,"f",FALSE)</f>
        <v>42636</v>
      </c>
      <c r="Z366" s="171">
        <f>_xll.qlInterestRateIndexValueDate(IborIndex,Y366,Trigger)</f>
        <v>42640</v>
      </c>
      <c r="AA366" s="172">
        <v>-6.3071010314615398E-3</v>
      </c>
      <c r="AB366" s="169">
        <v>-6.610612882655964E-3</v>
      </c>
    </row>
    <row r="367" spans="20:28" x14ac:dyDescent="0.2">
      <c r="T367" s="130"/>
      <c r="U367" s="151"/>
      <c r="X367" s="170" t="str">
        <f t="shared" si="14"/>
        <v>1D</v>
      </c>
      <c r="Y367" s="168">
        <f>_xll.qlCalendarAdvance(LiborCalendar,Y366,X367,"f",FALSE)</f>
        <v>42639</v>
      </c>
      <c r="Z367" s="171">
        <f>_xll.qlInterestRateIndexValueDate(IborIndex,Y367,Trigger)</f>
        <v>42641</v>
      </c>
      <c r="AA367" s="172">
        <v>-6.3038814933939376E-3</v>
      </c>
      <c r="AB367" s="169">
        <v>-6.6041443851583281E-3</v>
      </c>
    </row>
    <row r="368" spans="20:28" x14ac:dyDescent="0.2">
      <c r="T368" s="130"/>
      <c r="U368" s="151"/>
      <c r="X368" s="170" t="str">
        <f t="shared" si="14"/>
        <v>1D</v>
      </c>
      <c r="Y368" s="168">
        <f>_xll.qlCalendarAdvance(LiborCalendar,Y367,X368,"f",FALSE)</f>
        <v>42640</v>
      </c>
      <c r="Z368" s="171">
        <f>_xll.qlInterestRateIndexValueDate(IborIndex,Y368,Trigger)</f>
        <v>42642</v>
      </c>
      <c r="AA368" s="172">
        <v>-6.2972740392769041E-3</v>
      </c>
      <c r="AB368" s="169">
        <v>-6.5976728529282269E-3</v>
      </c>
    </row>
    <row r="369" spans="20:28" x14ac:dyDescent="0.2">
      <c r="T369" s="130"/>
      <c r="U369" s="151"/>
      <c r="X369" s="170" t="str">
        <f t="shared" si="14"/>
        <v>1D</v>
      </c>
      <c r="Y369" s="168">
        <f>_xll.qlCalendarAdvance(LiborCalendar,Y368,X369,"f",FALSE)</f>
        <v>42641</v>
      </c>
      <c r="Z369" s="171">
        <f>_xll.qlInterestRateIndexValueDate(IborIndex,Y369,Trigger)</f>
        <v>42643</v>
      </c>
      <c r="AA369" s="172">
        <v>-6.2906607713238642E-3</v>
      </c>
      <c r="AB369" s="169">
        <v>-6.5845992327551173E-3</v>
      </c>
    </row>
    <row r="370" spans="20:28" x14ac:dyDescent="0.2">
      <c r="T370" s="130"/>
      <c r="U370" s="151"/>
      <c r="X370" s="170" t="str">
        <f t="shared" si="14"/>
        <v>1D</v>
      </c>
      <c r="Y370" s="168">
        <f>_xll.qlCalendarAdvance(LiborCalendar,Y369,X370,"f",FALSE)</f>
        <v>42642</v>
      </c>
      <c r="Z370" s="171">
        <f>_xll.qlInterestRateIndexValueDate(IborIndex,Y370,Trigger)</f>
        <v>42646</v>
      </c>
      <c r="AA370" s="172">
        <v>-6.2673731479190795E-3</v>
      </c>
      <c r="AB370" s="169">
        <v>-6.571756375524096E-3</v>
      </c>
    </row>
    <row r="371" spans="20:28" x14ac:dyDescent="0.2">
      <c r="T371" s="130"/>
      <c r="U371" s="151"/>
      <c r="X371" s="170" t="str">
        <f t="shared" si="14"/>
        <v>1D</v>
      </c>
      <c r="Y371" s="168">
        <f>_xll.qlCalendarAdvance(LiborCalendar,Y370,X371,"f",FALSE)</f>
        <v>42643</v>
      </c>
      <c r="Z371" s="171">
        <f>_xll.qlInterestRateIndexValueDate(IborIndex,Y371,Trigger)</f>
        <v>42647</v>
      </c>
      <c r="AA371" s="172">
        <v>-6.2607275909526182E-3</v>
      </c>
      <c r="AB371" s="169">
        <v>-6.5652696691120838E-3</v>
      </c>
    </row>
    <row r="372" spans="20:28" x14ac:dyDescent="0.2">
      <c r="T372" s="130"/>
      <c r="U372" s="151"/>
      <c r="X372" s="170" t="str">
        <f t="shared" si="14"/>
        <v>1D</v>
      </c>
      <c r="Y372" s="168">
        <f>_xll.qlCalendarAdvance(LiborCalendar,Y371,X372,"f",FALSE)</f>
        <v>42646</v>
      </c>
      <c r="Z372" s="171">
        <f>_xll.qlInterestRateIndexValueDate(IborIndex,Y372,Trigger)</f>
        <v>42648</v>
      </c>
      <c r="AA372" s="172">
        <v>-6.2540741930856188E-3</v>
      </c>
      <c r="AB372" s="169">
        <v>-6.5587799278477021E-3</v>
      </c>
    </row>
    <row r="373" spans="20:28" x14ac:dyDescent="0.2">
      <c r="T373" s="130"/>
      <c r="U373" s="151"/>
      <c r="X373" s="170" t="str">
        <f t="shared" si="14"/>
        <v>1D</v>
      </c>
      <c r="Y373" s="168">
        <f>_xll.qlCalendarAdvance(LiborCalendar,Y372,X373,"f",FALSE)</f>
        <v>42647</v>
      </c>
      <c r="Z373" s="171">
        <f>_xll.qlInterestRateIndexValueDate(IborIndex,Y373,Trigger)</f>
        <v>42649</v>
      </c>
      <c r="AA373" s="172">
        <v>-6.2474126114440923E-3</v>
      </c>
      <c r="AB373" s="169">
        <v>-6.5522871516510151E-3</v>
      </c>
    </row>
    <row r="374" spans="20:28" x14ac:dyDescent="0.2">
      <c r="T374" s="130"/>
      <c r="U374" s="151"/>
      <c r="X374" s="170" t="str">
        <f t="shared" si="14"/>
        <v>1D</v>
      </c>
      <c r="Y374" s="168">
        <f>_xll.qlCalendarAdvance(LiborCalendar,Y373,X374,"f",FALSE)</f>
        <v>42648</v>
      </c>
      <c r="Z374" s="171">
        <f>_xll.qlInterestRateIndexValueDate(IborIndex,Y374,Trigger)</f>
        <v>42650</v>
      </c>
      <c r="AA374" s="172">
        <v>-6.2338582108688277E-3</v>
      </c>
      <c r="AB374" s="169">
        <v>-6.5391726997932054E-3</v>
      </c>
    </row>
    <row r="375" spans="20:28" x14ac:dyDescent="0.2">
      <c r="T375" s="130"/>
      <c r="U375" s="151"/>
      <c r="X375" s="170" t="str">
        <f t="shared" si="14"/>
        <v>1D</v>
      </c>
      <c r="Y375" s="168">
        <f>_xll.qlCalendarAdvance(LiborCalendar,Y374,X375,"f",FALSE)</f>
        <v>42649</v>
      </c>
      <c r="Z375" s="171">
        <f>_xll.qlInterestRateIndexValueDate(IborIndex,Y375,Trigger)</f>
        <v>42653</v>
      </c>
      <c r="AA375" s="172">
        <v>-6.2206775895842668E-3</v>
      </c>
      <c r="AB375" s="169">
        <v>-6.5262856987402529E-3</v>
      </c>
    </row>
    <row r="376" spans="20:28" x14ac:dyDescent="0.2">
      <c r="T376" s="130"/>
      <c r="U376" s="151"/>
      <c r="X376" s="170" t="str">
        <f t="shared" si="14"/>
        <v>1D</v>
      </c>
      <c r="Y376" s="168">
        <f>_xll.qlCalendarAdvance(LiborCalendar,Y375,X376,"f",FALSE)</f>
        <v>42650</v>
      </c>
      <c r="Z376" s="171">
        <f>_xll.qlInterestRateIndexValueDate(IborIndex,Y376,Trigger)</f>
        <v>42654</v>
      </c>
      <c r="AA376" s="172">
        <v>-6.2139699458833558E-3</v>
      </c>
      <c r="AB376" s="169">
        <v>-6.5197777483216868E-3</v>
      </c>
    </row>
    <row r="377" spans="20:28" x14ac:dyDescent="0.2">
      <c r="T377" s="130"/>
      <c r="U377" s="151"/>
      <c r="X377" s="170" t="str">
        <f t="shared" si="14"/>
        <v>1D</v>
      </c>
      <c r="Y377" s="168">
        <f>_xll.qlCalendarAdvance(LiborCalendar,Y376,X377,"f",FALSE)</f>
        <v>42653</v>
      </c>
      <c r="Z377" s="171">
        <f>_xll.qlInterestRateIndexValueDate(IborIndex,Y377,Trigger)</f>
        <v>42655</v>
      </c>
      <c r="AA377" s="172">
        <v>-6.2072520611161884E-3</v>
      </c>
      <c r="AB377" s="169">
        <v>-6.5132667632505914E-3</v>
      </c>
    </row>
    <row r="378" spans="20:28" x14ac:dyDescent="0.2">
      <c r="T378" s="130"/>
      <c r="U378" s="151"/>
      <c r="X378" s="170" t="str">
        <f t="shared" si="14"/>
        <v>1D</v>
      </c>
      <c r="Y378" s="168">
        <f>_xll.qlCalendarAdvance(LiborCalendar,Y377,X378,"f",FALSE)</f>
        <v>42654</v>
      </c>
      <c r="Z378" s="171">
        <f>_xll.qlInterestRateIndexValueDate(IborIndex,Y378,Trigger)</f>
        <v>42656</v>
      </c>
      <c r="AA378" s="172">
        <v>-6.2005235923896611E-3</v>
      </c>
      <c r="AB378" s="169">
        <v>-6.5067527431272865E-3</v>
      </c>
    </row>
    <row r="379" spans="20:28" x14ac:dyDescent="0.2">
      <c r="T379" s="130"/>
      <c r="U379" s="151"/>
      <c r="X379" s="170" t="str">
        <f t="shared" si="14"/>
        <v>1D</v>
      </c>
      <c r="Y379" s="168">
        <f>_xll.qlCalendarAdvance(LiborCalendar,Y378,X379,"f",FALSE)</f>
        <v>42655</v>
      </c>
      <c r="Z379" s="171">
        <f>_xll.qlInterestRateIndexValueDate(IborIndex,Y379,Trigger)</f>
        <v>42657</v>
      </c>
      <c r="AA379" s="172">
        <v>-6.1867900730096497E-3</v>
      </c>
      <c r="AB379" s="169">
        <v>-6.493597453443023E-3</v>
      </c>
    </row>
    <row r="380" spans="20:28" x14ac:dyDescent="0.2">
      <c r="T380" s="130"/>
      <c r="U380" s="151"/>
      <c r="X380" s="170" t="str">
        <f t="shared" si="14"/>
        <v>1D</v>
      </c>
      <c r="Y380" s="168">
        <f>_xll.qlCalendarAdvance(LiborCalendar,Y379,X380,"f",FALSE)</f>
        <v>42656</v>
      </c>
      <c r="Z380" s="171">
        <f>_xll.qlInterestRateIndexValueDate(IborIndex,Y380,Trigger)</f>
        <v>42660</v>
      </c>
      <c r="AA380" s="172">
        <v>-6.1734970200069805E-3</v>
      </c>
      <c r="AB380" s="169">
        <v>-6.4806663145100529E-3</v>
      </c>
    </row>
    <row r="381" spans="20:28" x14ac:dyDescent="0.2">
      <c r="T381" s="130"/>
      <c r="U381" s="151"/>
      <c r="X381" s="170" t="str">
        <f t="shared" si="14"/>
        <v>1D</v>
      </c>
      <c r="Y381" s="168">
        <f>_xll.qlCalendarAdvance(LiborCalendar,Y380,X381,"f",FALSE)</f>
        <v>42657</v>
      </c>
      <c r="Z381" s="171">
        <f>_xll.qlInterestRateIndexValueDate(IborIndex,Y381,Trigger)</f>
        <v>42661</v>
      </c>
      <c r="AA381" s="172">
        <v>-6.1667104880449288E-3</v>
      </c>
      <c r="AB381" s="169">
        <v>-6.4741371203647091E-3</v>
      </c>
    </row>
    <row r="382" spans="20:28" x14ac:dyDescent="0.2">
      <c r="T382" s="130"/>
      <c r="U382" s="151"/>
      <c r="X382" s="170" t="str">
        <f t="shared" si="14"/>
        <v>1D</v>
      </c>
      <c r="Y382" s="168">
        <f>_xll.qlCalendarAdvance(LiborCalendar,Y381,X382,"f",FALSE)</f>
        <v>42660</v>
      </c>
      <c r="Z382" s="171">
        <f>_xll.qlInterestRateIndexValueDate(IborIndex,Y382,Trigger)</f>
        <v>42662</v>
      </c>
      <c r="AA382" s="172">
        <v>-6.1599113147275232E-3</v>
      </c>
      <c r="AB382" s="169">
        <v>-6.4676048912470918E-3</v>
      </c>
    </row>
    <row r="383" spans="20:28" x14ac:dyDescent="0.2">
      <c r="T383" s="130"/>
      <c r="U383" s="151"/>
      <c r="X383" s="170" t="str">
        <f t="shared" si="14"/>
        <v>1D</v>
      </c>
      <c r="Y383" s="168">
        <f>_xll.qlCalendarAdvance(LiborCalendar,Y382,X383,"f",FALSE)</f>
        <v>42661</v>
      </c>
      <c r="Z383" s="171">
        <f>_xll.qlInterestRateIndexValueDate(IborIndex,Y383,Trigger)</f>
        <v>42663</v>
      </c>
      <c r="AA383" s="172">
        <v>-6.1530991571494944E-3</v>
      </c>
      <c r="AB383" s="169">
        <v>-6.4610696272771051E-3</v>
      </c>
    </row>
    <row r="384" spans="20:28" x14ac:dyDescent="0.2">
      <c r="T384" s="130"/>
      <c r="U384" s="151"/>
      <c r="X384" s="170" t="str">
        <f t="shared" si="14"/>
        <v>1D</v>
      </c>
      <c r="Y384" s="168">
        <f>_xll.qlCalendarAdvance(LiborCalendar,Y383,X384,"f",FALSE)</f>
        <v>42662</v>
      </c>
      <c r="Z384" s="171">
        <f>_xll.qlInterestRateIndexValueDate(IborIndex,Y384,Trigger)</f>
        <v>42664</v>
      </c>
      <c r="AA384" s="172">
        <v>-6.1391454153547388E-3</v>
      </c>
      <c r="AB384" s="169">
        <v>-6.4478734935180526E-3</v>
      </c>
    </row>
    <row r="385" spans="20:28" x14ac:dyDescent="0.2">
      <c r="T385" s="130"/>
      <c r="U385" s="151"/>
      <c r="X385" s="170" t="str">
        <f t="shared" si="14"/>
        <v>1D</v>
      </c>
      <c r="Y385" s="168">
        <f>_xll.qlCalendarAdvance(LiborCalendar,Y384,X385,"f",FALSE)</f>
        <v>42663</v>
      </c>
      <c r="Z385" s="171">
        <f>_xll.qlInterestRateIndexValueDate(IborIndex,Y385,Trigger)</f>
        <v>42667</v>
      </c>
      <c r="AA385" s="172">
        <v>-6.1257138259641492E-3</v>
      </c>
      <c r="AB385" s="169">
        <v>-6.4348982230333363E-3</v>
      </c>
    </row>
    <row r="386" spans="20:28" x14ac:dyDescent="0.2">
      <c r="T386" s="130"/>
      <c r="U386" s="151"/>
      <c r="X386" s="170" t="str">
        <f t="shared" si="14"/>
        <v>1D</v>
      </c>
      <c r="Y386" s="168">
        <f>_xll.qlCalendarAdvance(LiborCalendar,Y385,X386,"f",FALSE)</f>
        <v>42664</v>
      </c>
      <c r="Z386" s="171">
        <f>_xll.qlInterestRateIndexValueDate(IborIndex,Y386,Trigger)</f>
        <v>42668</v>
      </c>
      <c r="AA386" s="172">
        <v>-6.1188316033649439E-3</v>
      </c>
      <c r="AB386" s="169">
        <v>-6.4283477848814385E-3</v>
      </c>
    </row>
    <row r="387" spans="20:28" x14ac:dyDescent="0.2">
      <c r="T387" s="130"/>
      <c r="U387" s="151"/>
      <c r="X387" s="170" t="str">
        <f t="shared" si="14"/>
        <v>1D</v>
      </c>
      <c r="Y387" s="168">
        <f>_xll.qlCalendarAdvance(LiborCalendar,Y386,X387,"f",FALSE)</f>
        <v>42667</v>
      </c>
      <c r="Z387" s="171">
        <f>_xll.qlInterestRateIndexValueDate(IborIndex,Y387,Trigger)</f>
        <v>42669</v>
      </c>
      <c r="AA387" s="172">
        <v>-6.1119343390026865E-3</v>
      </c>
      <c r="AB387" s="169">
        <v>-6.4217943119171395E-3</v>
      </c>
    </row>
    <row r="388" spans="20:28" x14ac:dyDescent="0.2">
      <c r="T388" s="130"/>
      <c r="U388" s="151"/>
      <c r="X388" s="170" t="str">
        <f t="shared" si="14"/>
        <v>1D</v>
      </c>
      <c r="Y388" s="168">
        <f>_xll.qlCalendarAdvance(LiborCalendar,Y387,X388,"f",FALSE)</f>
        <v>42668</v>
      </c>
      <c r="Z388" s="171">
        <f>_xll.qlInterestRateIndexValueDate(IborIndex,Y388,Trigger)</f>
        <v>42670</v>
      </c>
      <c r="AA388" s="172">
        <v>-6.1050216899503854E-3</v>
      </c>
      <c r="AB388" s="169">
        <v>-6.4152378040205349E-3</v>
      </c>
    </row>
    <row r="389" spans="20:28" x14ac:dyDescent="0.2">
      <c r="T389" s="130"/>
      <c r="U389" s="151"/>
      <c r="X389" s="170" t="str">
        <f t="shared" si="14"/>
        <v>1D</v>
      </c>
      <c r="Y389" s="168">
        <f>_xll.qlCalendarAdvance(LiborCalendar,Y388,X389,"f",FALSE)</f>
        <v>42669</v>
      </c>
      <c r="Z389" s="171">
        <f>_xll.qlInterestRateIndexValueDate(IborIndex,Y389,Trigger)</f>
        <v>42671</v>
      </c>
      <c r="AA389" s="172">
        <v>-6.0908091256107813E-3</v>
      </c>
      <c r="AB389" s="169">
        <v>-6.4020008198717449E-3</v>
      </c>
    </row>
    <row r="390" spans="20:28" x14ac:dyDescent="0.2">
      <c r="T390" s="130"/>
      <c r="U390" s="151"/>
      <c r="X390" s="170" t="str">
        <f t="shared" si="14"/>
        <v>1D</v>
      </c>
      <c r="Y390" s="168">
        <f>_xll.qlCalendarAdvance(LiborCalendar,Y389,X390,"f",FALSE)</f>
        <v>42670</v>
      </c>
      <c r="Z390" s="171">
        <f>_xll.qlInterestRateIndexValueDate(IborIndex,Y390,Trigger)</f>
        <v>42674</v>
      </c>
      <c r="AA390" s="172">
        <v>-6.0772103882331483E-3</v>
      </c>
      <c r="AB390" s="169">
        <v>-6.3889814241102627E-3</v>
      </c>
    </row>
    <row r="391" spans="20:28" x14ac:dyDescent="0.2">
      <c r="T391" s="130"/>
      <c r="U391" s="151"/>
      <c r="X391" s="170" t="str">
        <f t="shared" si="14"/>
        <v>1D</v>
      </c>
      <c r="Y391" s="168">
        <f>_xll.qlCalendarAdvance(LiborCalendar,Y390,X391,"f",FALSE)</f>
        <v>42671</v>
      </c>
      <c r="Z391" s="171">
        <f>_xll.qlInterestRateIndexValueDate(IborIndex,Y391,Trigger)</f>
        <v>42675</v>
      </c>
      <c r="AA391" s="172">
        <v>-6.0702156717510388E-3</v>
      </c>
      <c r="AB391" s="169">
        <v>-6.3824097420317472E-3</v>
      </c>
    </row>
    <row r="392" spans="20:28" x14ac:dyDescent="0.2">
      <c r="T392" s="130"/>
      <c r="U392" s="151"/>
      <c r="X392" s="170" t="str">
        <f t="shared" si="14"/>
        <v>1D</v>
      </c>
      <c r="Y392" s="168">
        <f>_xll.qlCalendarAdvance(LiborCalendar,Y391,X392,"f",FALSE)</f>
        <v>42674</v>
      </c>
      <c r="Z392" s="171">
        <f>_xll.qlInterestRateIndexValueDate(IborIndex,Y392,Trigger)</f>
        <v>42676</v>
      </c>
      <c r="AA392" s="172">
        <v>-6.0632035129687166E-3</v>
      </c>
      <c r="AB392" s="169">
        <v>-6.3758350251008622E-3</v>
      </c>
    </row>
    <row r="393" spans="20:28" x14ac:dyDescent="0.2">
      <c r="T393" s="130"/>
      <c r="U393" s="151"/>
      <c r="X393" s="170" t="str">
        <f t="shared" si="14"/>
        <v>1D</v>
      </c>
      <c r="Y393" s="168">
        <f>_xll.qlCalendarAdvance(LiborCalendar,Y392,X393,"f",FALSE)</f>
        <v>42675</v>
      </c>
      <c r="Z393" s="171">
        <f>_xll.qlInterestRateIndexValueDate(IborIndex,Y393,Trigger)</f>
        <v>42677</v>
      </c>
      <c r="AA393" s="172">
        <v>-6.0561735689405091E-3</v>
      </c>
      <c r="AB393" s="169">
        <v>-6.3692572733575759E-3</v>
      </c>
    </row>
    <row r="394" spans="20:28" x14ac:dyDescent="0.2">
      <c r="T394" s="130"/>
      <c r="U394" s="151"/>
      <c r="X394" s="170" t="str">
        <f t="shared" si="14"/>
        <v>1D</v>
      </c>
      <c r="Y394" s="168">
        <f>_xll.qlCalendarAdvance(LiborCalendar,Y393,X394,"f",FALSE)</f>
        <v>42676</v>
      </c>
      <c r="Z394" s="171">
        <f>_xll.qlInterestRateIndexValueDate(IborIndex,Y394,Trigger)</f>
        <v>42678</v>
      </c>
      <c r="AA394" s="172">
        <v>-6.0416660853259835E-3</v>
      </c>
      <c r="AB394" s="169">
        <v>-6.3559794323309049E-3</v>
      </c>
    </row>
    <row r="395" spans="20:28" x14ac:dyDescent="0.2">
      <c r="T395" s="130"/>
      <c r="U395" s="151"/>
      <c r="X395" s="170" t="str">
        <f t="shared" si="14"/>
        <v>1D</v>
      </c>
      <c r="Y395" s="168">
        <f>_xll.qlCalendarAdvance(LiborCalendar,Y394,X395,"f",FALSE)</f>
        <v>42677</v>
      </c>
      <c r="Z395" s="171">
        <f>_xll.qlInterestRateIndexValueDate(IborIndex,Y395,Trigger)</f>
        <v>42681</v>
      </c>
      <c r="AA395" s="172">
        <v>-6.0278690813937059E-3</v>
      </c>
      <c r="AB395" s="169">
        <v>-6.3429159177008643E-3</v>
      </c>
    </row>
    <row r="396" spans="20:28" x14ac:dyDescent="0.2">
      <c r="T396" s="130"/>
      <c r="U396" s="151"/>
      <c r="X396" s="170" t="str">
        <f t="shared" si="14"/>
        <v>1D</v>
      </c>
      <c r="Y396" s="168">
        <f>_xll.qlCalendarAdvance(LiborCalendar,Y395,X396,"f",FALSE)</f>
        <v>42678</v>
      </c>
      <c r="Z396" s="171">
        <f>_xll.qlInterestRateIndexValueDate(IborIndex,Y396,Trigger)</f>
        <v>42682</v>
      </c>
      <c r="AA396" s="172">
        <v>-6.0207450668780119E-3</v>
      </c>
      <c r="AB396" s="169">
        <v>-6.3363229916557628E-3</v>
      </c>
    </row>
    <row r="397" spans="20:28" x14ac:dyDescent="0.2">
      <c r="T397" s="130"/>
      <c r="U397" s="151"/>
      <c r="X397" s="170" t="str">
        <f t="shared" si="14"/>
        <v>1D</v>
      </c>
      <c r="Y397" s="168">
        <f>_xll.qlCalendarAdvance(LiborCalendar,Y396,X397,"f",FALSE)</f>
        <v>42681</v>
      </c>
      <c r="Z397" s="171">
        <f>_xll.qlInterestRateIndexValueDate(IborIndex,Y397,Trigger)</f>
        <v>42683</v>
      </c>
      <c r="AA397" s="172">
        <v>-6.0136012093933112E-3</v>
      </c>
      <c r="AB397" s="169">
        <v>-6.3297270308382281E-3</v>
      </c>
    </row>
    <row r="398" spans="20:28" x14ac:dyDescent="0.2">
      <c r="T398" s="130"/>
      <c r="U398" s="151"/>
      <c r="X398" s="170" t="str">
        <f t="shared" si="14"/>
        <v>1D</v>
      </c>
      <c r="Y398" s="168">
        <f>_xll.qlCalendarAdvance(LiborCalendar,Y397,X398,"f",FALSE)</f>
        <v>42682</v>
      </c>
      <c r="Z398" s="171">
        <f>_xll.qlInterestRateIndexValueDate(IborIndex,Y398,Trigger)</f>
        <v>42684</v>
      </c>
      <c r="AA398" s="172">
        <v>-6.0064371659739471E-3</v>
      </c>
      <c r="AB398" s="169">
        <v>-6.3231280350484198E-3</v>
      </c>
    </row>
    <row r="399" spans="20:28" x14ac:dyDescent="0.2">
      <c r="T399" s="130"/>
      <c r="U399" s="151"/>
      <c r="X399" s="170" t="str">
        <f t="shared" si="14"/>
        <v>1D</v>
      </c>
      <c r="Y399" s="168">
        <f>_xll.qlCalendarAdvance(LiborCalendar,Y398,X399,"f",FALSE)</f>
        <v>42683</v>
      </c>
      <c r="Z399" s="171">
        <f>_xll.qlInterestRateIndexValueDate(IborIndex,Y399,Trigger)</f>
        <v>42685</v>
      </c>
      <c r="AA399" s="172">
        <v>-5.9916011696677001E-3</v>
      </c>
      <c r="AB399" s="169">
        <v>-6.3098093307090153E-3</v>
      </c>
    </row>
    <row r="400" spans="20:28" x14ac:dyDescent="0.2">
      <c r="T400" s="130"/>
      <c r="U400" s="151"/>
      <c r="X400" s="170" t="str">
        <f t="shared" si="14"/>
        <v>1D</v>
      </c>
      <c r="Y400" s="168">
        <f>_xll.qlCalendarAdvance(LiborCalendar,Y399,X400,"f",FALSE)</f>
        <v>42684</v>
      </c>
      <c r="Z400" s="171">
        <f>_xll.qlInterestRateIndexValueDate(IborIndex,Y400,Trigger)</f>
        <v>42688</v>
      </c>
      <c r="AA400" s="172">
        <v>-5.9775722735941703E-3</v>
      </c>
      <c r="AB400" s="169">
        <v>-6.2967017038051409E-3</v>
      </c>
    </row>
    <row r="401" spans="20:28" x14ac:dyDescent="0.2">
      <c r="T401" s="130"/>
      <c r="U401" s="151"/>
      <c r="X401" s="170" t="str">
        <f t="shared" si="14"/>
        <v>1D</v>
      </c>
      <c r="Y401" s="168">
        <f>_xll.qlCalendarAdvance(LiborCalendar,Y400,X401,"f",FALSE)</f>
        <v>42685</v>
      </c>
      <c r="Z401" s="171">
        <f>_xll.qlInterestRateIndexValueDate(IborIndex,Y401,Trigger)</f>
        <v>42689</v>
      </c>
      <c r="AA401" s="172">
        <v>-5.9703021559523572E-3</v>
      </c>
      <c r="AB401" s="169">
        <v>-6.2900875337135176E-3</v>
      </c>
    </row>
    <row r="402" spans="20:28" x14ac:dyDescent="0.2">
      <c r="T402" s="130"/>
      <c r="U402" s="151"/>
      <c r="X402" s="170" t="str">
        <f t="shared" si="14"/>
        <v>1D</v>
      </c>
      <c r="Y402" s="168">
        <f>_xll.qlCalendarAdvance(LiborCalendar,Y401,X402,"f",FALSE)</f>
        <v>42688</v>
      </c>
      <c r="Z402" s="171">
        <f>_xll.qlInterestRateIndexValueDate(IborIndex,Y402,Trigger)</f>
        <v>42690</v>
      </c>
      <c r="AA402" s="172">
        <v>-5.9630097945367654E-3</v>
      </c>
      <c r="AB402" s="169">
        <v>-6.283470329049301E-3</v>
      </c>
    </row>
    <row r="403" spans="20:28" x14ac:dyDescent="0.2">
      <c r="T403" s="130"/>
      <c r="U403" s="151"/>
      <c r="X403" s="170" t="str">
        <f t="shared" si="14"/>
        <v>1D</v>
      </c>
      <c r="Y403" s="168">
        <f>_xll.qlCalendarAdvance(LiborCalendar,Y402,X403,"f",FALSE)</f>
        <v>42689</v>
      </c>
      <c r="Z403" s="171">
        <f>_xll.qlInterestRateIndexValueDate(IborIndex,Y403,Trigger)</f>
        <v>42691</v>
      </c>
      <c r="AA403" s="172">
        <v>-5.9556948463604497E-3</v>
      </c>
      <c r="AB403" s="169">
        <v>-6.2768500892929069E-3</v>
      </c>
    </row>
    <row r="404" spans="20:28" x14ac:dyDescent="0.2">
      <c r="T404" s="130"/>
      <c r="U404" s="151"/>
      <c r="X404" s="170" t="str">
        <f t="shared" si="14"/>
        <v>1D</v>
      </c>
      <c r="Y404" s="168">
        <f>_xll.qlCalendarAdvance(LiborCalendar,Y403,X404,"f",FALSE)</f>
        <v>42690</v>
      </c>
      <c r="Z404" s="171">
        <f>_xll.qlInterestRateIndexValueDate(IborIndex,Y404,Trigger)</f>
        <v>42692</v>
      </c>
      <c r="AA404" s="172">
        <v>-5.9404992471605153E-3</v>
      </c>
      <c r="AB404" s="169">
        <v>-6.2634905148462039E-3</v>
      </c>
    </row>
    <row r="405" spans="20:28" x14ac:dyDescent="0.2">
      <c r="T405" s="130"/>
      <c r="U405" s="151"/>
      <c r="X405" s="170" t="str">
        <f t="shared" ref="X405:X468" si="15">X404</f>
        <v>1D</v>
      </c>
      <c r="Y405" s="168">
        <f>_xll.qlCalendarAdvance(LiborCalendar,Y404,X405,"f",FALSE)</f>
        <v>42691</v>
      </c>
      <c r="Z405" s="171">
        <f>_xll.qlInterestRateIndexValueDate(IborIndex,Y405,Trigger)</f>
        <v>42695</v>
      </c>
      <c r="AA405" s="172">
        <v>-5.9262023262765173E-3</v>
      </c>
      <c r="AB405" s="169">
        <v>-6.2503387822232526E-3</v>
      </c>
    </row>
    <row r="406" spans="20:28" x14ac:dyDescent="0.2">
      <c r="T406" s="130"/>
      <c r="U406" s="151"/>
      <c r="X406" s="170" t="str">
        <f t="shared" si="15"/>
        <v>1D</v>
      </c>
      <c r="Y406" s="168">
        <f>_xll.qlCalendarAdvance(LiborCalendar,Y405,X406,"f",FALSE)</f>
        <v>42692</v>
      </c>
      <c r="Z406" s="171">
        <f>_xll.qlInterestRateIndexValueDate(IborIndex,Y406,Trigger)</f>
        <v>42696</v>
      </c>
      <c r="AA406" s="172">
        <v>-5.9187692994381366E-3</v>
      </c>
      <c r="AB406" s="169">
        <v>-6.2437033682449794E-3</v>
      </c>
    </row>
    <row r="407" spans="20:28" x14ac:dyDescent="0.2">
      <c r="T407" s="130"/>
      <c r="U407" s="151"/>
      <c r="X407" s="170" t="str">
        <f t="shared" si="15"/>
        <v>1D</v>
      </c>
      <c r="Y407" s="168">
        <f>_xll.qlCalendarAdvance(LiborCalendar,Y406,X407,"f",FALSE)</f>
        <v>42695</v>
      </c>
      <c r="Z407" s="171">
        <f>_xll.qlInterestRateIndexValueDate(IborIndex,Y407,Trigger)</f>
        <v>42697</v>
      </c>
      <c r="AA407" s="172">
        <v>-5.9113116278747997E-3</v>
      </c>
      <c r="AB407" s="169">
        <v>-6.2370649195742089E-3</v>
      </c>
    </row>
    <row r="408" spans="20:28" x14ac:dyDescent="0.2">
      <c r="T408" s="130"/>
      <c r="U408" s="151"/>
      <c r="X408" s="170" t="str">
        <f t="shared" si="15"/>
        <v>1D</v>
      </c>
      <c r="Y408" s="168">
        <f>_xll.qlCalendarAdvance(LiborCalendar,Y407,X408,"f",FALSE)</f>
        <v>42696</v>
      </c>
      <c r="Z408" s="171">
        <f>_xll.qlInterestRateIndexValueDate(IborIndex,Y408,Trigger)</f>
        <v>42698</v>
      </c>
      <c r="AA408" s="172">
        <v>-5.9038289685795792E-3</v>
      </c>
      <c r="AB408" s="169">
        <v>-6.230423435931165E-3</v>
      </c>
    </row>
    <row r="409" spans="20:28" x14ac:dyDescent="0.2">
      <c r="T409" s="130"/>
      <c r="U409" s="151"/>
      <c r="X409" s="170" t="str">
        <f t="shared" si="15"/>
        <v>1D</v>
      </c>
      <c r="Y409" s="168">
        <f>_xll.qlCalendarAdvance(LiborCalendar,Y408,X409,"f",FALSE)</f>
        <v>42697</v>
      </c>
      <c r="Z409" s="171">
        <f>_xll.qlInterestRateIndexValueDate(IborIndex,Y409,Trigger)</f>
        <v>42699</v>
      </c>
      <c r="AA409" s="172">
        <v>-5.88824517939158E-3</v>
      </c>
      <c r="AB409" s="169">
        <v>-6.2170229845559533E-3</v>
      </c>
    </row>
    <row r="410" spans="20:28" x14ac:dyDescent="0.2">
      <c r="T410" s="130"/>
      <c r="U410" s="151"/>
      <c r="X410" s="170" t="str">
        <f t="shared" si="15"/>
        <v>1D</v>
      </c>
      <c r="Y410" s="168">
        <f>_xll.qlCalendarAdvance(LiborCalendar,Y409,X410,"f",FALSE)</f>
        <v>42698</v>
      </c>
      <c r="Z410" s="171">
        <f>_xll.qlInterestRateIndexValueDate(IborIndex,Y410,Trigger)</f>
        <v>42702</v>
      </c>
      <c r="AA410" s="172">
        <v>-5.873641593878323E-3</v>
      </c>
      <c r="AB410" s="169">
        <v>-6.2038271529551992E-3</v>
      </c>
    </row>
    <row r="411" spans="20:28" x14ac:dyDescent="0.2">
      <c r="T411" s="130"/>
      <c r="U411" s="151"/>
      <c r="X411" s="170" t="str">
        <f t="shared" si="15"/>
        <v>1D</v>
      </c>
      <c r="Y411" s="168">
        <f>_xll.qlCalendarAdvance(LiborCalendar,Y410,X411,"f",FALSE)</f>
        <v>42699</v>
      </c>
      <c r="Z411" s="171">
        <f>_xll.qlInterestRateIndexValueDate(IborIndex,Y411,Trigger)</f>
        <v>42703</v>
      </c>
      <c r="AA411" s="172">
        <v>-5.8701143399601183E-3</v>
      </c>
      <c r="AB411" s="169">
        <v>-6.1971704951702122E-3</v>
      </c>
    </row>
    <row r="412" spans="20:28" x14ac:dyDescent="0.2">
      <c r="T412" s="130"/>
      <c r="U412" s="151"/>
      <c r="X412" s="170" t="str">
        <f t="shared" si="15"/>
        <v>1D</v>
      </c>
      <c r="Y412" s="168">
        <f>_xll.qlCalendarAdvance(LiborCalendar,Y411,X412,"f",FALSE)</f>
        <v>42702</v>
      </c>
      <c r="Z412" s="171">
        <f>_xll.qlInterestRateIndexValueDate(IborIndex,Y412,Trigger)</f>
        <v>42704</v>
      </c>
      <c r="AA412" s="172">
        <v>-5.8665813721381355E-3</v>
      </c>
      <c r="AB412" s="169">
        <v>-6.1905108024129518E-3</v>
      </c>
    </row>
    <row r="413" spans="20:28" x14ac:dyDescent="0.2">
      <c r="T413" s="130"/>
      <c r="U413" s="151"/>
      <c r="X413" s="170" t="str">
        <f t="shared" si="15"/>
        <v>1D</v>
      </c>
      <c r="Y413" s="168">
        <f>_xll.qlCalendarAdvance(LiborCalendar,Y412,X413,"f",FALSE)</f>
        <v>42703</v>
      </c>
      <c r="Z413" s="171">
        <f>_xll.qlInterestRateIndexValueDate(IborIndex,Y413,Trigger)</f>
        <v>42705</v>
      </c>
      <c r="AA413" s="172">
        <v>-5.8589469341363554E-3</v>
      </c>
      <c r="AB413" s="169">
        <v>-6.18384807484329E-3</v>
      </c>
    </row>
    <row r="414" spans="20:28" x14ac:dyDescent="0.2">
      <c r="T414" s="130"/>
      <c r="U414" s="151"/>
      <c r="X414" s="170" t="str">
        <f t="shared" si="15"/>
        <v>1D</v>
      </c>
      <c r="Y414" s="168">
        <f>_xll.qlCalendarAdvance(LiborCalendar,Y413,X414,"f",FALSE)</f>
        <v>42704</v>
      </c>
      <c r="Z414" s="171">
        <f>_xll.qlInterestRateIndexValueDate(IborIndex,Y414,Trigger)</f>
        <v>42706</v>
      </c>
      <c r="AA414" s="172">
        <v>-5.8512849162490888E-3</v>
      </c>
      <c r="AB414" s="169">
        <v>-6.1704067396783913E-3</v>
      </c>
    </row>
    <row r="415" spans="20:28" x14ac:dyDescent="0.2">
      <c r="T415" s="130"/>
      <c r="U415" s="151"/>
      <c r="X415" s="170" t="str">
        <f t="shared" si="15"/>
        <v>1D</v>
      </c>
      <c r="Y415" s="168">
        <f>_xll.qlCalendarAdvance(LiborCalendar,Y414,X415,"f",FALSE)</f>
        <v>42705</v>
      </c>
      <c r="Z415" s="171">
        <f>_xll.qlInterestRateIndexValueDate(IborIndex,Y415,Trigger)</f>
        <v>42709</v>
      </c>
      <c r="AA415" s="172">
        <v>-5.823956819011435E-3</v>
      </c>
      <c r="AB415" s="169">
        <v>-6.1571668160409487E-3</v>
      </c>
    </row>
    <row r="416" spans="20:28" x14ac:dyDescent="0.2">
      <c r="T416" s="130"/>
      <c r="U416" s="151"/>
      <c r="X416" s="170" t="str">
        <f t="shared" si="15"/>
        <v>1D</v>
      </c>
      <c r="Y416" s="168">
        <f>_xll.qlCalendarAdvance(LiborCalendar,Y415,X416,"f",FALSE)</f>
        <v>42706</v>
      </c>
      <c r="Z416" s="171">
        <f>_xll.qlInterestRateIndexValueDate(IborIndex,Y416,Trigger)</f>
        <v>42710</v>
      </c>
      <c r="AA416" s="172">
        <v>-5.8203540326293712E-3</v>
      </c>
      <c r="AB416" s="169">
        <v>-6.1504889142494079E-3</v>
      </c>
    </row>
    <row r="417" spans="20:28" x14ac:dyDescent="0.2">
      <c r="T417" s="130"/>
      <c r="U417" s="151"/>
      <c r="X417" s="170" t="str">
        <f t="shared" si="15"/>
        <v>1D</v>
      </c>
      <c r="Y417" s="168">
        <f>_xll.qlCalendarAdvance(LiborCalendar,Y416,X417,"f",FALSE)</f>
        <v>42709</v>
      </c>
      <c r="Z417" s="171">
        <f>_xll.qlInterestRateIndexValueDate(IborIndex,Y417,Trigger)</f>
        <v>42711</v>
      </c>
      <c r="AA417" s="172">
        <v>-5.8125488553724125E-3</v>
      </c>
      <c r="AB417" s="169">
        <v>-6.1438079775655297E-3</v>
      </c>
    </row>
    <row r="418" spans="20:28" x14ac:dyDescent="0.2">
      <c r="T418" s="130"/>
      <c r="U418" s="151"/>
      <c r="X418" s="170" t="str">
        <f t="shared" si="15"/>
        <v>1D</v>
      </c>
      <c r="Y418" s="168">
        <f>_xll.qlCalendarAdvance(LiborCalendar,Y417,X418,"f",FALSE)</f>
        <v>42710</v>
      </c>
      <c r="Z418" s="171">
        <f>_xll.qlInterestRateIndexValueDate(IborIndex,Y418,Trigger)</f>
        <v>42712</v>
      </c>
      <c r="AA418" s="172">
        <v>-5.8047139942294379E-3</v>
      </c>
      <c r="AB418" s="169">
        <v>-6.13712400606925E-3</v>
      </c>
    </row>
    <row r="419" spans="20:28" x14ac:dyDescent="0.2">
      <c r="T419" s="130"/>
      <c r="U419" s="151"/>
      <c r="X419" s="170" t="str">
        <f t="shared" si="15"/>
        <v>1D</v>
      </c>
      <c r="Y419" s="168">
        <f>_xll.qlCalendarAdvance(LiborCalendar,Y418,X419,"f",FALSE)</f>
        <v>42711</v>
      </c>
      <c r="Z419" s="171">
        <f>_xll.qlInterestRateIndexValueDate(IborIndex,Y419,Trigger)</f>
        <v>42713</v>
      </c>
      <c r="AA419" s="172">
        <v>-5.7968490985205179E-3</v>
      </c>
      <c r="AB419" s="169">
        <v>-6.1236417800270004E-3</v>
      </c>
    </row>
    <row r="420" spans="20:28" x14ac:dyDescent="0.2">
      <c r="T420" s="130"/>
      <c r="U420" s="151"/>
      <c r="X420" s="170" t="str">
        <f t="shared" si="15"/>
        <v>1D</v>
      </c>
      <c r="Y420" s="168">
        <f>_xll.qlCalendarAdvance(LiborCalendar,Y419,X420,"f",FALSE)</f>
        <v>42712</v>
      </c>
      <c r="Z420" s="171">
        <f>_xll.qlInterestRateIndexValueDate(IborIndex,Y420,Trigger)</f>
        <v>42716</v>
      </c>
      <c r="AA420" s="172">
        <v>-5.7687796171801298E-3</v>
      </c>
      <c r="AB420" s="169">
        <v>-6.1103577714805013E-3</v>
      </c>
    </row>
    <row r="421" spans="20:28" x14ac:dyDescent="0.2">
      <c r="T421" s="130"/>
      <c r="U421" s="151"/>
      <c r="X421" s="170" t="str">
        <f t="shared" si="15"/>
        <v>1D</v>
      </c>
      <c r="Y421" s="168">
        <f>_xll.qlCalendarAdvance(LiborCalendar,Y420,X421,"f",FALSE)</f>
        <v>42713</v>
      </c>
      <c r="Z421" s="171">
        <f>_xll.qlInterestRateIndexValueDate(IborIndex,Y421,Trigger)</f>
        <v>42717</v>
      </c>
      <c r="AA421" s="172">
        <v>-5.7650821563397514E-3</v>
      </c>
      <c r="AB421" s="169">
        <v>-6.1036586256024705E-3</v>
      </c>
    </row>
    <row r="422" spans="20:28" x14ac:dyDescent="0.2">
      <c r="T422" s="130"/>
      <c r="U422" s="151"/>
      <c r="X422" s="170" t="str">
        <f t="shared" si="15"/>
        <v>1D</v>
      </c>
      <c r="Y422" s="168">
        <f>_xll.qlCalendarAdvance(LiborCalendar,Y421,X422,"f",FALSE)</f>
        <v>42716</v>
      </c>
      <c r="Z422" s="171">
        <f>_xll.qlInterestRateIndexValueDate(IborIndex,Y422,Trigger)</f>
        <v>42718</v>
      </c>
      <c r="AA422" s="172">
        <v>-5.7570618275040175E-3</v>
      </c>
      <c r="AB422" s="169">
        <v>-6.0969564449120384E-3</v>
      </c>
    </row>
    <row r="423" spans="20:28" x14ac:dyDescent="0.2">
      <c r="T423" s="130"/>
      <c r="U423" s="151"/>
      <c r="X423" s="170" t="str">
        <f t="shared" si="15"/>
        <v>1D</v>
      </c>
      <c r="Y423" s="168">
        <f>_xll.qlCalendarAdvance(LiborCalendar,Y422,X423,"f",FALSE)</f>
        <v>42717</v>
      </c>
      <c r="Z423" s="171">
        <f>_xll.qlInterestRateIndexValueDate(IborIndex,Y423,Trigger)</f>
        <v>42719</v>
      </c>
      <c r="AA423" s="172">
        <v>-5.749009359958368E-3</v>
      </c>
      <c r="AB423" s="169">
        <v>-6.0902512294491729E-3</v>
      </c>
    </row>
    <row r="424" spans="20:28" x14ac:dyDescent="0.2">
      <c r="T424" s="130"/>
      <c r="U424" s="151"/>
      <c r="X424" s="170" t="str">
        <f t="shared" si="15"/>
        <v>1D</v>
      </c>
      <c r="Y424" s="168">
        <f>_xll.qlCalendarAdvance(LiborCalendar,Y423,X424,"f",FALSE)</f>
        <v>42718</v>
      </c>
      <c r="Z424" s="171">
        <f>_xll.qlInterestRateIndexValueDate(IborIndex,Y424,Trigger)</f>
        <v>42720</v>
      </c>
      <c r="AA424" s="172">
        <v>-5.7409244029988926E-3</v>
      </c>
      <c r="AB424" s="169">
        <v>-6.0767281054818767E-3</v>
      </c>
    </row>
    <row r="425" spans="20:28" x14ac:dyDescent="0.2">
      <c r="T425" s="130"/>
      <c r="U425" s="151"/>
      <c r="X425" s="170" t="str">
        <f t="shared" si="15"/>
        <v>1D</v>
      </c>
      <c r="Y425" s="168">
        <f>_xll.qlCalendarAdvance(LiborCalendar,Y424,X425,"f",FALSE)</f>
        <v>42719</v>
      </c>
      <c r="Z425" s="171">
        <f>_xll.qlInterestRateIndexValueDate(IborIndex,Y425,Trigger)</f>
        <v>42723</v>
      </c>
      <c r="AA425" s="172">
        <v>-5.7120602986670006E-3</v>
      </c>
      <c r="AB425" s="169">
        <v>-6.0634000188741766E-3</v>
      </c>
    </row>
    <row r="426" spans="20:28" x14ac:dyDescent="0.2">
      <c r="T426" s="130"/>
      <c r="U426" s="151"/>
      <c r="X426" s="170" t="str">
        <f t="shared" si="15"/>
        <v>1D</v>
      </c>
      <c r="Y426" s="168">
        <f>_xll.qlCalendarAdvance(LiborCalendar,Y425,X426,"f",FALSE)</f>
        <v>42720</v>
      </c>
      <c r="Z426" s="171">
        <f>_xll.qlInterestRateIndexValueDate(IborIndex,Y426,Trigger)</f>
        <v>42724</v>
      </c>
      <c r="AA426" s="172">
        <v>-5.7082526668290612E-3</v>
      </c>
      <c r="AB426" s="169">
        <v>-6.056679629109496E-3</v>
      </c>
    </row>
    <row r="427" spans="20:28" x14ac:dyDescent="0.2">
      <c r="T427" s="130"/>
      <c r="U427" s="151"/>
      <c r="X427" s="170" t="str">
        <f t="shared" si="15"/>
        <v>1D</v>
      </c>
      <c r="Y427" s="168">
        <f>_xll.qlCalendarAdvance(LiborCalendar,Y426,X427,"f",FALSE)</f>
        <v>42723</v>
      </c>
      <c r="Z427" s="171">
        <f>_xll.qlInterestRateIndexValueDate(IborIndex,Y427,Trigger)</f>
        <v>42725</v>
      </c>
      <c r="AA427" s="172">
        <v>-5.700000002123673E-3</v>
      </c>
      <c r="AB427" s="169">
        <v>-6.0499509393441286E-3</v>
      </c>
    </row>
    <row r="428" spans="20:28" x14ac:dyDescent="0.2">
      <c r="T428" s="130"/>
      <c r="U428" s="151"/>
      <c r="X428" s="170" t="str">
        <f t="shared" si="15"/>
        <v>1D</v>
      </c>
      <c r="Y428" s="168">
        <f>_xll.qlCalendarAdvance(LiborCalendar,Y427,X428,"f",FALSE)</f>
        <v>42724</v>
      </c>
      <c r="Z428" s="171">
        <f>_xll.qlInterestRateIndexValueDate(IborIndex,Y428,Trigger)</f>
        <v>42726</v>
      </c>
      <c r="AA428" s="172">
        <v>-5.6917130086504564E-3</v>
      </c>
      <c r="AB428" s="169">
        <v>-6.0431928893045495E-3</v>
      </c>
    </row>
    <row r="429" spans="20:28" x14ac:dyDescent="0.2">
      <c r="T429" s="130"/>
      <c r="U429" s="151"/>
      <c r="X429" s="170" t="str">
        <f t="shared" si="15"/>
        <v>1D</v>
      </c>
      <c r="Y429" s="168">
        <f>_xll.qlCalendarAdvance(LiborCalendar,Y428,X429,"f",FALSE)</f>
        <v>42725</v>
      </c>
      <c r="Z429" s="171">
        <f>_xll.qlInterestRateIndexValueDate(IborIndex,Y429,Trigger)</f>
        <v>42727</v>
      </c>
      <c r="AA429" s="172">
        <v>-5.6833926603991891E-3</v>
      </c>
      <c r="AB429" s="169">
        <v>-6.0224748495087965E-3</v>
      </c>
    </row>
    <row r="430" spans="20:28" x14ac:dyDescent="0.2">
      <c r="T430" s="130"/>
      <c r="U430" s="151"/>
      <c r="X430" s="170" t="str">
        <f t="shared" si="15"/>
        <v>1D</v>
      </c>
      <c r="Y430" s="168">
        <f>_xll.qlCalendarAdvance(LiborCalendar,Y429,X430,"f",FALSE)</f>
        <v>42726</v>
      </c>
      <c r="Z430" s="171">
        <f>_xll.qlInterestRateIndexValueDate(IborIndex,Y430,Trigger)</f>
        <v>42732</v>
      </c>
      <c r="AA430" s="172">
        <v>-5.6413339607361834E-3</v>
      </c>
      <c r="AB430" s="169">
        <v>-6.0019174535952402E-3</v>
      </c>
    </row>
    <row r="431" spans="20:28" x14ac:dyDescent="0.2">
      <c r="T431" s="130"/>
      <c r="U431" s="151"/>
      <c r="X431" s="170" t="str">
        <f t="shared" si="15"/>
        <v>1D</v>
      </c>
      <c r="Y431" s="168">
        <f>_xll.qlCalendarAdvance(LiborCalendar,Y430,X431,"f",FALSE)</f>
        <v>42727</v>
      </c>
      <c r="Z431" s="171">
        <f>_xll.qlInterestRateIndexValueDate(IborIndex,Y431,Trigger)</f>
        <v>42733</v>
      </c>
      <c r="AA431" s="172">
        <v>-5.6328395019105137E-3</v>
      </c>
      <c r="AB431" s="169">
        <v>-5.9949170251183403E-3</v>
      </c>
    </row>
    <row r="432" spans="20:28" x14ac:dyDescent="0.2">
      <c r="T432" s="130"/>
      <c r="U432" s="151"/>
      <c r="X432" s="170" t="str">
        <f t="shared" si="15"/>
        <v>1D</v>
      </c>
      <c r="Y432" s="168">
        <f>_xll.qlCalendarAdvance(LiborCalendar,Y431,X432,"f",FALSE)</f>
        <v>42732</v>
      </c>
      <c r="Z432" s="171">
        <f>_xll.qlInterestRateIndexValueDate(IborIndex,Y432,Trigger)</f>
        <v>42734</v>
      </c>
      <c r="AA432" s="172">
        <v>-5.6197744535719726E-3</v>
      </c>
      <c r="AB432" s="169">
        <v>-5.9770939638914555E-3</v>
      </c>
    </row>
    <row r="433" spans="20:28" x14ac:dyDescent="0.2">
      <c r="T433" s="130"/>
      <c r="U433" s="151"/>
      <c r="X433" s="170" t="str">
        <f t="shared" si="15"/>
        <v>1D</v>
      </c>
      <c r="Y433" s="168">
        <f>_xll.qlCalendarAdvance(LiborCalendar,Y432,X433,"f",FALSE)</f>
        <v>42733</v>
      </c>
      <c r="Z433" s="171">
        <f>_xll.qlInterestRateIndexValueDate(IborIndex,Y433,Trigger)</f>
        <v>42738</v>
      </c>
      <c r="AA433" s="172">
        <v>-5.5900217583104705E-3</v>
      </c>
      <c r="AB433" s="169">
        <v>-5.9593955003167665E-3</v>
      </c>
    </row>
    <row r="434" spans="20:28" x14ac:dyDescent="0.2">
      <c r="T434" s="130"/>
      <c r="U434" s="151"/>
      <c r="X434" s="170" t="str">
        <f t="shared" si="15"/>
        <v>1D</v>
      </c>
      <c r="Y434" s="168">
        <f>_xll.qlCalendarAdvance(LiborCalendar,Y433,X434,"f",FALSE)</f>
        <v>42734</v>
      </c>
      <c r="Z434" s="171">
        <f>_xll.qlInterestRateIndexValueDate(IborIndex,Y434,Trigger)</f>
        <v>42739</v>
      </c>
      <c r="AA434" s="172">
        <v>-5.5813977929068948E-3</v>
      </c>
      <c r="AB434" s="169">
        <v>-5.9521873188650432E-3</v>
      </c>
    </row>
    <row r="435" spans="20:28" x14ac:dyDescent="0.2">
      <c r="T435" s="130"/>
      <c r="U435" s="151"/>
      <c r="X435" s="170" t="str">
        <f t="shared" si="15"/>
        <v>1D</v>
      </c>
      <c r="Y435" s="168">
        <f>_xll.qlCalendarAdvance(LiborCalendar,Y434,X435,"f",FALSE)</f>
        <v>42738</v>
      </c>
      <c r="Z435" s="171">
        <f>_xll.qlInterestRateIndexValueDate(IborIndex,Y435,Trigger)</f>
        <v>42740</v>
      </c>
      <c r="AA435" s="172">
        <v>-5.5727565797267786E-3</v>
      </c>
      <c r="AB435" s="169">
        <v>-5.9449445118708866E-3</v>
      </c>
    </row>
    <row r="436" spans="20:28" x14ac:dyDescent="0.2">
      <c r="T436" s="130"/>
      <c r="U436" s="151"/>
      <c r="X436" s="170" t="str">
        <f t="shared" si="15"/>
        <v>1D</v>
      </c>
      <c r="Y436" s="168">
        <f>_xll.qlCalendarAdvance(LiborCalendar,Y435,X436,"f",FALSE)</f>
        <v>42739</v>
      </c>
      <c r="Z436" s="171">
        <f>_xll.qlInterestRateIndexValueDate(IborIndex,Y436,Trigger)</f>
        <v>42741</v>
      </c>
      <c r="AA436" s="172">
        <v>-5.5640993578438547E-3</v>
      </c>
      <c r="AB436" s="169">
        <v>-5.9302457886323268E-3</v>
      </c>
    </row>
    <row r="437" spans="20:28" x14ac:dyDescent="0.2">
      <c r="T437" s="130"/>
      <c r="U437" s="151"/>
      <c r="X437" s="170" t="str">
        <f t="shared" si="15"/>
        <v>1D</v>
      </c>
      <c r="Y437" s="168">
        <f>_xll.qlCalendarAdvance(LiborCalendar,Y436,X437,"f",FALSE)</f>
        <v>42740</v>
      </c>
      <c r="Z437" s="171">
        <f>_xll.qlInterestRateIndexValueDate(IborIndex,Y437,Trigger)</f>
        <v>42744</v>
      </c>
      <c r="AA437" s="172">
        <v>-5.5334902693884892E-3</v>
      </c>
      <c r="AB437" s="169">
        <v>-5.9156270290694479E-3</v>
      </c>
    </row>
    <row r="438" spans="20:28" x14ac:dyDescent="0.2">
      <c r="T438" s="130"/>
      <c r="U438" s="151"/>
      <c r="X438" s="170" t="str">
        <f t="shared" si="15"/>
        <v>1D</v>
      </c>
      <c r="Y438" s="168">
        <f>_xll.qlCalendarAdvance(LiborCalendar,Y437,X438,"f",FALSE)</f>
        <v>42741</v>
      </c>
      <c r="Z438" s="171">
        <f>_xll.qlInterestRateIndexValueDate(IborIndex,Y438,Trigger)</f>
        <v>42745</v>
      </c>
      <c r="AA438" s="172">
        <v>-5.5293351650713696E-3</v>
      </c>
      <c r="AB438" s="169">
        <v>-5.9082110944830291E-3</v>
      </c>
    </row>
    <row r="439" spans="20:28" x14ac:dyDescent="0.2">
      <c r="T439" s="130"/>
      <c r="U439" s="151"/>
      <c r="X439" s="170" t="str">
        <f t="shared" si="15"/>
        <v>1D</v>
      </c>
      <c r="Y439" s="168">
        <f>_xll.qlCalendarAdvance(LiborCalendar,Y438,X439,"f",FALSE)</f>
        <v>42744</v>
      </c>
      <c r="Z439" s="171">
        <f>_xll.qlInterestRateIndexValueDate(IborIndex,Y439,Trigger)</f>
        <v>42746</v>
      </c>
      <c r="AA439" s="172">
        <v>-5.5206164861139051E-3</v>
      </c>
      <c r="AB439" s="169">
        <v>-5.900760534514049E-3</v>
      </c>
    </row>
    <row r="440" spans="20:28" x14ac:dyDescent="0.2">
      <c r="T440" s="130"/>
      <c r="U440" s="151"/>
      <c r="X440" s="170" t="str">
        <f t="shared" si="15"/>
        <v>1D</v>
      </c>
      <c r="Y440" s="168">
        <f>_xll.qlCalendarAdvance(LiborCalendar,Y439,X440,"f",FALSE)</f>
        <v>42745</v>
      </c>
      <c r="Z440" s="171">
        <f>_xll.qlInterestRateIndexValueDate(IborIndex,Y440,Trigger)</f>
        <v>42747</v>
      </c>
      <c r="AA440" s="172">
        <v>-5.5118892331043057E-3</v>
      </c>
      <c r="AB440" s="169">
        <v>-5.8932753489626677E-3</v>
      </c>
    </row>
    <row r="441" spans="20:28" x14ac:dyDescent="0.2">
      <c r="T441" s="130"/>
      <c r="U441" s="151"/>
      <c r="X441" s="170" t="str">
        <f t="shared" si="15"/>
        <v>1D</v>
      </c>
      <c r="Y441" s="168">
        <f>_xll.qlCalendarAdvance(LiborCalendar,Y440,X441,"f",FALSE)</f>
        <v>42746</v>
      </c>
      <c r="Z441" s="171">
        <f>_xll.qlInterestRateIndexValueDate(IborIndex,Y441,Trigger)</f>
        <v>42748</v>
      </c>
      <c r="AA441" s="172">
        <v>-5.5031546451904667E-3</v>
      </c>
      <c r="AB441" s="169">
        <v>-5.8780935792146494E-3</v>
      </c>
    </row>
    <row r="442" spans="20:28" x14ac:dyDescent="0.2">
      <c r="T442" s="130"/>
      <c r="U442" s="151"/>
      <c r="X442" s="170" t="str">
        <f t="shared" si="15"/>
        <v>1D</v>
      </c>
      <c r="Y442" s="168">
        <f>_xll.qlCalendarAdvance(LiborCalendar,Y441,X442,"f",FALSE)</f>
        <v>42747</v>
      </c>
      <c r="Z442" s="171">
        <f>_xll.qlInterestRateIndexValueDate(IborIndex,Y442,Trigger)</f>
        <v>42751</v>
      </c>
      <c r="AA442" s="172">
        <v>-5.4679302623193166E-3</v>
      </c>
      <c r="AB442" s="169">
        <v>-5.8629883516925219E-3</v>
      </c>
    </row>
    <row r="443" spans="20:28" x14ac:dyDescent="0.2">
      <c r="T443" s="130"/>
      <c r="U443" s="151"/>
      <c r="X443" s="170" t="str">
        <f t="shared" si="15"/>
        <v>1D</v>
      </c>
      <c r="Y443" s="168">
        <f>_xll.qlCalendarAdvance(LiborCalendar,Y442,X443,"f",FALSE)</f>
        <v>42748</v>
      </c>
      <c r="Z443" s="171">
        <f>_xll.qlInterestRateIndexValueDate(IborIndex,Y443,Trigger)</f>
        <v>42752</v>
      </c>
      <c r="AA443" s="172">
        <v>-5.4636779465230059E-3</v>
      </c>
      <c r="AB443" s="169">
        <v>-5.8553300384689422E-3</v>
      </c>
    </row>
    <row r="444" spans="20:28" x14ac:dyDescent="0.2">
      <c r="T444" s="130"/>
      <c r="U444" s="151"/>
      <c r="X444" s="170" t="str">
        <f t="shared" si="15"/>
        <v>1D</v>
      </c>
      <c r="Y444" s="168">
        <f>_xll.qlCalendarAdvance(LiborCalendar,Y443,X444,"f",FALSE)</f>
        <v>42751</v>
      </c>
      <c r="Z444" s="171">
        <f>_xll.qlInterestRateIndexValueDate(IborIndex,Y444,Trigger)</f>
        <v>42753</v>
      </c>
      <c r="AA444" s="172">
        <v>-5.4594150529378993E-3</v>
      </c>
      <c r="AB444" s="169">
        <v>-5.8476370997828653E-3</v>
      </c>
    </row>
    <row r="445" spans="20:28" x14ac:dyDescent="0.2">
      <c r="T445" s="130"/>
      <c r="U445" s="151"/>
      <c r="X445" s="170" t="str">
        <f t="shared" si="15"/>
        <v>1D</v>
      </c>
      <c r="Y445" s="168">
        <f>_xll.qlCalendarAdvance(LiborCalendar,Y444,X445,"f",FALSE)</f>
        <v>42752</v>
      </c>
      <c r="Z445" s="171">
        <f>_xll.qlInterestRateIndexValueDate(IborIndex,Y445,Trigger)</f>
        <v>42754</v>
      </c>
      <c r="AA445" s="172">
        <v>-5.4506624782781898E-3</v>
      </c>
      <c r="AB445" s="169">
        <v>-5.8399095356342912E-3</v>
      </c>
    </row>
    <row r="446" spans="20:28" x14ac:dyDescent="0.2">
      <c r="T446" s="130"/>
      <c r="U446" s="151"/>
      <c r="X446" s="170" t="str">
        <f t="shared" si="15"/>
        <v>1D</v>
      </c>
      <c r="Y446" s="168">
        <f>_xll.qlCalendarAdvance(LiborCalendar,Y445,X446,"f",FALSE)</f>
        <v>42753</v>
      </c>
      <c r="Z446" s="171">
        <f>_xll.qlInterestRateIndexValueDate(IborIndex,Y446,Trigger)</f>
        <v>42755</v>
      </c>
      <c r="AA446" s="172">
        <v>-5.4419112430408312E-3</v>
      </c>
      <c r="AB446" s="169">
        <v>-5.8242447589318402E-3</v>
      </c>
    </row>
    <row r="447" spans="20:28" x14ac:dyDescent="0.2">
      <c r="T447" s="130"/>
      <c r="U447" s="151"/>
      <c r="X447" s="170" t="str">
        <f t="shared" si="15"/>
        <v>1D</v>
      </c>
      <c r="Y447" s="168">
        <f>_xll.qlCalendarAdvance(LiborCalendar,Y446,X447,"f",FALSE)</f>
        <v>42754</v>
      </c>
      <c r="Z447" s="171">
        <f>_xll.qlInterestRateIndexValueDate(IborIndex,Y447,Trigger)</f>
        <v>42758</v>
      </c>
      <c r="AA447" s="172">
        <v>-5.4112725775933672E-3</v>
      </c>
      <c r="AB447" s="169">
        <v>-5.8086530233758538E-3</v>
      </c>
    </row>
    <row r="448" spans="20:28" x14ac:dyDescent="0.2">
      <c r="T448" s="130"/>
      <c r="U448" s="151"/>
      <c r="X448" s="170" t="str">
        <f t="shared" si="15"/>
        <v>1D</v>
      </c>
      <c r="Y448" s="168">
        <f>_xll.qlCalendarAdvance(LiborCalendar,Y447,X448,"f",FALSE)</f>
        <v>42755</v>
      </c>
      <c r="Z448" s="171">
        <f>_xll.qlInterestRateIndexValueDate(IborIndex,Y448,Trigger)</f>
        <v>42759</v>
      </c>
      <c r="AA448" s="172">
        <v>-5.4069444811526424E-3</v>
      </c>
      <c r="AB448" s="169">
        <v>-5.8007523313952092E-3</v>
      </c>
    </row>
    <row r="449" spans="20:28" x14ac:dyDescent="0.2">
      <c r="T449" s="130"/>
      <c r="U449" s="151"/>
      <c r="X449" s="170" t="str">
        <f t="shared" si="15"/>
        <v>1D</v>
      </c>
      <c r="Y449" s="168">
        <f>_xll.qlCalendarAdvance(LiborCalendar,Y448,X449,"f",FALSE)</f>
        <v>42758</v>
      </c>
      <c r="Z449" s="171">
        <f>_xll.qlInterestRateIndexValueDate(IborIndex,Y449,Trigger)</f>
        <v>42760</v>
      </c>
      <c r="AA449" s="172">
        <v>-5.3982185317469344E-3</v>
      </c>
      <c r="AB449" s="169">
        <v>-5.7928170140320034E-3</v>
      </c>
    </row>
    <row r="450" spans="20:28" x14ac:dyDescent="0.2">
      <c r="T450" s="130"/>
      <c r="U450" s="151"/>
      <c r="X450" s="170" t="str">
        <f t="shared" si="15"/>
        <v>1D</v>
      </c>
      <c r="Y450" s="168">
        <f>_xll.qlCalendarAdvance(LiborCalendar,Y449,X450,"f",FALSE)</f>
        <v>42759</v>
      </c>
      <c r="Z450" s="171">
        <f>_xll.qlInterestRateIndexValueDate(IborIndex,Y450,Trigger)</f>
        <v>42761</v>
      </c>
      <c r="AA450" s="172">
        <v>-5.3895013573250772E-3</v>
      </c>
      <c r="AB450" s="169">
        <v>-5.7848470710064603E-3</v>
      </c>
    </row>
    <row r="451" spans="20:28" x14ac:dyDescent="0.2">
      <c r="T451" s="130"/>
      <c r="U451" s="151"/>
      <c r="X451" s="170" t="str">
        <f t="shared" si="15"/>
        <v>1D</v>
      </c>
      <c r="Y451" s="168">
        <f>_xll.qlCalendarAdvance(LiborCalendar,Y450,X451,"f",FALSE)</f>
        <v>42760</v>
      </c>
      <c r="Z451" s="171">
        <f>_xll.qlInterestRateIndexValueDate(IborIndex,Y451,Trigger)</f>
        <v>42762</v>
      </c>
      <c r="AA451" s="172">
        <v>-5.3807941971859563E-3</v>
      </c>
      <c r="AB451" s="169">
        <v>-5.7686993254790764E-3</v>
      </c>
    </row>
    <row r="452" spans="20:28" x14ac:dyDescent="0.2">
      <c r="T452" s="130"/>
      <c r="U452" s="151"/>
      <c r="X452" s="170" t="str">
        <f t="shared" si="15"/>
        <v>1D</v>
      </c>
      <c r="Y452" s="168">
        <f>_xll.qlCalendarAdvance(LiborCalendar,Y451,X452,"f",FALSE)</f>
        <v>42761</v>
      </c>
      <c r="Z452" s="171">
        <f>_xll.qlInterestRateIndexValueDate(IborIndex,Y452,Trigger)</f>
        <v>42765</v>
      </c>
      <c r="AA452" s="172">
        <v>-5.3633468322104227E-3</v>
      </c>
      <c r="AB452" s="169">
        <v>-5.7526210434000191E-3</v>
      </c>
    </row>
    <row r="453" spans="20:28" x14ac:dyDescent="0.2">
      <c r="T453" s="130"/>
      <c r="U453" s="151"/>
      <c r="X453" s="170" t="str">
        <f t="shared" si="15"/>
        <v>1D</v>
      </c>
      <c r="Y453" s="168">
        <f>_xll.qlCalendarAdvance(LiborCalendar,Y452,X453,"f",FALSE)</f>
        <v>42762</v>
      </c>
      <c r="Z453" s="171">
        <f>_xll.qlInterestRateIndexValueDate(IborIndex,Y453,Trigger)</f>
        <v>42766</v>
      </c>
      <c r="AA453" s="172">
        <v>-5.3589580494759021E-3</v>
      </c>
      <c r="AB453" s="169">
        <v>-5.7444779726623096E-3</v>
      </c>
    </row>
    <row r="454" spans="20:28" x14ac:dyDescent="0.2">
      <c r="T454" s="130"/>
      <c r="U454" s="151"/>
      <c r="X454" s="170" t="str">
        <f t="shared" si="15"/>
        <v>1D</v>
      </c>
      <c r="Y454" s="168">
        <f>_xll.qlCalendarAdvance(LiborCalendar,Y453,X454,"f",FALSE)</f>
        <v>42765</v>
      </c>
      <c r="Z454" s="171">
        <f>_xll.qlInterestRateIndexValueDate(IborIndex,Y454,Trigger)</f>
        <v>42767</v>
      </c>
      <c r="AA454" s="172">
        <v>-5.3374519869100467E-3</v>
      </c>
      <c r="AB454" s="169">
        <v>-5.7363002763421989E-3</v>
      </c>
    </row>
    <row r="455" spans="20:28" x14ac:dyDescent="0.2">
      <c r="T455" s="130"/>
      <c r="U455" s="151"/>
      <c r="X455" s="170" t="str">
        <f t="shared" si="15"/>
        <v>1D</v>
      </c>
      <c r="Y455" s="168">
        <f>_xll.qlCalendarAdvance(LiborCalendar,Y454,X455,"f",FALSE)</f>
        <v>42766</v>
      </c>
      <c r="Z455" s="171">
        <f>_xll.qlInterestRateIndexValueDate(IborIndex,Y455,Trigger)</f>
        <v>42768</v>
      </c>
      <c r="AA455" s="172">
        <v>-5.3330555232553815E-3</v>
      </c>
      <c r="AB455" s="169">
        <v>-5.7280879543597507E-3</v>
      </c>
    </row>
    <row r="456" spans="20:28" x14ac:dyDescent="0.2">
      <c r="T456" s="130"/>
      <c r="U456" s="151"/>
      <c r="X456" s="170" t="str">
        <f t="shared" si="15"/>
        <v>1D</v>
      </c>
      <c r="Y456" s="168">
        <f>_xll.qlCalendarAdvance(LiborCalendar,Y455,X456,"f",FALSE)</f>
        <v>42767</v>
      </c>
      <c r="Z456" s="171">
        <f>_xll.qlInterestRateIndexValueDate(IborIndex,Y456,Trigger)</f>
        <v>42769</v>
      </c>
      <c r="AA456" s="172">
        <v>-5.3244296233262121E-3</v>
      </c>
      <c r="AB456" s="169">
        <v>-5.7114572765248894E-3</v>
      </c>
    </row>
    <row r="457" spans="20:28" x14ac:dyDescent="0.2">
      <c r="T457" s="130"/>
      <c r="U457" s="151"/>
      <c r="X457" s="170" t="str">
        <f t="shared" si="15"/>
        <v>1D</v>
      </c>
      <c r="Y457" s="168">
        <f>_xll.qlCalendarAdvance(LiborCalendar,Y456,X457,"f",FALSE)</f>
        <v>42768</v>
      </c>
      <c r="Z457" s="171">
        <f>_xll.qlInterestRateIndexValueDate(IborIndex,Y457,Trigger)</f>
        <v>42772</v>
      </c>
      <c r="AA457" s="172">
        <v>-5.2904411110453638E-3</v>
      </c>
      <c r="AB457" s="169">
        <v>-5.6948924110056254E-3</v>
      </c>
    </row>
    <row r="458" spans="20:28" x14ac:dyDescent="0.2">
      <c r="T458" s="130"/>
      <c r="U458" s="151"/>
      <c r="X458" s="170" t="str">
        <f t="shared" si="15"/>
        <v>1D</v>
      </c>
      <c r="Y458" s="168">
        <f>_xll.qlCalendarAdvance(LiborCalendar,Y457,X458,"f",FALSE)</f>
        <v>42769</v>
      </c>
      <c r="Z458" s="171">
        <f>_xll.qlInterestRateIndexValueDate(IborIndex,Y458,Trigger)</f>
        <v>42773</v>
      </c>
      <c r="AA458" s="172">
        <v>-5.2860308282038915E-3</v>
      </c>
      <c r="AB458" s="169">
        <v>-5.6865069613509789E-3</v>
      </c>
    </row>
    <row r="459" spans="20:28" x14ac:dyDescent="0.2">
      <c r="T459" s="130"/>
      <c r="U459" s="151"/>
      <c r="X459" s="170" t="str">
        <f t="shared" si="15"/>
        <v>1D</v>
      </c>
      <c r="Y459" s="168">
        <f>_xll.qlCalendarAdvance(LiborCalendar,Y458,X459,"f",FALSE)</f>
        <v>42772</v>
      </c>
      <c r="Z459" s="171">
        <f>_xll.qlInterestRateIndexValueDate(IborIndex,Y459,Trigger)</f>
        <v>42774</v>
      </c>
      <c r="AA459" s="172">
        <v>-5.2816145239758267E-3</v>
      </c>
      <c r="AB459" s="169">
        <v>-5.678086885954059E-3</v>
      </c>
    </row>
    <row r="460" spans="20:28" x14ac:dyDescent="0.2">
      <c r="T460" s="130"/>
      <c r="U460" s="151"/>
      <c r="X460" s="170" t="str">
        <f t="shared" si="15"/>
        <v>1D</v>
      </c>
      <c r="Y460" s="168">
        <f>_xll.qlCalendarAdvance(LiborCalendar,Y459,X460,"f",FALSE)</f>
        <v>42773</v>
      </c>
      <c r="Z460" s="171">
        <f>_xll.qlInterestRateIndexValueDate(IborIndex,Y460,Trigger)</f>
        <v>42775</v>
      </c>
      <c r="AA460" s="172">
        <v>-5.2731231576147635E-3</v>
      </c>
      <c r="AB460" s="169">
        <v>-5.6696321849747378E-3</v>
      </c>
    </row>
    <row r="461" spans="20:28" x14ac:dyDescent="0.2">
      <c r="T461" s="130"/>
      <c r="U461" s="151"/>
      <c r="X461" s="170" t="str">
        <f t="shared" si="15"/>
        <v>1D</v>
      </c>
      <c r="Y461" s="168">
        <f>_xll.qlCalendarAdvance(LiborCalendar,Y460,X461,"f",FALSE)</f>
        <v>42774</v>
      </c>
      <c r="Z461" s="171">
        <f>_xll.qlInterestRateIndexValueDate(IborIndex,Y461,Trigger)</f>
        <v>42776</v>
      </c>
      <c r="AA461" s="172">
        <v>-5.2646586002882438E-3</v>
      </c>
      <c r="AB461" s="169">
        <v>-5.6525186095912616E-3</v>
      </c>
    </row>
    <row r="462" spans="20:28" x14ac:dyDescent="0.2">
      <c r="T462" s="130"/>
      <c r="U462" s="151"/>
      <c r="X462" s="170" t="str">
        <f t="shared" si="15"/>
        <v>1D</v>
      </c>
      <c r="Y462" s="168">
        <f>_xll.qlCalendarAdvance(LiborCalendar,Y461,X462,"f",FALSE)</f>
        <v>42775</v>
      </c>
      <c r="Z462" s="171">
        <f>_xll.qlInterestRateIndexValueDate(IborIndex,Y462,Trigger)</f>
        <v>42779</v>
      </c>
      <c r="AA462" s="172">
        <v>-5.2315962474577789E-3</v>
      </c>
      <c r="AB462" s="169">
        <v>-5.635467125473248E-3</v>
      </c>
    </row>
    <row r="463" spans="20:28" x14ac:dyDescent="0.2">
      <c r="T463" s="130"/>
      <c r="U463" s="151"/>
      <c r="X463" s="170" t="str">
        <f t="shared" si="15"/>
        <v>1D</v>
      </c>
      <c r="Y463" s="168">
        <f>_xll.qlCalendarAdvance(LiborCalendar,Y462,X463,"f",FALSE)</f>
        <v>42776</v>
      </c>
      <c r="Z463" s="171">
        <f>_xll.qlInterestRateIndexValueDate(IborIndex,Y463,Trigger)</f>
        <v>42780</v>
      </c>
      <c r="AA463" s="172">
        <v>-5.2271906200935803E-3</v>
      </c>
      <c r="AB463" s="169">
        <v>-5.6268392964620162E-3</v>
      </c>
    </row>
    <row r="464" spans="20:28" x14ac:dyDescent="0.2">
      <c r="T464" s="130"/>
      <c r="U464" s="151"/>
      <c r="X464" s="170" t="str">
        <f t="shared" si="15"/>
        <v>1D</v>
      </c>
      <c r="Y464" s="168">
        <f>_xll.qlCalendarAdvance(LiborCalendar,Y463,X464,"f",FALSE)</f>
        <v>42779</v>
      </c>
      <c r="Z464" s="171">
        <f>_xll.qlInterestRateIndexValueDate(IborIndex,Y464,Trigger)</f>
        <v>42781</v>
      </c>
      <c r="AA464" s="172">
        <v>-5.2227818181774955E-3</v>
      </c>
      <c r="AB464" s="169">
        <v>-5.6181768421081912E-3</v>
      </c>
    </row>
    <row r="465" spans="20:28" x14ac:dyDescent="0.2">
      <c r="T465" s="130"/>
      <c r="U465" s="151"/>
      <c r="X465" s="170" t="str">
        <f t="shared" si="15"/>
        <v>1D</v>
      </c>
      <c r="Y465" s="168">
        <f>_xll.qlCalendarAdvance(LiborCalendar,Y464,X465,"f",FALSE)</f>
        <v>42780</v>
      </c>
      <c r="Z465" s="171">
        <f>_xll.qlInterestRateIndexValueDate(IborIndex,Y465,Trigger)</f>
        <v>42782</v>
      </c>
      <c r="AA465" s="172">
        <v>-5.214504436598686E-3</v>
      </c>
      <c r="AB465" s="169">
        <v>-5.6094797620120929E-3</v>
      </c>
    </row>
    <row r="466" spans="20:28" x14ac:dyDescent="0.2">
      <c r="T466" s="130"/>
      <c r="U466" s="151"/>
      <c r="X466" s="170" t="str">
        <f t="shared" si="15"/>
        <v>1D</v>
      </c>
      <c r="Y466" s="168">
        <f>_xll.qlCalendarAdvance(LiborCalendar,Y465,X466,"f",FALSE)</f>
        <v>42781</v>
      </c>
      <c r="Z466" s="171">
        <f>_xll.qlInterestRateIndexValueDate(IborIndex,Y466,Trigger)</f>
        <v>42783</v>
      </c>
      <c r="AA466" s="172">
        <v>-5.2062626379919498E-3</v>
      </c>
      <c r="AB466" s="169">
        <v>-5.5918833222268205E-3</v>
      </c>
    </row>
    <row r="467" spans="20:28" x14ac:dyDescent="0.2">
      <c r="T467" s="130"/>
      <c r="U467" s="151"/>
      <c r="X467" s="170" t="str">
        <f t="shared" si="15"/>
        <v>1D</v>
      </c>
      <c r="Y467" s="168">
        <f>_xll.qlCalendarAdvance(LiborCalendar,Y466,X467,"f",FALSE)</f>
        <v>42782</v>
      </c>
      <c r="Z467" s="171">
        <f>_xll.qlInterestRateIndexValueDate(IborIndex,Y467,Trigger)</f>
        <v>42786</v>
      </c>
      <c r="AA467" s="172">
        <v>-5.1743592319683724E-3</v>
      </c>
      <c r="AB467" s="169">
        <v>-5.5743451856837822E-3</v>
      </c>
    </row>
    <row r="468" spans="20:28" x14ac:dyDescent="0.2">
      <c r="T468" s="130"/>
      <c r="U468" s="151"/>
      <c r="X468" s="170" t="str">
        <f t="shared" si="15"/>
        <v>1D</v>
      </c>
      <c r="Y468" s="168">
        <f>_xll.qlCalendarAdvance(LiborCalendar,Y467,X468,"f",FALSE)</f>
        <v>42783</v>
      </c>
      <c r="Z468" s="171">
        <f>_xll.qlInterestRateIndexValueDate(IborIndex,Y468,Trigger)</f>
        <v>42787</v>
      </c>
      <c r="AA468" s="172">
        <v>-5.1699949973071924E-3</v>
      </c>
      <c r="AB468" s="169">
        <v>-5.5654749775557733E-3</v>
      </c>
    </row>
    <row r="469" spans="20:28" x14ac:dyDescent="0.2">
      <c r="T469" s="130"/>
      <c r="U469" s="151"/>
      <c r="X469" s="170" t="str">
        <f t="shared" ref="X469:X532" si="16">X468</f>
        <v>1D</v>
      </c>
      <c r="Y469" s="168">
        <f>_xll.qlCalendarAdvance(LiborCalendar,Y468,X469,"f",FALSE)</f>
        <v>42786</v>
      </c>
      <c r="Z469" s="171">
        <f>_xll.qlInterestRateIndexValueDate(IborIndex,Y469,Trigger)</f>
        <v>42788</v>
      </c>
      <c r="AA469" s="172">
        <v>-5.1656312608886392E-3</v>
      </c>
      <c r="AB469" s="169">
        <v>-5.556570143845363E-3</v>
      </c>
    </row>
    <row r="470" spans="20:28" x14ac:dyDescent="0.2">
      <c r="T470" s="130"/>
      <c r="U470" s="151"/>
      <c r="X470" s="170" t="str">
        <f t="shared" si="16"/>
        <v>1D</v>
      </c>
      <c r="Y470" s="168">
        <f>_xll.qlCalendarAdvance(LiborCalendar,Y469,X470,"f",FALSE)</f>
        <v>42787</v>
      </c>
      <c r="Z470" s="171">
        <f>_xll.qlInterestRateIndexValueDate(IborIndex,Y470,Trigger)</f>
        <v>42789</v>
      </c>
      <c r="AA470" s="172">
        <v>-5.1576292830482953E-3</v>
      </c>
      <c r="AB470" s="169">
        <v>-5.5476306845525514E-3</v>
      </c>
    </row>
    <row r="471" spans="20:28" x14ac:dyDescent="0.2">
      <c r="T471" s="130"/>
      <c r="U471" s="151"/>
      <c r="X471" s="170" t="str">
        <f t="shared" si="16"/>
        <v>1D</v>
      </c>
      <c r="Y471" s="168">
        <f>_xll.qlCalendarAdvance(LiborCalendar,Y470,X471,"f",FALSE)</f>
        <v>42788</v>
      </c>
      <c r="Z471" s="171">
        <f>_xll.qlInterestRateIndexValueDate(IborIndex,Y471,Trigger)</f>
        <v>42790</v>
      </c>
      <c r="AA471" s="172">
        <v>-5.1496716625733718E-3</v>
      </c>
      <c r="AB471" s="169">
        <v>-5.5295514118602895E-3</v>
      </c>
    </row>
    <row r="472" spans="20:28" x14ac:dyDescent="0.2">
      <c r="T472" s="130"/>
      <c r="U472" s="151"/>
      <c r="X472" s="170" t="str">
        <f t="shared" si="16"/>
        <v>1D</v>
      </c>
      <c r="Y472" s="168">
        <f>_xll.qlCalendarAdvance(LiborCalendar,Y471,X472,"f",FALSE)</f>
        <v>42789</v>
      </c>
      <c r="Z472" s="171">
        <f>_xll.qlInterestRateIndexValueDate(IborIndex,Y472,Trigger)</f>
        <v>42793</v>
      </c>
      <c r="AA472" s="172">
        <v>-5.1157248995837221E-3</v>
      </c>
      <c r="AB472" s="169">
        <v>-5.5115265909577715E-3</v>
      </c>
    </row>
    <row r="473" spans="20:28" x14ac:dyDescent="0.2">
      <c r="T473" s="130"/>
      <c r="U473" s="151"/>
      <c r="X473" s="170" t="str">
        <f t="shared" si="16"/>
        <v>1D</v>
      </c>
      <c r="Y473" s="168">
        <f>_xll.qlCalendarAdvance(LiborCalendar,Y472,X473,"f",FALSE)</f>
        <v>42790</v>
      </c>
      <c r="Z473" s="171">
        <f>_xll.qlInterestRateIndexValueDate(IborIndex,Y473,Trigger)</f>
        <v>42794</v>
      </c>
      <c r="AA473" s="172">
        <v>-5.1080635415105529E-3</v>
      </c>
      <c r="AB473" s="169">
        <v>-5.5024140035131452E-3</v>
      </c>
    </row>
    <row r="474" spans="20:28" x14ac:dyDescent="0.2">
      <c r="T474" s="130"/>
      <c r="U474" s="151"/>
      <c r="X474" s="170" t="str">
        <f t="shared" si="16"/>
        <v>1D</v>
      </c>
      <c r="Y474" s="168">
        <f>_xll.qlCalendarAdvance(LiborCalendar,Y473,X474,"f",FALSE)</f>
        <v>42793</v>
      </c>
      <c r="Z474" s="171">
        <f>_xll.qlInterestRateIndexValueDate(IborIndex,Y474,Trigger)</f>
        <v>42795</v>
      </c>
      <c r="AA474" s="172">
        <v>-5.1004536645515375E-3</v>
      </c>
      <c r="AB474" s="169">
        <v>-5.4932667904061816E-3</v>
      </c>
    </row>
    <row r="475" spans="20:28" x14ac:dyDescent="0.2">
      <c r="T475" s="130"/>
      <c r="U475" s="151"/>
      <c r="X475" s="170" t="str">
        <f t="shared" si="16"/>
        <v>1D</v>
      </c>
      <c r="Y475" s="168">
        <f>_xll.qlCalendarAdvance(LiborCalendar,Y474,X475,"f",FALSE)</f>
        <v>42794</v>
      </c>
      <c r="Z475" s="171">
        <f>_xll.qlInterestRateIndexValueDate(IborIndex,Y475,Trigger)</f>
        <v>42796</v>
      </c>
      <c r="AA475" s="172">
        <v>-5.0928964813623046E-3</v>
      </c>
      <c r="AB475" s="169">
        <v>-5.4840849516768486E-3</v>
      </c>
    </row>
    <row r="476" spans="20:28" x14ac:dyDescent="0.2">
      <c r="T476" s="130"/>
      <c r="U476" s="151"/>
      <c r="X476" s="170" t="str">
        <f t="shared" si="16"/>
        <v>1D</v>
      </c>
      <c r="Y476" s="168">
        <f>_xll.qlCalendarAdvance(LiborCalendar,Y475,X476,"f",FALSE)</f>
        <v>42795</v>
      </c>
      <c r="Z476" s="171">
        <f>_xll.qlInterestRateIndexValueDate(IborIndex,Y476,Trigger)</f>
        <v>42797</v>
      </c>
      <c r="AA476" s="172">
        <v>-5.0756999473669196E-3</v>
      </c>
      <c r="AB476" s="169">
        <v>-5.4655228758271335E-3</v>
      </c>
    </row>
    <row r="477" spans="20:28" x14ac:dyDescent="0.2">
      <c r="T477" s="130"/>
      <c r="U477" s="151"/>
      <c r="X477" s="170" t="str">
        <f t="shared" si="16"/>
        <v>1D</v>
      </c>
      <c r="Y477" s="168">
        <f>_xll.qlCalendarAdvance(LiborCalendar,Y476,X477,"f",FALSE)</f>
        <v>42796</v>
      </c>
      <c r="Z477" s="171">
        <f>_xll.qlInterestRateIndexValueDate(IborIndex,Y477,Trigger)</f>
        <v>42800</v>
      </c>
      <c r="AA477" s="172">
        <v>-5.0632189396260241E-3</v>
      </c>
      <c r="AB477" s="169">
        <v>-5.4470113404159193E-3</v>
      </c>
    </row>
    <row r="478" spans="20:28" x14ac:dyDescent="0.2">
      <c r="T478" s="130"/>
      <c r="U478" s="151"/>
      <c r="X478" s="170" t="str">
        <f t="shared" si="16"/>
        <v>1D</v>
      </c>
      <c r="Y478" s="168">
        <f>_xll.qlCalendarAdvance(LiborCalendar,Y477,X478,"f",FALSE)</f>
        <v>42797</v>
      </c>
      <c r="Z478" s="171">
        <f>_xll.qlInterestRateIndexValueDate(IborIndex,Y478,Trigger)</f>
        <v>42801</v>
      </c>
      <c r="AA478" s="172">
        <v>-5.0559434153416866E-3</v>
      </c>
      <c r="AB478" s="169">
        <v>-5.4376563734548355E-3</v>
      </c>
    </row>
    <row r="479" spans="20:28" x14ac:dyDescent="0.2">
      <c r="T479" s="130"/>
      <c r="U479" s="151"/>
      <c r="X479" s="170" t="str">
        <f t="shared" si="16"/>
        <v>1D</v>
      </c>
      <c r="Y479" s="168">
        <f>_xll.qlCalendarAdvance(LiborCalendar,Y478,X479,"f",FALSE)</f>
        <v>42800</v>
      </c>
      <c r="Z479" s="171">
        <f>_xll.qlInterestRateIndexValueDate(IborIndex,Y479,Trigger)</f>
        <v>42802</v>
      </c>
      <c r="AA479" s="172">
        <v>-5.0487278608994839E-3</v>
      </c>
      <c r="AB479" s="169">
        <v>-5.4282667808713825E-3</v>
      </c>
    </row>
    <row r="480" spans="20:28" x14ac:dyDescent="0.2">
      <c r="T480" s="130"/>
      <c r="U480" s="151"/>
      <c r="X480" s="170" t="str">
        <f t="shared" si="16"/>
        <v>1D</v>
      </c>
      <c r="Y480" s="168">
        <f>_xll.qlCalendarAdvance(LiborCalendar,Y479,X480,"f",FALSE)</f>
        <v>42801</v>
      </c>
      <c r="Z480" s="171">
        <f>_xll.qlInterestRateIndexValueDate(IborIndex,Y480,Trigger)</f>
        <v>42803</v>
      </c>
      <c r="AA480" s="172">
        <v>-5.0415734890006609E-3</v>
      </c>
      <c r="AB480" s="169">
        <v>-5.418842562585624E-3</v>
      </c>
    </row>
    <row r="481" spans="20:28" x14ac:dyDescent="0.2">
      <c r="T481" s="130"/>
      <c r="U481" s="151"/>
      <c r="X481" s="170" t="str">
        <f t="shared" si="16"/>
        <v>1D</v>
      </c>
      <c r="Y481" s="168">
        <f>_xll.qlCalendarAdvance(LiborCalendar,Y480,X481,"f",FALSE)</f>
        <v>42802</v>
      </c>
      <c r="Z481" s="171">
        <f>_xll.qlInterestRateIndexValueDate(IborIndex,Y481,Trigger)</f>
        <v>42804</v>
      </c>
      <c r="AA481" s="172">
        <v>-5.0285145455775115E-3</v>
      </c>
      <c r="AB481" s="169">
        <v>-5.3997977114095264E-3</v>
      </c>
    </row>
    <row r="482" spans="20:28" x14ac:dyDescent="0.2">
      <c r="T482" s="130"/>
      <c r="U482" s="151"/>
      <c r="X482" s="170" t="str">
        <f t="shared" si="16"/>
        <v>1D</v>
      </c>
      <c r="Y482" s="168">
        <f>_xll.qlCalendarAdvance(LiborCalendar,Y481,X482,"f",FALSE)</f>
        <v>42803</v>
      </c>
      <c r="Z482" s="171">
        <f>_xll.qlInterestRateIndexValueDate(IborIndex,Y482,Trigger)</f>
        <v>42807</v>
      </c>
      <c r="AA482" s="172">
        <v>-5.0135920810730032E-3</v>
      </c>
      <c r="AB482" s="169">
        <v>-5.3807994330590248E-3</v>
      </c>
    </row>
    <row r="483" spans="20:28" x14ac:dyDescent="0.2">
      <c r="T483" s="130"/>
      <c r="U483" s="151"/>
      <c r="X483" s="170" t="str">
        <f t="shared" si="16"/>
        <v>1D</v>
      </c>
      <c r="Y483" s="168">
        <f>_xll.qlCalendarAdvance(LiborCalendar,Y482,X483,"f",FALSE)</f>
        <v>42804</v>
      </c>
      <c r="Z483" s="171">
        <f>_xll.qlInterestRateIndexValueDate(IborIndex,Y483,Trigger)</f>
        <v>42808</v>
      </c>
      <c r="AA483" s="172">
        <v>-5.0067618126178283E-3</v>
      </c>
      <c r="AB483" s="169">
        <v>-5.3712020865415155E-3</v>
      </c>
    </row>
    <row r="484" spans="20:28" x14ac:dyDescent="0.2">
      <c r="T484" s="130"/>
      <c r="U484" s="151"/>
      <c r="X484" s="170" t="str">
        <f t="shared" si="16"/>
        <v>1D</v>
      </c>
      <c r="Y484" s="168">
        <f>_xll.qlCalendarAdvance(LiborCalendar,Y483,X484,"f",FALSE)</f>
        <v>42807</v>
      </c>
      <c r="Z484" s="171">
        <f>_xll.qlInterestRateIndexValueDate(IborIndex,Y484,Trigger)</f>
        <v>42809</v>
      </c>
      <c r="AA484" s="172">
        <v>-5.0000000030342683E-3</v>
      </c>
      <c r="AB484" s="169">
        <v>-5.3615701143217009E-3</v>
      </c>
    </row>
    <row r="485" spans="20:28" x14ac:dyDescent="0.2">
      <c r="T485" s="130"/>
      <c r="U485" s="151"/>
      <c r="X485" s="170" t="str">
        <f t="shared" si="16"/>
        <v>1D</v>
      </c>
      <c r="Y485" s="168">
        <f>_xll.qlCalendarAdvance(LiborCalendar,Y484,X485,"f",FALSE)</f>
        <v>42808</v>
      </c>
      <c r="Z485" s="171">
        <f>_xll.qlInterestRateIndexValueDate(IborIndex,Y485,Trigger)</f>
        <v>42810</v>
      </c>
      <c r="AA485" s="172">
        <v>-4.9933076843411417E-3</v>
      </c>
      <c r="AB485" s="169">
        <v>-5.3519035163596129E-3</v>
      </c>
    </row>
    <row r="486" spans="20:28" x14ac:dyDescent="0.2">
      <c r="T486" s="130"/>
      <c r="U486" s="151"/>
      <c r="X486" s="170" t="str">
        <f t="shared" si="16"/>
        <v>1D</v>
      </c>
      <c r="Y486" s="168">
        <f>_xll.qlCalendarAdvance(LiborCalendar,Y485,X486,"f",FALSE)</f>
        <v>42809</v>
      </c>
      <c r="Z486" s="171">
        <f>_xll.qlInterestRateIndexValueDate(IborIndex,Y486,Trigger)</f>
        <v>42811</v>
      </c>
      <c r="AA486" s="172">
        <v>-4.9812428254740792E-3</v>
      </c>
      <c r="AB486" s="169">
        <v>-5.3323759158363515E-3</v>
      </c>
    </row>
    <row r="487" spans="20:28" x14ac:dyDescent="0.2">
      <c r="T487" s="130"/>
      <c r="U487" s="151"/>
      <c r="X487" s="170" t="str">
        <f t="shared" si="16"/>
        <v>1D</v>
      </c>
      <c r="Y487" s="168">
        <f>_xll.qlCalendarAdvance(LiborCalendar,Y486,X487,"f",FALSE)</f>
        <v>42810</v>
      </c>
      <c r="Z487" s="171">
        <f>_xll.qlInterestRateIndexValueDate(IborIndex,Y487,Trigger)</f>
        <v>42814</v>
      </c>
      <c r="AA487" s="172">
        <v>-4.9672376937431153E-3</v>
      </c>
      <c r="AB487" s="169">
        <v>-5.3128908680077913E-3</v>
      </c>
    </row>
    <row r="488" spans="20:28" x14ac:dyDescent="0.2">
      <c r="T488" s="130"/>
      <c r="U488" s="151"/>
      <c r="X488" s="170" t="str">
        <f t="shared" si="16"/>
        <v>1D</v>
      </c>
      <c r="Y488" s="168">
        <f>_xll.qlCalendarAdvance(LiborCalendar,Y487,X488,"f",FALSE)</f>
        <v>42811</v>
      </c>
      <c r="Z488" s="171">
        <f>_xll.qlInterestRateIndexValueDate(IborIndex,Y488,Trigger)</f>
        <v>42815</v>
      </c>
      <c r="AA488" s="172">
        <v>-4.9608956591252126E-3</v>
      </c>
      <c r="AB488" s="169">
        <v>-5.3030697550449091E-3</v>
      </c>
    </row>
    <row r="489" spans="20:28" x14ac:dyDescent="0.2">
      <c r="T489" s="130"/>
      <c r="U489" s="151"/>
      <c r="X489" s="170" t="str">
        <f t="shared" si="16"/>
        <v>1D</v>
      </c>
      <c r="Y489" s="168">
        <f>_xll.qlCalendarAdvance(LiborCalendar,Y488,X489,"f",FALSE)</f>
        <v>42814</v>
      </c>
      <c r="Z489" s="171">
        <f>_xll.qlInterestRateIndexValueDate(IborIndex,Y489,Trigger)</f>
        <v>42816</v>
      </c>
      <c r="AA489" s="172">
        <v>-4.9546238644407447E-3</v>
      </c>
      <c r="AB489" s="169">
        <v>-5.2933070833738327E-3</v>
      </c>
    </row>
    <row r="490" spans="20:28" x14ac:dyDescent="0.2">
      <c r="T490" s="130"/>
      <c r="U490" s="151"/>
      <c r="X490" s="170" t="str">
        <f t="shared" si="16"/>
        <v>1D</v>
      </c>
      <c r="Y490" s="168">
        <f>_xll.qlCalendarAdvance(LiborCalendar,Y489,X490,"f",FALSE)</f>
        <v>42815</v>
      </c>
      <c r="Z490" s="171">
        <f>_xll.qlInterestRateIndexValueDate(IborIndex,Y490,Trigger)</f>
        <v>42817</v>
      </c>
      <c r="AA490" s="172">
        <v>-4.9484214277412848E-3</v>
      </c>
      <c r="AB490" s="169">
        <v>-5.2836214661455827E-3</v>
      </c>
    </row>
    <row r="491" spans="20:28" x14ac:dyDescent="0.2">
      <c r="T491" s="130"/>
      <c r="U491" s="151"/>
      <c r="X491" s="170" t="str">
        <f t="shared" si="16"/>
        <v>1D</v>
      </c>
      <c r="Y491" s="168">
        <f>_xll.qlCalendarAdvance(LiborCalendar,Y490,X491,"f",FALSE)</f>
        <v>42816</v>
      </c>
      <c r="Z491" s="171">
        <f>_xll.qlInterestRateIndexValueDate(IborIndex,Y491,Trigger)</f>
        <v>42818</v>
      </c>
      <c r="AA491" s="172">
        <v>-4.9372907071879076E-3</v>
      </c>
      <c r="AB491" s="169">
        <v>-5.2644300944937328E-3</v>
      </c>
    </row>
    <row r="492" spans="20:28" x14ac:dyDescent="0.2">
      <c r="T492" s="130"/>
      <c r="U492" s="151"/>
      <c r="X492" s="170" t="str">
        <f t="shared" si="16"/>
        <v>1D</v>
      </c>
      <c r="Y492" s="168">
        <f>_xll.qlCalendarAdvance(LiborCalendar,Y491,X492,"f",FALSE)</f>
        <v>42817</v>
      </c>
      <c r="Z492" s="171">
        <f>_xll.qlInterestRateIndexValueDate(IborIndex,Y492,Trigger)</f>
        <v>42821</v>
      </c>
      <c r="AA492" s="172">
        <v>-4.924283580224874E-3</v>
      </c>
      <c r="AB492" s="169">
        <v>-5.2456495429398231E-3</v>
      </c>
    </row>
    <row r="493" spans="20:28" x14ac:dyDescent="0.2">
      <c r="T493" s="130"/>
      <c r="U493" s="151"/>
      <c r="X493" s="170" t="str">
        <f t="shared" si="16"/>
        <v>1D</v>
      </c>
      <c r="Y493" s="168">
        <f>_xll.qlCalendarAdvance(LiborCalendar,Y492,X493,"f",FALSE)</f>
        <v>42818</v>
      </c>
      <c r="Z493" s="171">
        <f>_xll.qlInterestRateIndexValueDate(IborIndex,Y493,Trigger)</f>
        <v>42822</v>
      </c>
      <c r="AA493" s="172">
        <v>-4.9184116729292602E-3</v>
      </c>
      <c r="AB493" s="169">
        <v>-5.2363491985252253E-3</v>
      </c>
    </row>
    <row r="494" spans="20:28" x14ac:dyDescent="0.2">
      <c r="T494" s="130"/>
      <c r="U494" s="151"/>
      <c r="X494" s="170" t="str">
        <f t="shared" si="16"/>
        <v>1D</v>
      </c>
      <c r="Y494" s="168">
        <f>_xll.qlCalendarAdvance(LiborCalendar,Y493,X494,"f",FALSE)</f>
        <v>42821</v>
      </c>
      <c r="Z494" s="171">
        <f>_xll.qlInterestRateIndexValueDate(IborIndex,Y494,Trigger)</f>
        <v>42823</v>
      </c>
      <c r="AA494" s="172">
        <v>-4.9126026193389311E-3</v>
      </c>
      <c r="AB494" s="169">
        <v>-5.227125908753294E-3</v>
      </c>
    </row>
    <row r="495" spans="20:28" x14ac:dyDescent="0.2">
      <c r="T495" s="130"/>
      <c r="U495" s="151"/>
      <c r="X495" s="170" t="str">
        <f t="shared" si="16"/>
        <v>1D</v>
      </c>
      <c r="Y495" s="168">
        <f>_xll.qlCalendarAdvance(LiborCalendar,Y494,X495,"f",FALSE)</f>
        <v>42822</v>
      </c>
      <c r="Z495" s="171">
        <f>_xll.qlInterestRateIndexValueDate(IborIndex,Y495,Trigger)</f>
        <v>42824</v>
      </c>
      <c r="AA495" s="172">
        <v>-4.9068553353727997E-3</v>
      </c>
      <c r="AB495" s="169">
        <v>-5.2179796736639972E-3</v>
      </c>
    </row>
    <row r="496" spans="20:28" x14ac:dyDescent="0.2">
      <c r="T496" s="130"/>
      <c r="U496" s="151"/>
      <c r="X496" s="170" t="str">
        <f t="shared" si="16"/>
        <v>1D</v>
      </c>
      <c r="Y496" s="168">
        <f>_xll.qlCalendarAdvance(LiborCalendar,Y495,X496,"f",FALSE)</f>
        <v>42823</v>
      </c>
      <c r="Z496" s="171">
        <f>_xll.qlInterestRateIndexValueDate(IborIndex,Y496,Trigger)</f>
        <v>42825</v>
      </c>
      <c r="AA496" s="172">
        <v>-4.90350745994011E-3</v>
      </c>
      <c r="AB496" s="169">
        <v>-5.1998689428556233E-3</v>
      </c>
    </row>
    <row r="497" spans="20:28" x14ac:dyDescent="0.2">
      <c r="T497" s="130"/>
      <c r="U497" s="151"/>
      <c r="X497" s="170" t="str">
        <f t="shared" si="16"/>
        <v>1D</v>
      </c>
      <c r="Y497" s="168">
        <f>_xll.qlCalendarAdvance(LiborCalendar,Y496,X497,"f",FALSE)</f>
        <v>42824</v>
      </c>
      <c r="Z497" s="171">
        <f>_xll.qlInterestRateIndexValueDate(IborIndex,Y497,Trigger)</f>
        <v>42828</v>
      </c>
      <c r="AA497" s="172">
        <v>-4.8867357019510959E-3</v>
      </c>
      <c r="AB497" s="169">
        <v>-5.1821652789341144E-3</v>
      </c>
    </row>
    <row r="498" spans="20:28" x14ac:dyDescent="0.2">
      <c r="T498" s="130"/>
      <c r="U498" s="151"/>
      <c r="X498" s="170" t="str">
        <f t="shared" si="16"/>
        <v>1D</v>
      </c>
      <c r="Y498" s="168">
        <f>_xll.qlCalendarAdvance(LiborCalendar,Y497,X498,"f",FALSE)</f>
        <v>42825</v>
      </c>
      <c r="Z498" s="171">
        <f>_xll.qlInterestRateIndexValueDate(IborIndex,Y498,Trigger)</f>
        <v>42829</v>
      </c>
      <c r="AA498" s="172">
        <v>-4.8812610168155355E-3</v>
      </c>
      <c r="AB498" s="169">
        <v>-5.1734043167384058E-3</v>
      </c>
    </row>
    <row r="499" spans="20:28" x14ac:dyDescent="0.2">
      <c r="T499" s="130"/>
      <c r="U499" s="151"/>
      <c r="X499" s="170" t="str">
        <f t="shared" si="16"/>
        <v>1D</v>
      </c>
      <c r="Y499" s="168">
        <f>_xll.qlCalendarAdvance(LiborCalendar,Y498,X499,"f",FALSE)</f>
        <v>42828</v>
      </c>
      <c r="Z499" s="171">
        <f>_xll.qlInterestRateIndexValueDate(IborIndex,Y499,Trigger)</f>
        <v>42830</v>
      </c>
      <c r="AA499" s="172">
        <v>-4.8758424553470067E-3</v>
      </c>
      <c r="AB499" s="169">
        <v>-5.1647204093052679E-3</v>
      </c>
    </row>
    <row r="500" spans="20:28" x14ac:dyDescent="0.2">
      <c r="T500" s="130"/>
      <c r="U500" s="151"/>
      <c r="X500" s="170" t="str">
        <f t="shared" si="16"/>
        <v>1D</v>
      </c>
      <c r="Y500" s="168">
        <f>_xll.qlCalendarAdvance(LiborCalendar,Y499,X500,"f",FALSE)</f>
        <v>42829</v>
      </c>
      <c r="Z500" s="171">
        <f>_xll.qlInterestRateIndexValueDate(IborIndex,Y500,Trigger)</f>
        <v>42831</v>
      </c>
      <c r="AA500" s="172">
        <v>-4.8704789214706308E-3</v>
      </c>
      <c r="AB500" s="169">
        <v>-5.1561135563948923E-3</v>
      </c>
    </row>
    <row r="501" spans="20:28" x14ac:dyDescent="0.2">
      <c r="T501" s="130"/>
      <c r="U501" s="151"/>
      <c r="X501" s="170" t="str">
        <f t="shared" si="16"/>
        <v>1D</v>
      </c>
      <c r="Y501" s="168">
        <f>_xll.qlCalendarAdvance(LiborCalendar,Y500,X501,"f",FALSE)</f>
        <v>42830</v>
      </c>
      <c r="Z501" s="171">
        <f>_xll.qlInterestRateIndexValueDate(IborIndex,Y501,Trigger)</f>
        <v>42832</v>
      </c>
      <c r="AA501" s="172">
        <v>-4.8651693191088946E-3</v>
      </c>
      <c r="AB501" s="169">
        <v>-5.139083336227479E-3</v>
      </c>
    </row>
    <row r="502" spans="20:28" x14ac:dyDescent="0.2">
      <c r="T502" s="130"/>
      <c r="U502" s="151"/>
      <c r="X502" s="170" t="str">
        <f t="shared" si="16"/>
        <v>1D</v>
      </c>
      <c r="Y502" s="168">
        <f>_xll.qlCalendarAdvance(LiborCalendar,Y501,X502,"f",FALSE)</f>
        <v>42831</v>
      </c>
      <c r="Z502" s="171">
        <f>_xll.qlInterestRateIndexValueDate(IborIndex,Y502,Trigger)</f>
        <v>42835</v>
      </c>
      <c r="AA502" s="172">
        <v>-4.8495531401826497E-3</v>
      </c>
      <c r="AB502" s="169">
        <v>-5.1224566913798952E-3</v>
      </c>
    </row>
    <row r="503" spans="20:28" x14ac:dyDescent="0.2">
      <c r="T503" s="130"/>
      <c r="U503" s="151"/>
      <c r="X503" s="170" t="str">
        <f t="shared" si="16"/>
        <v>1D</v>
      </c>
      <c r="Y503" s="168">
        <f>_xll.qlCalendarAdvance(LiborCalendar,Y502,X503,"f",FALSE)</f>
        <v>42832</v>
      </c>
      <c r="Z503" s="171">
        <f>_xll.qlInterestRateIndexValueDate(IborIndex,Y503,Trigger)</f>
        <v>42836</v>
      </c>
      <c r="AA503" s="172">
        <v>-4.8444483029141464E-3</v>
      </c>
      <c r="AB503" s="169">
        <v>-5.1142351117627882E-3</v>
      </c>
    </row>
    <row r="504" spans="20:28" x14ac:dyDescent="0.2">
      <c r="T504" s="130"/>
      <c r="U504" s="151"/>
      <c r="X504" s="170" t="str">
        <f t="shared" si="16"/>
        <v>1D</v>
      </c>
      <c r="Y504" s="168">
        <f>_xll.qlCalendarAdvance(LiborCalendar,Y503,X504,"f",FALSE)</f>
        <v>42835</v>
      </c>
      <c r="Z504" s="171">
        <f>_xll.qlInterestRateIndexValueDate(IborIndex,Y504,Trigger)</f>
        <v>42837</v>
      </c>
      <c r="AA504" s="172">
        <v>-4.839391916639629E-3</v>
      </c>
      <c r="AB504" s="169">
        <v>-5.1060905867483797E-3</v>
      </c>
    </row>
    <row r="505" spans="20:28" x14ac:dyDescent="0.2">
      <c r="T505" s="130"/>
      <c r="U505" s="151"/>
      <c r="X505" s="170" t="str">
        <f t="shared" si="16"/>
        <v>1D</v>
      </c>
      <c r="Y505" s="168">
        <f>_xll.qlCalendarAdvance(LiborCalendar,Y504,X505,"f",FALSE)</f>
        <v>42836</v>
      </c>
      <c r="Z505" s="171">
        <f>_xll.qlInterestRateIndexValueDate(IborIndex,Y505,Trigger)</f>
        <v>42838</v>
      </c>
      <c r="AA505" s="172">
        <v>-4.8343828852332703E-3</v>
      </c>
      <c r="AB505" s="169">
        <v>-5.082052903992107E-3</v>
      </c>
    </row>
    <row r="506" spans="20:28" x14ac:dyDescent="0.2">
      <c r="T506" s="130"/>
      <c r="U506" s="151"/>
      <c r="X506" s="170" t="str">
        <f t="shared" si="16"/>
        <v>1D</v>
      </c>
      <c r="Y506" s="168">
        <f>_xll.qlCalendarAdvance(LiborCalendar,Y505,X506,"f",FALSE)</f>
        <v>42837</v>
      </c>
      <c r="Z506" s="171">
        <f>_xll.qlInterestRateIndexValueDate(IborIndex,Y506,Trigger)</f>
        <v>42843</v>
      </c>
      <c r="AA506" s="172">
        <v>-4.8100096862713215E-3</v>
      </c>
      <c r="AB506" s="169">
        <v>-5.0588415853569657E-3</v>
      </c>
    </row>
    <row r="507" spans="20:28" x14ac:dyDescent="0.2">
      <c r="T507" s="130"/>
      <c r="U507" s="151"/>
      <c r="X507" s="170" t="str">
        <f t="shared" si="16"/>
        <v>1D</v>
      </c>
      <c r="Y507" s="168">
        <f>_xll.qlCalendarAdvance(LiborCalendar,Y506,X507,"f",FALSE)</f>
        <v>42838</v>
      </c>
      <c r="Z507" s="171">
        <f>_xll.qlInterestRateIndexValueDate(IborIndex,Y507,Trigger)</f>
        <v>42844</v>
      </c>
      <c r="AA507" s="172">
        <v>-4.8052617650090187E-3</v>
      </c>
      <c r="AB507" s="169">
        <v>-5.0512364432009349E-3</v>
      </c>
    </row>
    <row r="508" spans="20:28" x14ac:dyDescent="0.2">
      <c r="T508" s="130"/>
      <c r="U508" s="151"/>
      <c r="X508" s="170" t="str">
        <f t="shared" si="16"/>
        <v>1D</v>
      </c>
      <c r="Y508" s="168">
        <f>_xll.qlCalendarAdvance(LiborCalendar,Y507,X508,"f",FALSE)</f>
        <v>42843</v>
      </c>
      <c r="Z508" s="171">
        <f>_xll.qlInterestRateIndexValueDate(IborIndex,Y508,Trigger)</f>
        <v>42845</v>
      </c>
      <c r="AA508" s="172">
        <v>-4.800553525528971E-3</v>
      </c>
      <c r="AB508" s="169">
        <v>-5.0437083557275386E-3</v>
      </c>
    </row>
    <row r="509" spans="20:28" x14ac:dyDescent="0.2">
      <c r="T509" s="130"/>
      <c r="U509" s="151"/>
      <c r="X509" s="170" t="str">
        <f t="shared" si="16"/>
        <v>1D</v>
      </c>
      <c r="Y509" s="168">
        <f>_xll.qlCalendarAdvance(LiborCalendar,Y508,X509,"f",FALSE)</f>
        <v>42844</v>
      </c>
      <c r="Z509" s="171">
        <f>_xll.qlInterestRateIndexValueDate(IborIndex,Y509,Trigger)</f>
        <v>42846</v>
      </c>
      <c r="AA509" s="172">
        <v>-4.7958838716522078E-3</v>
      </c>
      <c r="AB509" s="169">
        <v>-5.0288387804631185E-3</v>
      </c>
    </row>
    <row r="510" spans="20:28" x14ac:dyDescent="0.2">
      <c r="T510" s="130"/>
      <c r="U510" s="151"/>
      <c r="X510" s="170" t="str">
        <f t="shared" si="16"/>
        <v>1D</v>
      </c>
      <c r="Y510" s="168">
        <f>_xll.qlCalendarAdvance(LiborCalendar,Y509,X510,"f",FALSE)</f>
        <v>42845</v>
      </c>
      <c r="Z510" s="171">
        <f>_xll.qlInterestRateIndexValueDate(IborIndex,Y510,Trigger)</f>
        <v>42849</v>
      </c>
      <c r="AA510" s="172">
        <v>-4.7820954617223375E-3</v>
      </c>
      <c r="AB510" s="169">
        <v>-5.0143665530999471E-3</v>
      </c>
    </row>
    <row r="511" spans="20:28" x14ac:dyDescent="0.2">
      <c r="T511" s="130"/>
      <c r="U511" s="151"/>
      <c r="X511" s="170" t="str">
        <f t="shared" si="16"/>
        <v>1D</v>
      </c>
      <c r="Y511" s="168">
        <f>_xll.qlCalendarAdvance(LiborCalendar,Y510,X511,"f",FALSE)</f>
        <v>42846</v>
      </c>
      <c r="Z511" s="171">
        <f>_xll.qlInterestRateIndexValueDate(IborIndex,Y511,Trigger)</f>
        <v>42850</v>
      </c>
      <c r="AA511" s="172">
        <v>-4.777569188310877E-3</v>
      </c>
      <c r="AB511" s="169">
        <v>-5.0072237392795316E-3</v>
      </c>
    </row>
    <row r="512" spans="20:28" x14ac:dyDescent="0.2">
      <c r="T512" s="130"/>
      <c r="U512" s="151"/>
      <c r="X512" s="170" t="str">
        <f t="shared" si="16"/>
        <v>1D</v>
      </c>
      <c r="Y512" s="168">
        <f>_xll.qlCalendarAdvance(LiborCalendar,Y511,X512,"f",FALSE)</f>
        <v>42849</v>
      </c>
      <c r="Z512" s="171">
        <f>_xll.qlInterestRateIndexValueDate(IborIndex,Y512,Trigger)</f>
        <v>42851</v>
      </c>
      <c r="AA512" s="172">
        <v>-4.7730760195019914E-3</v>
      </c>
      <c r="AB512" s="169">
        <v>-5.0001579801417506E-3</v>
      </c>
    </row>
    <row r="513" spans="20:28" x14ac:dyDescent="0.2">
      <c r="T513" s="130"/>
      <c r="U513" s="151"/>
      <c r="X513" s="170" t="str">
        <f t="shared" si="16"/>
        <v>1D</v>
      </c>
      <c r="Y513" s="168">
        <f>_xll.qlCalendarAdvance(LiborCalendar,Y512,X513,"f",FALSE)</f>
        <v>42850</v>
      </c>
      <c r="Z513" s="171">
        <f>_xll.qlInterestRateIndexValueDate(IborIndex,Y513,Trigger)</f>
        <v>42852</v>
      </c>
      <c r="AA513" s="172">
        <v>-4.7686148590754254E-3</v>
      </c>
      <c r="AB513" s="169">
        <v>-4.9931692758065083E-3</v>
      </c>
    </row>
    <row r="514" spans="20:28" x14ac:dyDescent="0.2">
      <c r="T514" s="130"/>
      <c r="U514" s="151"/>
      <c r="X514" s="170" t="str">
        <f t="shared" si="16"/>
        <v>1D</v>
      </c>
      <c r="Y514" s="168">
        <f>_xll.qlCalendarAdvance(LiborCalendar,Y513,X514,"f",FALSE)</f>
        <v>42851</v>
      </c>
      <c r="Z514" s="171">
        <f>_xll.qlInterestRateIndexValueDate(IborIndex,Y514,Trigger)</f>
        <v>42853</v>
      </c>
      <c r="AA514" s="172">
        <v>-4.7581640598320808E-3</v>
      </c>
      <c r="AB514" s="169">
        <v>-4.975979617120041E-3</v>
      </c>
    </row>
    <row r="515" spans="20:28" x14ac:dyDescent="0.2">
      <c r="T515" s="130"/>
      <c r="U515" s="151"/>
      <c r="X515" s="170" t="str">
        <f t="shared" si="16"/>
        <v>1D</v>
      </c>
      <c r="Y515" s="168">
        <f>_xll.qlCalendarAdvance(LiborCalendar,Y514,X515,"f",FALSE)</f>
        <v>42852</v>
      </c>
      <c r="Z515" s="171">
        <f>_xll.qlInterestRateIndexValueDate(IborIndex,Y515,Trigger)</f>
        <v>42857</v>
      </c>
      <c r="AA515" s="172">
        <v>-4.7447519188914544E-3</v>
      </c>
      <c r="AB515" s="169">
        <v>-4.9593815750892389E-3</v>
      </c>
    </row>
    <row r="516" spans="20:28" x14ac:dyDescent="0.2">
      <c r="T516" s="130"/>
      <c r="U516" s="151"/>
      <c r="X516" s="170" t="str">
        <f t="shared" si="16"/>
        <v>1D</v>
      </c>
      <c r="Y516" s="168">
        <f>_xll.qlCalendarAdvance(LiborCalendar,Y515,X516,"f",FALSE)</f>
        <v>42853</v>
      </c>
      <c r="Z516" s="171">
        <f>_xll.qlInterestRateIndexValueDate(IborIndex,Y516,Trigger)</f>
        <v>42858</v>
      </c>
      <c r="AA516" s="172">
        <v>-4.740459715910591E-3</v>
      </c>
      <c r="AB516" s="169">
        <v>-4.9528551993693881E-3</v>
      </c>
    </row>
    <row r="517" spans="20:28" x14ac:dyDescent="0.2">
      <c r="T517" s="130"/>
      <c r="U517" s="151"/>
      <c r="X517" s="170" t="str">
        <f t="shared" si="16"/>
        <v>1D</v>
      </c>
      <c r="Y517" s="168">
        <f>_xll.qlCalendarAdvance(LiborCalendar,Y516,X517,"f",FALSE)</f>
        <v>42857</v>
      </c>
      <c r="Z517" s="171">
        <f>_xll.qlInterestRateIndexValueDate(IborIndex,Y517,Trigger)</f>
        <v>42859</v>
      </c>
      <c r="AA517" s="172">
        <v>-4.7361913348567663E-3</v>
      </c>
      <c r="AB517" s="169">
        <v>-4.9464058782522358E-3</v>
      </c>
    </row>
    <row r="518" spans="20:28" x14ac:dyDescent="0.2">
      <c r="T518" s="130"/>
      <c r="U518" s="151"/>
      <c r="X518" s="170" t="str">
        <f t="shared" si="16"/>
        <v>1D</v>
      </c>
      <c r="Y518" s="168">
        <f>_xll.qlCalendarAdvance(LiborCalendar,Y517,X518,"f",FALSE)</f>
        <v>42858</v>
      </c>
      <c r="Z518" s="171">
        <f>_xll.qlInterestRateIndexValueDate(IborIndex,Y518,Trigger)</f>
        <v>42860</v>
      </c>
      <c r="AA518" s="172">
        <v>-4.7279305032227681E-3</v>
      </c>
      <c r="AB518" s="169">
        <v>-4.9336964689272733E-3</v>
      </c>
    </row>
    <row r="519" spans="20:28" x14ac:dyDescent="0.2">
      <c r="T519" s="130"/>
      <c r="U519" s="151"/>
      <c r="X519" s="170" t="str">
        <f t="shared" si="16"/>
        <v>1D</v>
      </c>
      <c r="Y519" s="168">
        <f>_xll.qlCalendarAdvance(LiborCalendar,Y518,X519,"f",FALSE)</f>
        <v>42859</v>
      </c>
      <c r="Z519" s="171">
        <f>_xll.qlInterestRateIndexValueDate(IborIndex,Y519,Trigger)</f>
        <v>42863</v>
      </c>
      <c r="AA519" s="172">
        <v>-4.7193343431994406E-3</v>
      </c>
      <c r="AB519" s="169">
        <v>-4.9213791416891084E-3</v>
      </c>
    </row>
    <row r="520" spans="20:28" x14ac:dyDescent="0.2">
      <c r="T520" s="130"/>
      <c r="U520" s="151"/>
      <c r="X520" s="170" t="str">
        <f t="shared" si="16"/>
        <v>1D</v>
      </c>
      <c r="Y520" s="168">
        <f>_xll.qlCalendarAdvance(LiborCalendar,Y519,X520,"f",FALSE)</f>
        <v>42860</v>
      </c>
      <c r="Z520" s="171">
        <f>_xll.qlInterestRateIndexValueDate(IborIndex,Y520,Trigger)</f>
        <v>42864</v>
      </c>
      <c r="AA520" s="172">
        <v>-4.715168806701097E-3</v>
      </c>
      <c r="AB520" s="169">
        <v>-4.915315094504713E-3</v>
      </c>
    </row>
    <row r="521" spans="20:28" x14ac:dyDescent="0.2">
      <c r="T521" s="130"/>
      <c r="U521" s="151"/>
      <c r="X521" s="170" t="str">
        <f t="shared" si="16"/>
        <v>1D</v>
      </c>
      <c r="Y521" s="168">
        <f>_xll.qlCalendarAdvance(LiborCalendar,Y520,X521,"f",FALSE)</f>
        <v>42863</v>
      </c>
      <c r="Z521" s="171">
        <f>_xll.qlInterestRateIndexValueDate(IborIndex,Y521,Trigger)</f>
        <v>42865</v>
      </c>
      <c r="AA521" s="172">
        <v>-4.7110205860632377E-3</v>
      </c>
      <c r="AB521" s="169">
        <v>-4.9093281021628243E-3</v>
      </c>
    </row>
    <row r="522" spans="20:28" x14ac:dyDescent="0.2">
      <c r="T522" s="130"/>
      <c r="U522" s="151"/>
      <c r="X522" s="170" t="str">
        <f t="shared" si="16"/>
        <v>1D</v>
      </c>
      <c r="Y522" s="168">
        <f>_xll.qlCalendarAdvance(LiborCalendar,Y521,X522,"f",FALSE)</f>
        <v>42864</v>
      </c>
      <c r="Z522" s="171">
        <f>_xll.qlInterestRateIndexValueDate(IborIndex,Y522,Trigger)</f>
        <v>42866</v>
      </c>
      <c r="AA522" s="172">
        <v>-4.70688859692196E-3</v>
      </c>
      <c r="AB522" s="169">
        <v>-4.9034181645435382E-3</v>
      </c>
    </row>
    <row r="523" spans="20:28" x14ac:dyDescent="0.2">
      <c r="T523" s="130"/>
      <c r="U523" s="151"/>
      <c r="X523" s="170" t="str">
        <f t="shared" si="16"/>
        <v>1D</v>
      </c>
      <c r="Y523" s="168">
        <f>_xll.qlCalendarAdvance(LiborCalendar,Y522,X523,"f",FALSE)</f>
        <v>42865</v>
      </c>
      <c r="Z523" s="171">
        <f>_xll.qlInterestRateIndexValueDate(IborIndex,Y523,Trigger)</f>
        <v>42867</v>
      </c>
      <c r="AA523" s="172">
        <v>-4.6987115716246976E-3</v>
      </c>
      <c r="AB523" s="169">
        <v>-4.8917886661792309E-3</v>
      </c>
    </row>
    <row r="524" spans="20:28" x14ac:dyDescent="0.2">
      <c r="T524" s="130"/>
      <c r="U524" s="151"/>
      <c r="X524" s="170" t="str">
        <f t="shared" si="16"/>
        <v>1D</v>
      </c>
      <c r="Y524" s="168">
        <f>_xll.qlCalendarAdvance(LiborCalendar,Y523,X524,"f",FALSE)</f>
        <v>42866</v>
      </c>
      <c r="Z524" s="171">
        <f>_xll.qlInterestRateIndexValueDate(IborIndex,Y524,Trigger)</f>
        <v>42870</v>
      </c>
      <c r="AA524" s="172">
        <v>-4.6905012679277422E-3</v>
      </c>
      <c r="AB524" s="169">
        <v>-4.8805489623315879E-3</v>
      </c>
    </row>
    <row r="525" spans="20:28" x14ac:dyDescent="0.2">
      <c r="T525" s="130"/>
      <c r="U525" s="151"/>
      <c r="X525" s="170" t="str">
        <f t="shared" si="16"/>
        <v>1D</v>
      </c>
      <c r="Y525" s="168">
        <f>_xll.qlCalendarAdvance(LiborCalendar,Y524,X525,"f",FALSE)</f>
        <v>42867</v>
      </c>
      <c r="Z525" s="171">
        <f>_xll.qlInterestRateIndexValueDate(IborIndex,Y525,Trigger)</f>
        <v>42871</v>
      </c>
      <c r="AA525" s="172">
        <v>-4.6864341706787591E-3</v>
      </c>
      <c r="AB525" s="169">
        <v>-4.8750242987249948E-3</v>
      </c>
    </row>
    <row r="526" spans="20:28" x14ac:dyDescent="0.2">
      <c r="T526" s="130"/>
      <c r="U526" s="151"/>
      <c r="X526" s="170" t="str">
        <f t="shared" si="16"/>
        <v>1D</v>
      </c>
      <c r="Y526" s="168">
        <f>_xll.qlCalendarAdvance(LiborCalendar,Y525,X526,"f",FALSE)</f>
        <v>42870</v>
      </c>
      <c r="Z526" s="171">
        <f>_xll.qlInterestRateIndexValueDate(IborIndex,Y526,Trigger)</f>
        <v>42872</v>
      </c>
      <c r="AA526" s="172">
        <v>-4.6823767986573558E-3</v>
      </c>
      <c r="AB526" s="169">
        <v>-4.8695766900008763E-3</v>
      </c>
    </row>
    <row r="527" spans="20:28" x14ac:dyDescent="0.2">
      <c r="T527" s="130"/>
      <c r="U527" s="151"/>
      <c r="X527" s="170" t="str">
        <f t="shared" si="16"/>
        <v>1D</v>
      </c>
      <c r="Y527" s="168">
        <f>_xll.qlCalendarAdvance(LiborCalendar,Y526,X527,"f",FALSE)</f>
        <v>42871</v>
      </c>
      <c r="Z527" s="171">
        <f>_xll.qlInterestRateIndexValueDate(IborIndex,Y527,Trigger)</f>
        <v>42873</v>
      </c>
      <c r="AA527" s="172">
        <v>-4.678328067466612E-3</v>
      </c>
      <c r="AB527" s="169">
        <v>-4.8642061361592326E-3</v>
      </c>
    </row>
    <row r="528" spans="20:28" x14ac:dyDescent="0.2">
      <c r="T528" s="130"/>
      <c r="U528" s="151"/>
      <c r="X528" s="170" t="str">
        <f t="shared" si="16"/>
        <v>1D</v>
      </c>
      <c r="Y528" s="168">
        <f>_xll.qlCalendarAdvance(LiborCalendar,Y527,X528,"f",FALSE)</f>
        <v>42872</v>
      </c>
      <c r="Z528" s="171">
        <f>_xll.qlInterestRateIndexValueDate(IborIndex,Y528,Trigger)</f>
        <v>42874</v>
      </c>
      <c r="AA528" s="172">
        <v>-4.6701432532142073E-3</v>
      </c>
      <c r="AB528" s="169">
        <v>-4.8536564374712654E-3</v>
      </c>
    </row>
    <row r="529" spans="20:28" x14ac:dyDescent="0.2">
      <c r="T529" s="130"/>
      <c r="U529" s="151"/>
      <c r="X529" s="170" t="str">
        <f t="shared" si="16"/>
        <v>1D</v>
      </c>
      <c r="Y529" s="168">
        <f>_xll.qlCalendarAdvance(LiborCalendar,Y528,X529,"f",FALSE)</f>
        <v>42873</v>
      </c>
      <c r="Z529" s="171">
        <f>_xll.qlInterestRateIndexValueDate(IborIndex,Y529,Trigger)</f>
        <v>42877</v>
      </c>
      <c r="AA529" s="172">
        <v>-4.6621978629701744E-3</v>
      </c>
      <c r="AB529" s="169">
        <v>-4.8434944688580117E-3</v>
      </c>
    </row>
    <row r="530" spans="20:28" x14ac:dyDescent="0.2">
      <c r="T530" s="130"/>
      <c r="U530" s="151"/>
      <c r="X530" s="170" t="str">
        <f t="shared" si="16"/>
        <v>1D</v>
      </c>
      <c r="Y530" s="168">
        <f>_xll.qlCalendarAdvance(LiborCalendar,Y529,X530,"f",FALSE)</f>
        <v>42874</v>
      </c>
      <c r="Z530" s="171">
        <f>_xll.qlInterestRateIndexValueDate(IborIndex,Y530,Trigger)</f>
        <v>42878</v>
      </c>
      <c r="AA530" s="172">
        <v>-4.658176069859893E-3</v>
      </c>
      <c r="AB530" s="169">
        <v>-4.8385091891089971E-3</v>
      </c>
    </row>
    <row r="531" spans="20:28" x14ac:dyDescent="0.2">
      <c r="T531" s="130"/>
      <c r="U531" s="151"/>
      <c r="X531" s="170" t="str">
        <f t="shared" si="16"/>
        <v>1D</v>
      </c>
      <c r="Y531" s="168">
        <f>_xll.qlCalendarAdvance(LiborCalendar,Y530,X531,"f",FALSE)</f>
        <v>42877</v>
      </c>
      <c r="Z531" s="171">
        <f>_xll.qlInterestRateIndexValueDate(IborIndex,Y531,Trigger)</f>
        <v>42879</v>
      </c>
      <c r="AA531" s="172">
        <v>-4.6541564111175111E-3</v>
      </c>
      <c r="AB531" s="169">
        <v>-4.8336009642024891E-3</v>
      </c>
    </row>
    <row r="532" spans="20:28" x14ac:dyDescent="0.2">
      <c r="T532" s="130"/>
      <c r="U532" s="151"/>
      <c r="X532" s="170" t="str">
        <f t="shared" si="16"/>
        <v>1D</v>
      </c>
      <c r="Y532" s="168">
        <f>_xll.qlCalendarAdvance(LiborCalendar,Y531,X532,"f",FALSE)</f>
        <v>42878</v>
      </c>
      <c r="Z532" s="171">
        <f>_xll.qlInterestRateIndexValueDate(IborIndex,Y532,Trigger)</f>
        <v>42881</v>
      </c>
      <c r="AA532" s="172">
        <v>-4.6397218720293466E-3</v>
      </c>
      <c r="AB532" s="169">
        <v>-4.8169804599296207E-3</v>
      </c>
    </row>
    <row r="533" spans="20:28" x14ac:dyDescent="0.2">
      <c r="T533" s="130"/>
      <c r="U533" s="151"/>
      <c r="X533" s="170" t="str">
        <f t="shared" ref="X533:X596" si="17">X532</f>
        <v>1D</v>
      </c>
      <c r="Y533" s="168">
        <f>_xll.qlCalendarAdvance(LiborCalendar,Y532,X533,"f",FALSE)</f>
        <v>42879</v>
      </c>
      <c r="Z533" s="171">
        <f>_xll.qlInterestRateIndexValueDate(IborIndex,Y533,Trigger)</f>
        <v>42881</v>
      </c>
      <c r="AA533" s="172">
        <v>-4.6397218720293466E-3</v>
      </c>
      <c r="AB533" s="169">
        <v>-4.8169804599296207E-3</v>
      </c>
    </row>
    <row r="534" spans="20:28" x14ac:dyDescent="0.2">
      <c r="T534" s="130"/>
      <c r="U534" s="151"/>
      <c r="X534" s="170" t="str">
        <f t="shared" si="17"/>
        <v>1D</v>
      </c>
      <c r="Y534" s="168">
        <f>_xll.qlCalendarAdvance(LiborCalendar,Y533,X534,"f",FALSE)</f>
        <v>42880</v>
      </c>
      <c r="Z534" s="171">
        <f>_xll.qlInterestRateIndexValueDate(IborIndex,Y534,Trigger)</f>
        <v>42885</v>
      </c>
      <c r="AA534" s="172">
        <v>-4.6300225522214033E-3</v>
      </c>
      <c r="AB534" s="169">
        <v>-4.8057697667358568E-3</v>
      </c>
    </row>
    <row r="535" spans="20:28" x14ac:dyDescent="0.2">
      <c r="T535" s="130"/>
      <c r="U535" s="151"/>
      <c r="X535" s="170" t="str">
        <f t="shared" si="17"/>
        <v>1D</v>
      </c>
      <c r="Y535" s="168">
        <f>_xll.qlCalendarAdvance(LiborCalendar,Y534,X535,"f",FALSE)</f>
        <v>42881</v>
      </c>
      <c r="Z535" s="171">
        <f>_xll.qlInterestRateIndexValueDate(IborIndex,Y535,Trigger)</f>
        <v>42886</v>
      </c>
      <c r="AA535" s="172">
        <v>-4.6259874698740197E-3</v>
      </c>
      <c r="AB535" s="169">
        <v>-4.8014009258467993E-3</v>
      </c>
    </row>
    <row r="536" spans="20:28" x14ac:dyDescent="0.2">
      <c r="T536" s="130"/>
      <c r="U536" s="151"/>
      <c r="X536" s="170" t="str">
        <f t="shared" si="17"/>
        <v>1D</v>
      </c>
      <c r="Y536" s="168">
        <f>_xll.qlCalendarAdvance(LiborCalendar,Y535,X536,"f",FALSE)</f>
        <v>42885</v>
      </c>
      <c r="Z536" s="171">
        <f>_xll.qlInterestRateIndexValueDate(IborIndex,Y536,Trigger)</f>
        <v>42887</v>
      </c>
      <c r="AA536" s="172">
        <v>-4.6219458463598977E-3</v>
      </c>
      <c r="AB536" s="169">
        <v>-4.7971091398402166E-3</v>
      </c>
    </row>
    <row r="537" spans="20:28" x14ac:dyDescent="0.2">
      <c r="T537" s="130"/>
      <c r="U537" s="151"/>
      <c r="X537" s="170" t="s">
        <v>149</v>
      </c>
      <c r="Y537" s="168">
        <f>_xll.qlCalendarAdvance(LiborCalendar,Y536,X537,"f",FALSE)</f>
        <v>42892</v>
      </c>
      <c r="Z537" s="171">
        <f>_xll.qlInterestRateIndexValueDate(IborIndex,Y537,Trigger)</f>
        <v>42894</v>
      </c>
      <c r="AA537" s="172">
        <v>-4.5933802337111184E-3</v>
      </c>
      <c r="AB537" s="169">
        <v>-4.7692241740238117E-3</v>
      </c>
    </row>
    <row r="538" spans="20:28" x14ac:dyDescent="0.2">
      <c r="T538" s="130"/>
      <c r="U538" s="151"/>
      <c r="X538" s="170" t="str">
        <f t="shared" si="17"/>
        <v>1w</v>
      </c>
      <c r="Y538" s="168">
        <f>_xll.qlCalendarAdvance(LiborCalendar,Y537,X538,"f",FALSE)</f>
        <v>42899</v>
      </c>
      <c r="Z538" s="171">
        <f>_xll.qlInterestRateIndexValueDate(IborIndex,Y538,Trigger)</f>
        <v>42901</v>
      </c>
      <c r="AA538" s="172">
        <v>-4.5640689875400221E-3</v>
      </c>
      <c r="AB538" s="169">
        <v>-4.745098250165114E-3</v>
      </c>
    </row>
    <row r="539" spans="20:28" x14ac:dyDescent="0.2">
      <c r="T539" s="130"/>
      <c r="U539" s="151"/>
      <c r="X539" s="170" t="str">
        <f t="shared" si="17"/>
        <v>1w</v>
      </c>
      <c r="Y539" s="168">
        <f>_xll.qlCalendarAdvance(LiborCalendar,Y538,X539,"f",FALSE)</f>
        <v>42906</v>
      </c>
      <c r="Z539" s="171">
        <f>_xll.qlInterestRateIndexValueDate(IborIndex,Y539,Trigger)</f>
        <v>42908</v>
      </c>
      <c r="AA539" s="172">
        <v>-4.5337021148001595E-3</v>
      </c>
      <c r="AB539" s="169">
        <v>-4.7219678780274776E-3</v>
      </c>
    </row>
    <row r="540" spans="20:28" x14ac:dyDescent="0.2">
      <c r="T540" s="130"/>
      <c r="U540" s="151"/>
      <c r="X540" s="170" t="str">
        <f t="shared" si="17"/>
        <v>1w</v>
      </c>
      <c r="Y540" s="168">
        <f>_xll.qlCalendarAdvance(LiborCalendar,Y539,X540,"f",FALSE)</f>
        <v>42913</v>
      </c>
      <c r="Z540" s="171">
        <f>_xll.qlInterestRateIndexValueDate(IborIndex,Y540,Trigger)</f>
        <v>42915</v>
      </c>
      <c r="AA540" s="172">
        <v>-4.5022175951339848E-3</v>
      </c>
      <c r="AB540" s="169">
        <v>-4.6977188208652265E-3</v>
      </c>
    </row>
    <row r="541" spans="20:28" x14ac:dyDescent="0.2">
      <c r="T541" s="130"/>
      <c r="U541" s="151"/>
      <c r="X541" s="170" t="str">
        <f t="shared" si="17"/>
        <v>1w</v>
      </c>
      <c r="Y541" s="168">
        <f>_xll.qlCalendarAdvance(LiborCalendar,Y540,X541,"f",FALSE)</f>
        <v>42920</v>
      </c>
      <c r="Z541" s="171">
        <f>_xll.qlInterestRateIndexValueDate(IborIndex,Y541,Trigger)</f>
        <v>42922</v>
      </c>
      <c r="AA541" s="172">
        <v>-4.4696154015335379E-3</v>
      </c>
      <c r="AB541" s="169">
        <v>-4.6723510781188082E-3</v>
      </c>
    </row>
    <row r="542" spans="20:28" x14ac:dyDescent="0.2">
      <c r="T542" s="130"/>
      <c r="U542" s="151"/>
      <c r="X542" s="170" t="str">
        <f t="shared" si="17"/>
        <v>1w</v>
      </c>
      <c r="Y542" s="168">
        <f>_xll.qlCalendarAdvance(LiborCalendar,Y541,X542,"f",FALSE)</f>
        <v>42927</v>
      </c>
      <c r="Z542" s="171">
        <f>_xll.qlInterestRateIndexValueDate(IborIndex,Y542,Trigger)</f>
        <v>42929</v>
      </c>
      <c r="AA542" s="172">
        <v>-4.435895506036837E-3</v>
      </c>
      <c r="AB542" s="169">
        <v>-4.6458646498281908E-3</v>
      </c>
    </row>
    <row r="543" spans="20:28" x14ac:dyDescent="0.2">
      <c r="T543" s="130"/>
      <c r="U543" s="151"/>
      <c r="X543" s="170" t="str">
        <f t="shared" si="17"/>
        <v>1w</v>
      </c>
      <c r="Y543" s="168">
        <f>_xll.qlCalendarAdvance(LiborCalendar,Y542,X543,"f",FALSE)</f>
        <v>42934</v>
      </c>
      <c r="Z543" s="171">
        <f>_xll.qlInterestRateIndexValueDate(IborIndex,Y543,Trigger)</f>
        <v>42936</v>
      </c>
      <c r="AA543" s="172">
        <v>-4.4010578797204977E-3</v>
      </c>
      <c r="AB543" s="169">
        <v>-4.61825953567363E-3</v>
      </c>
    </row>
    <row r="544" spans="20:28" x14ac:dyDescent="0.2">
      <c r="T544" s="130"/>
      <c r="U544" s="151"/>
      <c r="X544" s="170" t="str">
        <f t="shared" si="17"/>
        <v>1w</v>
      </c>
      <c r="Y544" s="168">
        <f>_xll.qlCalendarAdvance(LiborCalendar,Y543,X544,"f",FALSE)</f>
        <v>42941</v>
      </c>
      <c r="Z544" s="171">
        <f>_xll.qlInterestRateIndexValueDate(IborIndex,Y544,Trigger)</f>
        <v>42943</v>
      </c>
      <c r="AA544" s="172">
        <v>-4.3651024927014665E-3</v>
      </c>
      <c r="AB544" s="169">
        <v>-4.5895357352954136E-3</v>
      </c>
    </row>
    <row r="545" spans="20:28" x14ac:dyDescent="0.2">
      <c r="T545" s="130"/>
      <c r="U545" s="151"/>
      <c r="X545" s="170" t="str">
        <f t="shared" si="17"/>
        <v>1w</v>
      </c>
      <c r="Y545" s="168">
        <f>_xll.qlCalendarAdvance(LiborCalendar,Y544,X545,"f",FALSE)</f>
        <v>42948</v>
      </c>
      <c r="Z545" s="171">
        <f>_xll.qlInterestRateIndexValueDate(IborIndex,Y545,Trigger)</f>
        <v>42950</v>
      </c>
      <c r="AA545" s="172">
        <v>-4.3280293141400661E-3</v>
      </c>
      <c r="AB545" s="169">
        <v>-4.5596932486136055E-3</v>
      </c>
    </row>
    <row r="546" spans="20:28" x14ac:dyDescent="0.2">
      <c r="T546" s="130"/>
      <c r="U546" s="151"/>
      <c r="X546" s="170" t="str">
        <f t="shared" si="17"/>
        <v>1w</v>
      </c>
      <c r="Y546" s="168">
        <f>_xll.qlCalendarAdvance(LiborCalendar,Y545,X546,"f",FALSE)</f>
        <v>42955</v>
      </c>
      <c r="Z546" s="171">
        <f>_xll.qlInterestRateIndexValueDate(IborIndex,Y546,Trigger)</f>
        <v>42957</v>
      </c>
      <c r="AA546" s="172">
        <v>-4.2898383122369488E-3</v>
      </c>
      <c r="AB546" s="169">
        <v>-4.5287320751885574E-3</v>
      </c>
    </row>
    <row r="547" spans="20:28" x14ac:dyDescent="0.2">
      <c r="T547" s="130"/>
      <c r="U547" s="151"/>
      <c r="X547" s="170" t="str">
        <f t="shared" si="17"/>
        <v>1w</v>
      </c>
      <c r="Y547" s="168">
        <f>_xll.qlCalendarAdvance(LiborCalendar,Y546,X547,"f",FALSE)</f>
        <v>42962</v>
      </c>
      <c r="Z547" s="171">
        <f>_xll.qlInterestRateIndexValueDate(IborIndex,Y547,Trigger)</f>
        <v>42964</v>
      </c>
      <c r="AA547" s="172">
        <v>-4.2505294542309318E-3</v>
      </c>
      <c r="AB547" s="169">
        <v>-4.496652214740493E-3</v>
      </c>
    </row>
    <row r="548" spans="20:28" x14ac:dyDescent="0.2">
      <c r="T548" s="130"/>
      <c r="U548" s="151"/>
      <c r="X548" s="170" t="str">
        <f t="shared" si="17"/>
        <v>1w</v>
      </c>
      <c r="Y548" s="168">
        <f>_xll.qlCalendarAdvance(LiborCalendar,Y547,X548,"f",FALSE)</f>
        <v>42969</v>
      </c>
      <c r="Z548" s="171">
        <f>_xll.qlInterestRateIndexValueDate(IborIndex,Y548,Trigger)</f>
        <v>42971</v>
      </c>
      <c r="AA548" s="172">
        <v>-4.2101027064068083E-3</v>
      </c>
      <c r="AB548" s="169">
        <v>-4.4634536671095404E-3</v>
      </c>
    </row>
    <row r="549" spans="20:28" x14ac:dyDescent="0.2">
      <c r="T549" s="130"/>
      <c r="U549" s="151"/>
      <c r="X549" s="170" t="str">
        <f t="shared" si="17"/>
        <v>1w</v>
      </c>
      <c r="Y549" s="168">
        <f>_xll.qlCalendarAdvance(LiborCalendar,Y548,X549,"f",FALSE)</f>
        <v>42976</v>
      </c>
      <c r="Z549" s="171">
        <f>_xll.qlInterestRateIndexValueDate(IborIndex,Y549,Trigger)</f>
        <v>42978</v>
      </c>
      <c r="AA549" s="172">
        <v>-4.171760663080868E-3</v>
      </c>
      <c r="AB549" s="169">
        <v>-4.4291364318160831E-3</v>
      </c>
    </row>
    <row r="550" spans="20:28" x14ac:dyDescent="0.2">
      <c r="T550" s="130"/>
      <c r="U550" s="151"/>
      <c r="X550" s="170" t="str">
        <f t="shared" si="17"/>
        <v>1w</v>
      </c>
      <c r="Y550" s="168">
        <f>_xll.qlCalendarAdvance(LiborCalendar,Y549,X550,"f",FALSE)</f>
        <v>42983</v>
      </c>
      <c r="Z550" s="171">
        <f>_xll.qlInterestRateIndexValueDate(IborIndex,Y550,Trigger)</f>
        <v>42985</v>
      </c>
      <c r="AA550" s="172">
        <v>-4.1291773968191326E-3</v>
      </c>
      <c r="AB550" s="169">
        <v>-4.393700508700249E-3</v>
      </c>
    </row>
    <row r="551" spans="20:28" x14ac:dyDescent="0.2">
      <c r="T551" s="130"/>
      <c r="U551" s="151"/>
      <c r="X551" s="170" t="str">
        <f t="shared" si="17"/>
        <v>1w</v>
      </c>
      <c r="Y551" s="168">
        <f>_xll.qlCalendarAdvance(LiborCalendar,Y550,X551,"f",FALSE)</f>
        <v>42990</v>
      </c>
      <c r="Z551" s="171">
        <f>_xll.qlInterestRateIndexValueDate(IborIndex,Y551,Trigger)</f>
        <v>42992</v>
      </c>
      <c r="AA551" s="172">
        <v>-4.0854761288696851E-3</v>
      </c>
      <c r="AB551" s="169">
        <v>-4.3571458972824217E-3</v>
      </c>
    </row>
    <row r="552" spans="20:28" x14ac:dyDescent="0.2">
      <c r="T552" s="130"/>
      <c r="U552" s="151"/>
      <c r="X552" s="170" t="str">
        <f t="shared" si="17"/>
        <v>1w</v>
      </c>
      <c r="Y552" s="168">
        <f>_xll.qlCalendarAdvance(LiborCalendar,Y551,X552,"f",FALSE)</f>
        <v>42997</v>
      </c>
      <c r="Z552" s="171">
        <f>_xll.qlInterestRateIndexValueDate(IborIndex,Y552,Trigger)</f>
        <v>42999</v>
      </c>
      <c r="AA552" s="172">
        <v>-4.0406568221544948E-3</v>
      </c>
      <c r="AB552" s="169">
        <v>-4.3194725972828252E-3</v>
      </c>
    </row>
    <row r="553" spans="20:28" x14ac:dyDescent="0.2">
      <c r="T553" s="130"/>
      <c r="U553" s="151"/>
      <c r="X553" s="170" t="str">
        <f t="shared" si="17"/>
        <v>1w</v>
      </c>
      <c r="Y553" s="168">
        <f>_xll.qlCalendarAdvance(LiborCalendar,Y552,X553,"f",FALSE)</f>
        <v>43004</v>
      </c>
      <c r="Z553" s="171">
        <f>_xll.qlInterestRateIndexValueDate(IborIndex,Y553,Trigger)</f>
        <v>43006</v>
      </c>
      <c r="AA553" s="172">
        <v>-3.9947194386459562E-3</v>
      </c>
      <c r="AB553" s="169">
        <v>-4.280680608381715E-3</v>
      </c>
    </row>
    <row r="554" spans="20:28" x14ac:dyDescent="0.2">
      <c r="T554" s="130"/>
      <c r="U554" s="151"/>
      <c r="X554" s="170" t="str">
        <f t="shared" si="17"/>
        <v>1w</v>
      </c>
      <c r="Y554" s="168">
        <f>_xll.qlCalendarAdvance(LiborCalendar,Y553,X554,"f",FALSE)</f>
        <v>43011</v>
      </c>
      <c r="Z554" s="171">
        <f>_xll.qlInterestRateIndexValueDate(IborIndex,Y554,Trigger)</f>
        <v>43013</v>
      </c>
      <c r="AA554" s="172">
        <v>-3.9440645241889637E-3</v>
      </c>
      <c r="AB554" s="169">
        <v>-4.240769930139443E-3</v>
      </c>
    </row>
    <row r="555" spans="20:28" x14ac:dyDescent="0.2">
      <c r="T555" s="130"/>
      <c r="U555" s="151"/>
      <c r="X555" s="170" t="str">
        <f t="shared" si="17"/>
        <v>1w</v>
      </c>
      <c r="Y555" s="168">
        <f>_xll.qlCalendarAdvance(LiborCalendar,Y554,X555,"f",FALSE)</f>
        <v>43018</v>
      </c>
      <c r="Z555" s="171">
        <f>_xll.qlInterestRateIndexValueDate(IborIndex,Y555,Trigger)</f>
        <v>43020</v>
      </c>
      <c r="AA555" s="172">
        <v>-3.8958115229525488E-3</v>
      </c>
      <c r="AB555" s="169">
        <v>-4.1997405622362649E-3</v>
      </c>
    </row>
    <row r="556" spans="20:28" x14ac:dyDescent="0.2">
      <c r="T556" s="130"/>
      <c r="U556" s="151"/>
      <c r="X556" s="170" t="str">
        <f t="shared" si="17"/>
        <v>1w</v>
      </c>
      <c r="Y556" s="168">
        <f>_xll.qlCalendarAdvance(LiborCalendar,Y555,X556,"f",FALSE)</f>
        <v>43025</v>
      </c>
      <c r="Z556" s="171">
        <f>_xll.qlInterestRateIndexValueDate(IborIndex,Y556,Trigger)</f>
        <v>43027</v>
      </c>
      <c r="AA556" s="172">
        <v>-3.8464403276205557E-3</v>
      </c>
      <c r="AB556" s="169">
        <v>-4.1575925043524364E-3</v>
      </c>
    </row>
    <row r="557" spans="20:28" x14ac:dyDescent="0.2">
      <c r="T557" s="130"/>
      <c r="U557" s="151"/>
      <c r="X557" s="170" t="str">
        <f t="shared" si="17"/>
        <v>1w</v>
      </c>
      <c r="Y557" s="168">
        <f>_xll.qlCalendarAdvance(LiborCalendar,Y556,X557,"f",FALSE)</f>
        <v>43032</v>
      </c>
      <c r="Z557" s="171">
        <f>_xll.qlInterestRateIndexValueDate(IborIndex,Y557,Trigger)</f>
        <v>43034</v>
      </c>
      <c r="AA557" s="172">
        <v>-3.7959508958407759E-3</v>
      </c>
      <c r="AB557" s="169">
        <v>-4.1143257560483093E-3</v>
      </c>
    </row>
    <row r="558" spans="20:28" x14ac:dyDescent="0.2">
      <c r="T558" s="130"/>
      <c r="U558" s="151"/>
      <c r="X558" s="170" t="str">
        <f t="shared" si="17"/>
        <v>1w</v>
      </c>
      <c r="Y558" s="168">
        <f>_xll.qlCalendarAdvance(LiborCalendar,Y557,X558,"f",FALSE)</f>
        <v>43039</v>
      </c>
      <c r="Z558" s="171">
        <f>_xll.qlInterestRateIndexValueDate(IborIndex,Y558,Trigger)</f>
        <v>43041</v>
      </c>
      <c r="AA558" s="172">
        <v>-3.7443431843004644E-3</v>
      </c>
      <c r="AB558" s="169">
        <v>-4.0699403168842352E-3</v>
      </c>
    </row>
    <row r="559" spans="20:28" x14ac:dyDescent="0.2">
      <c r="T559" s="130"/>
      <c r="U559" s="151"/>
      <c r="X559" s="170" t="str">
        <f t="shared" si="17"/>
        <v>1w</v>
      </c>
      <c r="Y559" s="168">
        <f>_xll.qlCalendarAdvance(LiborCalendar,Y558,X559,"f",FALSE)</f>
        <v>43046</v>
      </c>
      <c r="Z559" s="171">
        <f>_xll.qlInterestRateIndexValueDate(IborIndex,Y559,Trigger)</f>
        <v>43048</v>
      </c>
      <c r="AA559" s="172">
        <v>-3.6916171487293816E-3</v>
      </c>
      <c r="AB559" s="169">
        <v>-4.0244361865005018E-3</v>
      </c>
    </row>
    <row r="560" spans="20:28" x14ac:dyDescent="0.2">
      <c r="T560" s="130"/>
      <c r="U560" s="151"/>
      <c r="X560" s="170" t="str">
        <f t="shared" si="17"/>
        <v>1w</v>
      </c>
      <c r="Y560" s="168">
        <f>_xll.qlCalendarAdvance(LiborCalendar,Y559,X560,"f",FALSE)</f>
        <v>43053</v>
      </c>
      <c r="Z560" s="171">
        <f>_xll.qlInterestRateIndexValueDate(IborIndex,Y560,Trigger)</f>
        <v>43055</v>
      </c>
      <c r="AA560" s="172">
        <v>-3.6377727438963174E-3</v>
      </c>
      <c r="AB560" s="169">
        <v>-3.9778133643775249E-3</v>
      </c>
    </row>
    <row r="561" spans="20:28" x14ac:dyDescent="0.2">
      <c r="T561" s="130"/>
      <c r="U561" s="151"/>
      <c r="X561" s="170" t="str">
        <f t="shared" si="17"/>
        <v>1w</v>
      </c>
      <c r="Y561" s="168">
        <f>_xll.qlCalendarAdvance(LiborCalendar,Y560,X561,"f",FALSE)</f>
        <v>43060</v>
      </c>
      <c r="Z561" s="171">
        <f>_xll.qlInterestRateIndexValueDate(IborIndex,Y561,Trigger)</f>
        <v>43062</v>
      </c>
      <c r="AA561" s="172">
        <v>-3.5828099236103945E-3</v>
      </c>
      <c r="AB561" s="169">
        <v>-3.930071850115624E-3</v>
      </c>
    </row>
    <row r="562" spans="20:28" x14ac:dyDescent="0.2">
      <c r="T562" s="130"/>
      <c r="U562" s="151"/>
      <c r="X562" s="170" t="str">
        <f t="shared" si="17"/>
        <v>1w</v>
      </c>
      <c r="Y562" s="168">
        <f>_xll.qlCalendarAdvance(LiborCalendar,Y561,X562,"f",FALSE)</f>
        <v>43067</v>
      </c>
      <c r="Z562" s="171">
        <f>_xll.qlInterestRateIndexValueDate(IborIndex,Y562,Trigger)</f>
        <v>43069</v>
      </c>
      <c r="AA562" s="172">
        <v>-3.535189408085504E-3</v>
      </c>
      <c r="AB562" s="169">
        <v>-3.8812116433550869E-3</v>
      </c>
    </row>
    <row r="563" spans="20:28" x14ac:dyDescent="0.2">
      <c r="T563" s="130"/>
      <c r="U563" s="151"/>
      <c r="X563" s="170" t="str">
        <f t="shared" si="17"/>
        <v>1w</v>
      </c>
      <c r="Y563" s="168">
        <f>_xll.qlCalendarAdvance(LiborCalendar,Y562,X563,"f",FALSE)</f>
        <v>43074</v>
      </c>
      <c r="Z563" s="171">
        <f>_xll.qlInterestRateIndexValueDate(IborIndex,Y563,Trigger)</f>
        <v>43076</v>
      </c>
      <c r="AA563" s="172">
        <v>-3.4781482980319467E-3</v>
      </c>
      <c r="AB563" s="169">
        <v>-3.8312327434963933E-3</v>
      </c>
    </row>
    <row r="564" spans="20:28" x14ac:dyDescent="0.2">
      <c r="T564" s="130"/>
      <c r="U564" s="151"/>
      <c r="X564" s="170" t="str">
        <f t="shared" si="17"/>
        <v>1w</v>
      </c>
      <c r="Y564" s="168">
        <f>_xll.qlCalendarAdvance(LiborCalendar,Y563,X564,"f",FALSE)</f>
        <v>43081</v>
      </c>
      <c r="Z564" s="171">
        <f>_xll.qlInterestRateIndexValueDate(IborIndex,Y564,Trigger)</f>
        <v>43083</v>
      </c>
      <c r="AA564" s="172">
        <v>-3.419988632189952E-3</v>
      </c>
      <c r="AB564" s="169">
        <v>-3.7801351502197988E-3</v>
      </c>
    </row>
    <row r="565" spans="20:28" x14ac:dyDescent="0.2">
      <c r="T565" s="130"/>
      <c r="U565" s="151"/>
      <c r="X565" s="170" t="str">
        <f t="shared" si="17"/>
        <v>1w</v>
      </c>
      <c r="Y565" s="168">
        <f>_xll.qlCalendarAdvance(LiborCalendar,Y564,X565,"f",FALSE)</f>
        <v>43088</v>
      </c>
      <c r="Z565" s="171">
        <f>_xll.qlInterestRateIndexValueDate(IborIndex,Y565,Trigger)</f>
        <v>43090</v>
      </c>
      <c r="AA565" s="172">
        <v>-3.3607103617470102E-3</v>
      </c>
      <c r="AB565" s="169">
        <v>-3.7279188630856552E-3</v>
      </c>
    </row>
    <row r="566" spans="20:28" x14ac:dyDescent="0.2">
      <c r="T566" s="130"/>
      <c r="U566" s="151"/>
      <c r="X566" s="170" t="str">
        <f t="shared" si="17"/>
        <v>1w</v>
      </c>
      <c r="Y566" s="168">
        <f>_xll.qlCalendarAdvance(LiborCalendar,Y565,X566,"f",FALSE)</f>
        <v>43096</v>
      </c>
      <c r="Z566" s="171">
        <f>_xll.qlInterestRateIndexValueDate(IborIndex,Y566,Trigger)</f>
        <v>43098</v>
      </c>
      <c r="AA566" s="172">
        <v>-3.2915939831741348E-3</v>
      </c>
      <c r="AB566" s="169">
        <v>-3.655194622536051E-3</v>
      </c>
    </row>
    <row r="567" spans="20:28" x14ac:dyDescent="0.2">
      <c r="T567" s="130"/>
      <c r="U567" s="151"/>
      <c r="X567" s="170" t="str">
        <f t="shared" si="17"/>
        <v>1w</v>
      </c>
      <c r="Y567" s="168">
        <f>_xll.qlCalendarAdvance(LiborCalendar,Y566,X567,"f",FALSE)</f>
        <v>43103</v>
      </c>
      <c r="Z567" s="171">
        <f>_xll.qlInterestRateIndexValueDate(IborIndex,Y567,Trigger)</f>
        <v>43105</v>
      </c>
      <c r="AA567" s="172">
        <v>-3.2299185341475578E-3</v>
      </c>
      <c r="AB567" s="169">
        <v>-3.6043228395499227E-3</v>
      </c>
    </row>
    <row r="568" spans="20:28" x14ac:dyDescent="0.2">
      <c r="T568" s="130"/>
      <c r="U568" s="151"/>
      <c r="X568" s="170" t="str">
        <f t="shared" si="17"/>
        <v>1w</v>
      </c>
      <c r="Y568" s="168">
        <f>_xll.qlCalendarAdvance(LiborCalendar,Y567,X568,"f",FALSE)</f>
        <v>43110</v>
      </c>
      <c r="Z568" s="171">
        <f>_xll.qlInterestRateIndexValueDate(IborIndex,Y568,Trigger)</f>
        <v>43112</v>
      </c>
      <c r="AA568" s="172">
        <v>-3.1671243210018574E-3</v>
      </c>
      <c r="AB568" s="169">
        <v>-3.5484319506196016E-3</v>
      </c>
    </row>
    <row r="569" spans="20:28" x14ac:dyDescent="0.2">
      <c r="T569" s="130"/>
      <c r="U569" s="151"/>
      <c r="X569" s="170" t="str">
        <f t="shared" si="17"/>
        <v>1w</v>
      </c>
      <c r="Y569" s="168">
        <f>_xll.qlCalendarAdvance(LiborCalendar,Y568,X569,"f",FALSE)</f>
        <v>43117</v>
      </c>
      <c r="Z569" s="171">
        <f>_xll.qlInterestRateIndexValueDate(IborIndex,Y569,Trigger)</f>
        <v>43119</v>
      </c>
      <c r="AA569" s="172">
        <v>-3.1032112910382992E-3</v>
      </c>
      <c r="AB569" s="169">
        <v>-3.4914223699500369E-3</v>
      </c>
    </row>
    <row r="570" spans="20:28" x14ac:dyDescent="0.2">
      <c r="T570" s="130"/>
      <c r="U570" s="151"/>
      <c r="X570" s="170" t="str">
        <f t="shared" si="17"/>
        <v>1w</v>
      </c>
      <c r="Y570" s="168">
        <f>_xll.qlCalendarAdvance(LiborCalendar,Y569,X570,"f",FALSE)</f>
        <v>43124</v>
      </c>
      <c r="Z570" s="171">
        <f>_xll.qlInterestRateIndexValueDate(IborIndex,Y570,Trigger)</f>
        <v>43126</v>
      </c>
      <c r="AA570" s="172">
        <v>-3.0381793906144594E-3</v>
      </c>
      <c r="AB570" s="169">
        <v>-3.4332940959025393E-3</v>
      </c>
    </row>
    <row r="571" spans="20:28" x14ac:dyDescent="0.2">
      <c r="T571" s="130"/>
      <c r="U571" s="151"/>
      <c r="X571" s="170" t="str">
        <f t="shared" si="17"/>
        <v>1w</v>
      </c>
      <c r="Y571" s="168">
        <f>_xll.qlCalendarAdvance(LiborCalendar,Y570,X571,"f",FALSE)</f>
        <v>43131</v>
      </c>
      <c r="Z571" s="171">
        <f>_xll.qlInterestRateIndexValueDate(IborIndex,Y571,Trigger)</f>
        <v>43133</v>
      </c>
      <c r="AA571" s="172">
        <v>-2.9769731956642326E-3</v>
      </c>
      <c r="AB571" s="169">
        <v>-3.3740471268517425E-3</v>
      </c>
    </row>
    <row r="572" spans="20:28" x14ac:dyDescent="0.2">
      <c r="T572" s="130"/>
      <c r="U572" s="151"/>
      <c r="X572" s="170" t="str">
        <f t="shared" si="17"/>
        <v>1w</v>
      </c>
      <c r="Y572" s="168">
        <f>_xll.qlCalendarAdvance(LiborCalendar,Y571,X572,"f",FALSE)</f>
        <v>43138</v>
      </c>
      <c r="Z572" s="171">
        <f>_xll.qlInterestRateIndexValueDate(IborIndex,Y572,Trigger)</f>
        <v>43140</v>
      </c>
      <c r="AA572" s="172">
        <v>-2.9097827719957643E-3</v>
      </c>
      <c r="AB572" s="169">
        <v>-3.3136814611989251E-3</v>
      </c>
    </row>
    <row r="573" spans="20:28" x14ac:dyDescent="0.2">
      <c r="T573" s="130"/>
      <c r="U573" s="151"/>
      <c r="X573" s="170" t="str">
        <f t="shared" si="17"/>
        <v>1w</v>
      </c>
      <c r="Y573" s="168">
        <f>_xll.qlCalendarAdvance(LiborCalendar,Y572,X573,"f",FALSE)</f>
        <v>43145</v>
      </c>
      <c r="Z573" s="171">
        <f>_xll.qlInterestRateIndexValueDate(IborIndex,Y573,Trigger)</f>
        <v>43147</v>
      </c>
      <c r="AA573" s="172">
        <v>-2.8414733733377754E-3</v>
      </c>
      <c r="AB573" s="169">
        <v>-3.2521970971721714E-3</v>
      </c>
    </row>
    <row r="574" spans="20:28" x14ac:dyDescent="0.2">
      <c r="T574" s="130"/>
      <c r="U574" s="151"/>
      <c r="X574" s="170" t="str">
        <f t="shared" si="17"/>
        <v>1w</v>
      </c>
      <c r="Y574" s="168">
        <f>_xll.qlCalendarAdvance(LiborCalendar,Y573,X574,"f",FALSE)</f>
        <v>43152</v>
      </c>
      <c r="Z574" s="171">
        <f>_xll.qlInterestRateIndexValueDate(IborIndex,Y574,Trigger)</f>
        <v>43154</v>
      </c>
      <c r="AA574" s="172">
        <v>-2.7720725349843103E-3</v>
      </c>
      <c r="AB574" s="169">
        <v>-3.1895940331061468E-3</v>
      </c>
    </row>
    <row r="575" spans="20:28" x14ac:dyDescent="0.2">
      <c r="T575" s="130"/>
      <c r="U575" s="151"/>
      <c r="X575" s="170" t="str">
        <f t="shared" si="17"/>
        <v>1w</v>
      </c>
      <c r="Y575" s="168">
        <f>_xll.qlCalendarAdvance(LiborCalendar,Y574,X575,"f",FALSE)</f>
        <v>43159</v>
      </c>
      <c r="Z575" s="171">
        <f>_xll.qlInterestRateIndexValueDate(IborIndex,Y575,Trigger)</f>
        <v>43161</v>
      </c>
      <c r="AA575" s="172">
        <v>-2.6755213100473491E-3</v>
      </c>
      <c r="AB575" s="169">
        <v>-3.1258722672289352E-3</v>
      </c>
    </row>
    <row r="576" spans="20:28" x14ac:dyDescent="0.2">
      <c r="T576" s="130"/>
      <c r="U576" s="151"/>
      <c r="X576" s="170" t="str">
        <f t="shared" si="17"/>
        <v>1w</v>
      </c>
      <c r="Y576" s="168">
        <f>_xll.qlCalendarAdvance(LiborCalendar,Y575,X576,"f",FALSE)</f>
        <v>43166</v>
      </c>
      <c r="Z576" s="171">
        <f>_xll.qlInterestRateIndexValueDate(IborIndex,Y576,Trigger)</f>
        <v>43168</v>
      </c>
      <c r="AA576" s="172">
        <v>-2.6040569619421592E-3</v>
      </c>
      <c r="AB576" s="169">
        <v>-3.0610317977819435E-3</v>
      </c>
    </row>
    <row r="577" spans="20:28" x14ac:dyDescent="0.2">
      <c r="T577" s="130"/>
      <c r="U577" s="151"/>
      <c r="X577" s="170" t="str">
        <f t="shared" si="17"/>
        <v>1w</v>
      </c>
      <c r="Y577" s="168">
        <f>_xll.qlCalendarAdvance(LiborCalendar,Y576,X577,"f",FALSE)</f>
        <v>43173</v>
      </c>
      <c r="Z577" s="171">
        <f>_xll.qlInterestRateIndexValueDate(IborIndex,Y577,Trigger)</f>
        <v>43175</v>
      </c>
      <c r="AA577" s="172">
        <v>-2.5318807469400504E-3</v>
      </c>
      <c r="AB577" s="169">
        <v>-2.9950726229399649E-3</v>
      </c>
    </row>
    <row r="578" spans="20:28" x14ac:dyDescent="0.2">
      <c r="T578" s="130"/>
      <c r="U578" s="151"/>
      <c r="X578" s="170" t="str">
        <f t="shared" si="17"/>
        <v>1w</v>
      </c>
      <c r="Y578" s="168">
        <f>_xll.qlCalendarAdvance(LiborCalendar,Y577,X578,"f",FALSE)</f>
        <v>43180</v>
      </c>
      <c r="Z578" s="171">
        <f>_xll.qlInterestRateIndexValueDate(IborIndex,Y578,Trigger)</f>
        <v>43182</v>
      </c>
      <c r="AA578" s="172">
        <v>-2.4590982558447827E-3</v>
      </c>
      <c r="AB578" s="169">
        <v>-2.9279947408111795E-3</v>
      </c>
    </row>
    <row r="579" spans="20:28" x14ac:dyDescent="0.2">
      <c r="T579" s="130"/>
      <c r="U579" s="151"/>
      <c r="X579" s="170" t="str">
        <f t="shared" si="17"/>
        <v>1w</v>
      </c>
      <c r="Y579" s="168">
        <f>_xll.qlCalendarAdvance(LiborCalendar,Y578,X579,"f",FALSE)</f>
        <v>43187</v>
      </c>
      <c r="Z579" s="171">
        <f>_xll.qlInterestRateIndexValueDate(IborIndex,Y579,Trigger)</f>
        <v>43193</v>
      </c>
      <c r="AA579" s="172">
        <v>-2.3597194871604068E-3</v>
      </c>
      <c r="AB579" s="169">
        <v>-2.830258437613864E-3</v>
      </c>
    </row>
    <row r="580" spans="20:28" x14ac:dyDescent="0.2">
      <c r="T580" s="130"/>
      <c r="U580" s="151"/>
      <c r="X580" s="170" t="str">
        <f t="shared" si="17"/>
        <v>1w</v>
      </c>
      <c r="Y580" s="168">
        <f>_xll.qlCalendarAdvance(LiborCalendar,Y579,X580,"f",FALSE)</f>
        <v>43194</v>
      </c>
      <c r="Z580" s="171">
        <f>_xll.qlInterestRateIndexValueDate(IborIndex,Y580,Trigger)</f>
        <v>43196</v>
      </c>
      <c r="AA580" s="172">
        <v>-2.328098404528519E-3</v>
      </c>
      <c r="AB580" s="169">
        <v>-2.7904828473790388E-3</v>
      </c>
    </row>
    <row r="581" spans="20:28" x14ac:dyDescent="0.2">
      <c r="T581" s="130"/>
      <c r="U581" s="151"/>
      <c r="X581" s="170" t="str">
        <f t="shared" si="17"/>
        <v>1w</v>
      </c>
      <c r="Y581" s="168">
        <f>_xll.qlCalendarAdvance(LiborCalendar,Y580,X581,"f",FALSE)</f>
        <v>43201</v>
      </c>
      <c r="Z581" s="171">
        <f>_xll.qlInterestRateIndexValueDate(IborIndex,Y581,Trigger)</f>
        <v>43203</v>
      </c>
      <c r="AA581" s="172">
        <v>-2.2541101372037971E-3</v>
      </c>
      <c r="AB581" s="169">
        <v>-2.7200488321588168E-3</v>
      </c>
    </row>
    <row r="582" spans="20:28" x14ac:dyDescent="0.2">
      <c r="T582" s="130"/>
      <c r="U582" s="151"/>
      <c r="X582" s="170" t="str">
        <f t="shared" si="17"/>
        <v>1w</v>
      </c>
      <c r="Y582" s="168">
        <f>_xll.qlCalendarAdvance(LiborCalendar,Y581,X582,"f",FALSE)</f>
        <v>43208</v>
      </c>
      <c r="Z582" s="171">
        <f>_xll.qlInterestRateIndexValueDate(IborIndex,Y582,Trigger)</f>
        <v>43210</v>
      </c>
      <c r="AA582" s="172">
        <v>-2.1799221570850801E-3</v>
      </c>
      <c r="AB582" s="169">
        <v>-2.648496102031217E-3</v>
      </c>
    </row>
    <row r="583" spans="20:28" x14ac:dyDescent="0.2">
      <c r="T583" s="130"/>
      <c r="U583" s="151"/>
      <c r="X583" s="170" t="str">
        <f t="shared" si="17"/>
        <v>1w</v>
      </c>
      <c r="Y583" s="168">
        <f>_xll.qlCalendarAdvance(LiborCalendar,Y582,X583,"f",FALSE)</f>
        <v>43215</v>
      </c>
      <c r="Z583" s="171">
        <f>_xll.qlInterestRateIndexValueDate(IborIndex,Y583,Trigger)</f>
        <v>43217</v>
      </c>
      <c r="AA583" s="172">
        <v>-2.1056435783450111E-3</v>
      </c>
      <c r="AB583" s="169">
        <v>-2.5758246549312247E-3</v>
      </c>
    </row>
    <row r="584" spans="20:28" x14ac:dyDescent="0.2">
      <c r="T584" s="130"/>
      <c r="U584" s="151"/>
      <c r="X584" s="170" t="str">
        <f t="shared" si="17"/>
        <v>1w</v>
      </c>
      <c r="Y584" s="168">
        <f>_xll.qlCalendarAdvance(LiborCalendar,Y583,X584,"f",FALSE)</f>
        <v>43222</v>
      </c>
      <c r="Z584" s="171">
        <f>_xll.qlInterestRateIndexValueDate(IborIndex,Y584,Trigger)</f>
        <v>43224</v>
      </c>
      <c r="AA584" s="172">
        <v>-2.0155855847648258E-3</v>
      </c>
      <c r="AB584" s="169">
        <v>-2.4967056379832098E-3</v>
      </c>
    </row>
    <row r="585" spans="20:28" x14ac:dyDescent="0.2">
      <c r="T585" s="130"/>
      <c r="U585" s="151"/>
      <c r="X585" s="170" t="str">
        <f t="shared" si="17"/>
        <v>1w</v>
      </c>
      <c r="Y585" s="168">
        <f>_xll.qlCalendarAdvance(LiborCalendar,Y584,X585,"f",FALSE)</f>
        <v>43229</v>
      </c>
      <c r="Z585" s="171">
        <f>_xll.qlInterestRateIndexValueDate(IborIndex,Y585,Trigger)</f>
        <v>43231</v>
      </c>
      <c r="AA585" s="172">
        <v>-1.941516366830012E-3</v>
      </c>
      <c r="AB585" s="169">
        <v>-2.4271256018071341E-3</v>
      </c>
    </row>
    <row r="586" spans="20:28" x14ac:dyDescent="0.2">
      <c r="T586" s="130"/>
      <c r="U586" s="151"/>
      <c r="X586" s="170" t="str">
        <f t="shared" si="17"/>
        <v>1w</v>
      </c>
      <c r="Y586" s="168">
        <f>_xll.qlCalendarAdvance(LiborCalendar,Y585,X586,"f",FALSE)</f>
        <v>43236</v>
      </c>
      <c r="Z586" s="171">
        <f>_xll.qlInterestRateIndexValueDate(IborIndex,Y586,Trigger)</f>
        <v>43238</v>
      </c>
      <c r="AA586" s="172">
        <v>-1.867684499935297E-3</v>
      </c>
      <c r="AB586" s="169">
        <v>-2.3514021395865115E-3</v>
      </c>
    </row>
    <row r="587" spans="20:28" x14ac:dyDescent="0.2">
      <c r="T587" s="130"/>
      <c r="U587" s="151"/>
      <c r="X587" s="170" t="str">
        <f t="shared" si="17"/>
        <v>1w</v>
      </c>
      <c r="Y587" s="168">
        <f>_xll.qlCalendarAdvance(LiborCalendar,Y586,X587,"f",FALSE)</f>
        <v>43243</v>
      </c>
      <c r="Z587" s="171">
        <f>_xll.qlInterestRateIndexValueDate(IborIndex,Y587,Trigger)</f>
        <v>43245</v>
      </c>
      <c r="AA587" s="172">
        <v>-1.7889511988384492E-3</v>
      </c>
      <c r="AB587" s="169">
        <v>-2.2704894751812699E-3</v>
      </c>
    </row>
    <row r="588" spans="20:28" x14ac:dyDescent="0.2">
      <c r="T588" s="130"/>
      <c r="U588" s="151"/>
      <c r="X588" s="170" t="str">
        <f t="shared" si="17"/>
        <v>1w</v>
      </c>
      <c r="Y588" s="168">
        <f>_xll.qlCalendarAdvance(LiborCalendar,Y587,X588,"f",FALSE)</f>
        <v>43250</v>
      </c>
      <c r="Z588" s="171">
        <f>_xll.qlInterestRateIndexValueDate(IborIndex,Y588,Trigger)</f>
        <v>43252</v>
      </c>
      <c r="AA588" s="172">
        <v>-1.720911578243571E-3</v>
      </c>
      <c r="AB588" s="169">
        <v>-2.2006543504016207E-3</v>
      </c>
    </row>
    <row r="589" spans="20:28" x14ac:dyDescent="0.2">
      <c r="T589" s="130"/>
      <c r="U589" s="151"/>
      <c r="X589" s="170" t="str">
        <f t="shared" si="17"/>
        <v>1w</v>
      </c>
      <c r="Y589" s="168">
        <f>_xll.qlCalendarAdvance(LiborCalendar,Y588,X589,"f",FALSE)</f>
        <v>43257</v>
      </c>
      <c r="Z589" s="171">
        <f>_xll.qlInterestRateIndexValueDate(IborIndex,Y589,Trigger)</f>
        <v>43259</v>
      </c>
      <c r="AA589" s="172">
        <v>-1.6479738433343289E-3</v>
      </c>
      <c r="AB589" s="169">
        <v>-2.1257314071521094E-3</v>
      </c>
    </row>
    <row r="590" spans="20:28" x14ac:dyDescent="0.2">
      <c r="T590" s="130"/>
      <c r="U590" s="151"/>
      <c r="X590" s="170" t="str">
        <f t="shared" si="17"/>
        <v>1w</v>
      </c>
      <c r="Y590" s="168">
        <f>_xll.qlCalendarAdvance(LiborCalendar,Y589,X590,"f",FALSE)</f>
        <v>43264</v>
      </c>
      <c r="Z590" s="171">
        <f>_xll.qlInterestRateIndexValueDate(IborIndex,Y590,Trigger)</f>
        <v>43266</v>
      </c>
      <c r="AA590" s="172">
        <v>-1.5753352819467877E-3</v>
      </c>
      <c r="AB590" s="169">
        <v>-2.0511090989261405E-3</v>
      </c>
    </row>
    <row r="591" spans="20:28" x14ac:dyDescent="0.2">
      <c r="T591" s="130"/>
      <c r="U591" s="151"/>
      <c r="X591" s="170" t="str">
        <f t="shared" si="17"/>
        <v>1w</v>
      </c>
      <c r="Y591" s="168">
        <f>_xll.qlCalendarAdvance(LiborCalendar,Y590,X591,"f",FALSE)</f>
        <v>43271</v>
      </c>
      <c r="Z591" s="171">
        <f>_xll.qlInterestRateIndexValueDate(IborIndex,Y591,Trigger)</f>
        <v>43273</v>
      </c>
      <c r="AA591" s="172">
        <v>-1.5029959111604767E-3</v>
      </c>
      <c r="AB591" s="169">
        <v>-1.9767874262033303E-3</v>
      </c>
    </row>
    <row r="592" spans="20:28" x14ac:dyDescent="0.2">
      <c r="T592" s="130"/>
      <c r="U592" s="151"/>
      <c r="X592" s="170" t="str">
        <f t="shared" si="17"/>
        <v>1w</v>
      </c>
      <c r="Y592" s="168">
        <f>_xll.qlCalendarAdvance(LiborCalendar,Y591,X592,"f",FALSE)</f>
        <v>43278</v>
      </c>
      <c r="Z592" s="171">
        <f>_xll.qlInterestRateIndexValueDate(IborIndex,Y592,Trigger)</f>
        <v>43280</v>
      </c>
      <c r="AA592" s="172">
        <v>-1.4462346003512722E-3</v>
      </c>
      <c r="AB592" s="169">
        <v>-1.9027663896098446E-3</v>
      </c>
    </row>
    <row r="593" spans="20:28" x14ac:dyDescent="0.2">
      <c r="T593" s="130"/>
      <c r="U593" s="151"/>
      <c r="X593" s="170" t="str">
        <f t="shared" si="17"/>
        <v>1w</v>
      </c>
      <c r="Y593" s="168">
        <f>_xll.qlCalendarAdvance(LiborCalendar,Y592,X593,"f",FALSE)</f>
        <v>43285</v>
      </c>
      <c r="Z593" s="171">
        <f>_xll.qlInterestRateIndexValueDate(IborIndex,Y593,Trigger)</f>
        <v>43287</v>
      </c>
      <c r="AA593" s="172">
        <v>-1.3592148093788628E-3</v>
      </c>
      <c r="AB593" s="169">
        <v>-1.8290459896919131E-3</v>
      </c>
    </row>
    <row r="594" spans="20:28" x14ac:dyDescent="0.2">
      <c r="T594" s="130"/>
      <c r="U594" s="151"/>
      <c r="X594" s="170" t="str">
        <f t="shared" si="17"/>
        <v>1w</v>
      </c>
      <c r="Y594" s="168">
        <f>_xll.qlCalendarAdvance(LiborCalendar,Y593,X594,"f",FALSE)</f>
        <v>43292</v>
      </c>
      <c r="Z594" s="171">
        <f>_xll.qlInterestRateIndexValueDate(IborIndex,Y594,Trigger)</f>
        <v>43294</v>
      </c>
      <c r="AA594" s="172">
        <v>-1.2877731121973628E-3</v>
      </c>
      <c r="AB594" s="169">
        <v>-1.7556262269557976E-3</v>
      </c>
    </row>
    <row r="595" spans="20:28" x14ac:dyDescent="0.2">
      <c r="T595" s="130"/>
      <c r="U595" s="151"/>
      <c r="X595" s="170" t="str">
        <f t="shared" si="17"/>
        <v>1w</v>
      </c>
      <c r="Y595" s="168">
        <f>_xll.qlCalendarAdvance(LiborCalendar,Y594,X595,"f",FALSE)</f>
        <v>43299</v>
      </c>
      <c r="Z595" s="171">
        <f>_xll.qlInterestRateIndexValueDate(IborIndex,Y595,Trigger)</f>
        <v>43301</v>
      </c>
      <c r="AA595" s="172">
        <v>-1.2166306732498008E-3</v>
      </c>
      <c r="AB595" s="169">
        <v>-1.6825071019876958E-3</v>
      </c>
    </row>
    <row r="596" spans="20:28" x14ac:dyDescent="0.2">
      <c r="T596" s="130"/>
      <c r="U596" s="151"/>
      <c r="X596" s="170" t="str">
        <f t="shared" si="17"/>
        <v>1w</v>
      </c>
      <c r="Y596" s="168">
        <f>_xll.qlCalendarAdvance(LiborCalendar,Y595,X596,"f",FALSE)</f>
        <v>43306</v>
      </c>
      <c r="Z596" s="171">
        <f>_xll.qlInterestRateIndexValueDate(IborIndex,Y596,Trigger)</f>
        <v>43308</v>
      </c>
      <c r="AA596" s="172">
        <v>-1.1457875092661985E-3</v>
      </c>
      <c r="AB596" s="169">
        <v>-1.6096886153471601E-3</v>
      </c>
    </row>
    <row r="597" spans="20:28" x14ac:dyDescent="0.2">
      <c r="T597" s="130"/>
      <c r="U597" s="151"/>
      <c r="X597" s="170" t="str">
        <f t="shared" ref="X597:X660" si="18">X596</f>
        <v>1w</v>
      </c>
      <c r="Y597" s="168">
        <f>_xll.qlCalendarAdvance(LiborCalendar,Y596,X597,"f",FALSE)</f>
        <v>43313</v>
      </c>
      <c r="Z597" s="171">
        <f>_xll.qlInterestRateIndexValueDate(IborIndex,Y597,Trigger)</f>
        <v>43315</v>
      </c>
      <c r="AA597" s="172">
        <v>-1.0752436369106731E-3</v>
      </c>
      <c r="AB597" s="169">
        <v>-1.5371707675670976E-3</v>
      </c>
    </row>
    <row r="598" spans="20:28" x14ac:dyDescent="0.2">
      <c r="T598" s="130"/>
      <c r="U598" s="151"/>
      <c r="X598" s="170" t="str">
        <f t="shared" si="18"/>
        <v>1w</v>
      </c>
      <c r="Y598" s="168">
        <f>_xll.qlCalendarAdvance(LiborCalendar,Y597,X598,"f",FALSE)</f>
        <v>43320</v>
      </c>
      <c r="Z598" s="171">
        <f>_xll.qlInterestRateIndexValueDate(IborIndex,Y598,Trigger)</f>
        <v>43322</v>
      </c>
      <c r="AA598" s="172">
        <v>-1.004999072774208E-3</v>
      </c>
      <c r="AB598" s="169">
        <v>-1.4649535592070606E-3</v>
      </c>
    </row>
    <row r="599" spans="20:28" x14ac:dyDescent="0.2">
      <c r="T599" s="130"/>
      <c r="U599" s="151"/>
      <c r="X599" s="170" t="str">
        <f t="shared" si="18"/>
        <v>1w</v>
      </c>
      <c r="Y599" s="168">
        <f>_xll.qlCalendarAdvance(LiborCalendar,Y598,X599,"f",FALSE)</f>
        <v>43327</v>
      </c>
      <c r="Z599" s="171">
        <f>_xll.qlInterestRateIndexValueDate(IborIndex,Y599,Trigger)</f>
        <v>43329</v>
      </c>
      <c r="AA599" s="172">
        <v>-9.3505383337933129E-4</v>
      </c>
      <c r="AB599" s="169">
        <v>-1.3930369908132789E-3</v>
      </c>
    </row>
    <row r="600" spans="20:28" x14ac:dyDescent="0.2">
      <c r="T600" s="130"/>
      <c r="U600" s="151"/>
      <c r="X600" s="170" t="str">
        <f t="shared" si="18"/>
        <v>1w</v>
      </c>
      <c r="Y600" s="168">
        <f>_xll.qlCalendarAdvance(LiborCalendar,Y599,X600,"f",FALSE)</f>
        <v>43334</v>
      </c>
      <c r="Z600" s="171">
        <f>_xll.qlInterestRateIndexValueDate(IborIndex,Y600,Trigger)</f>
        <v>43336</v>
      </c>
      <c r="AA600" s="172">
        <v>-8.6540793517586351E-4</v>
      </c>
      <c r="AB600" s="169">
        <v>-1.3163165268381682E-3</v>
      </c>
    </row>
    <row r="601" spans="20:28" x14ac:dyDescent="0.2">
      <c r="T601" s="130"/>
      <c r="U601" s="151"/>
      <c r="X601" s="170" t="str">
        <f t="shared" si="18"/>
        <v>1w</v>
      </c>
      <c r="Y601" s="168">
        <f>_xll.qlCalendarAdvance(LiborCalendar,Y600,X601,"f",FALSE)</f>
        <v>43341</v>
      </c>
      <c r="Z601" s="171">
        <f>_xll.qlInterestRateIndexValueDate(IborIndex,Y601,Trigger)</f>
        <v>43343</v>
      </c>
      <c r="AA601" s="172">
        <v>-8.1075702897699198E-4</v>
      </c>
      <c r="AB601" s="169">
        <v>-1.2501057760161416E-3</v>
      </c>
    </row>
    <row r="602" spans="20:28" x14ac:dyDescent="0.2">
      <c r="T602" s="130"/>
      <c r="U602" s="151"/>
      <c r="X602" s="170" t="str">
        <f t="shared" si="18"/>
        <v>1w</v>
      </c>
      <c r="Y602" s="168">
        <f>_xll.qlCalendarAdvance(LiborCalendar,Y601,X602,"f",FALSE)</f>
        <v>43348</v>
      </c>
      <c r="Z602" s="171">
        <f>_xll.qlInterestRateIndexValueDate(IborIndex,Y602,Trigger)</f>
        <v>43350</v>
      </c>
      <c r="AA602" s="172">
        <v>-7.4164525967392243E-4</v>
      </c>
      <c r="AB602" s="169">
        <v>-1.1790911306919227E-3</v>
      </c>
    </row>
    <row r="603" spans="20:28" x14ac:dyDescent="0.2">
      <c r="T603" s="130"/>
      <c r="U603" s="151"/>
      <c r="X603" s="170" t="str">
        <f t="shared" si="18"/>
        <v>1w</v>
      </c>
      <c r="Y603" s="168">
        <f>_xll.qlCalendarAdvance(LiborCalendar,Y602,X603,"f",FALSE)</f>
        <v>43355</v>
      </c>
      <c r="Z603" s="171">
        <f>_xll.qlInterestRateIndexValueDate(IborIndex,Y603,Trigger)</f>
        <v>43357</v>
      </c>
      <c r="AA603" s="172">
        <v>-6.72832918521259E-4</v>
      </c>
      <c r="AB603" s="169">
        <v>-1.10837712747891E-3</v>
      </c>
    </row>
    <row r="604" spans="20:28" x14ac:dyDescent="0.2">
      <c r="T604" s="130"/>
      <c r="U604" s="151"/>
      <c r="X604" s="170" t="str">
        <f t="shared" si="18"/>
        <v>1w</v>
      </c>
      <c r="Y604" s="168">
        <f>_xll.qlCalendarAdvance(LiborCalendar,Y603,X604,"f",FALSE)</f>
        <v>43362</v>
      </c>
      <c r="Z604" s="171">
        <f>_xll.qlInterestRateIndexValueDate(IborIndex,Y604,Trigger)</f>
        <v>43364</v>
      </c>
      <c r="AA604" s="172">
        <v>-6.0432002119042191E-4</v>
      </c>
      <c r="AB604" s="169">
        <v>-1.0379637668700425E-3</v>
      </c>
    </row>
    <row r="605" spans="20:28" x14ac:dyDescent="0.2">
      <c r="T605" s="130"/>
      <c r="U605" s="151"/>
      <c r="X605" s="170" t="str">
        <f t="shared" si="18"/>
        <v>1w</v>
      </c>
      <c r="Y605" s="168">
        <f>_xll.qlCalendarAdvance(LiborCalendar,Y604,X605,"f",FALSE)</f>
        <v>43369</v>
      </c>
      <c r="Z605" s="171">
        <f>_xll.qlInterestRateIndexValueDate(IborIndex,Y605,Trigger)</f>
        <v>43371</v>
      </c>
      <c r="AA605" s="172">
        <v>-5.2166913292745268E-4</v>
      </c>
      <c r="AB605" s="169">
        <v>-9.6785104945151801E-4</v>
      </c>
    </row>
    <row r="606" spans="20:28" x14ac:dyDescent="0.2">
      <c r="T606" s="130"/>
      <c r="U606" s="151"/>
      <c r="X606" s="170" t="str">
        <f t="shared" si="18"/>
        <v>1w</v>
      </c>
      <c r="Y606" s="168">
        <f>_xll.qlCalendarAdvance(LiborCalendar,Y605,X606,"f",FALSE)</f>
        <v>43376</v>
      </c>
      <c r="Z606" s="171">
        <f>_xll.qlInterestRateIndexValueDate(IborIndex,Y606,Trigger)</f>
        <v>43378</v>
      </c>
      <c r="AA606" s="172">
        <v>-4.5381962342560611E-4</v>
      </c>
      <c r="AB606" s="169">
        <v>-8.980389757429208E-4</v>
      </c>
    </row>
    <row r="607" spans="20:28" x14ac:dyDescent="0.2">
      <c r="T607" s="130"/>
      <c r="U607" s="151"/>
      <c r="X607" s="170" t="str">
        <f t="shared" si="18"/>
        <v>1w</v>
      </c>
      <c r="Y607" s="168">
        <f>_xll.qlCalendarAdvance(LiborCalendar,Y606,X607,"f",FALSE)</f>
        <v>43383</v>
      </c>
      <c r="Z607" s="171">
        <f>_xll.qlInterestRateIndexValueDate(IborIndex,Y607,Trigger)</f>
        <v>43385</v>
      </c>
      <c r="AA607" s="172">
        <v>-3.8626956830887805E-4</v>
      </c>
      <c r="AB607" s="169">
        <v>-8.2852754621054459E-4</v>
      </c>
    </row>
    <row r="608" spans="20:28" x14ac:dyDescent="0.2">
      <c r="T608" s="130"/>
      <c r="U608" s="151"/>
      <c r="X608" s="170" t="str">
        <f t="shared" si="18"/>
        <v>1w</v>
      </c>
      <c r="Y608" s="168">
        <f>_xll.qlCalendarAdvance(LiborCalendar,Y607,X608,"f",FALSE)</f>
        <v>43390</v>
      </c>
      <c r="Z608" s="171">
        <f>_xll.qlInterestRateIndexValueDate(IborIndex,Y608,Trigger)</f>
        <v>43392</v>
      </c>
      <c r="AA608" s="172">
        <v>-3.190189834683866E-4</v>
      </c>
      <c r="AB608" s="169">
        <v>-7.5931676145390981E-4</v>
      </c>
    </row>
    <row r="609" spans="20:28" x14ac:dyDescent="0.2">
      <c r="T609" s="130"/>
      <c r="U609" s="151"/>
      <c r="X609" s="170" t="str">
        <f t="shared" si="18"/>
        <v>1w</v>
      </c>
      <c r="Y609" s="168">
        <f>_xll.qlCalendarAdvance(LiborCalendar,Y608,X609,"f",FALSE)</f>
        <v>43397</v>
      </c>
      <c r="Z609" s="171">
        <f>_xll.qlInterestRateIndexValueDate(IborIndex,Y609,Trigger)</f>
        <v>43399</v>
      </c>
      <c r="AA609" s="172">
        <v>-2.5206788472296749E-4</v>
      </c>
      <c r="AB609" s="169">
        <v>-6.9040662191266478E-4</v>
      </c>
    </row>
    <row r="610" spans="20:28" x14ac:dyDescent="0.2">
      <c r="T610" s="130"/>
      <c r="U610" s="151"/>
      <c r="X610" s="170" t="str">
        <f t="shared" si="18"/>
        <v>1w</v>
      </c>
      <c r="Y610" s="168">
        <f>_xll.qlCalendarAdvance(LiborCalendar,Y609,X610,"f",FALSE)</f>
        <v>43404</v>
      </c>
      <c r="Z610" s="171">
        <f>_xll.qlInterestRateIndexValueDate(IborIndex,Y610,Trigger)</f>
        <v>43406</v>
      </c>
      <c r="AA610" s="172">
        <v>-1.8541628782172477E-4</v>
      </c>
      <c r="AB610" s="169">
        <v>-6.2179712818632993E-4</v>
      </c>
    </row>
    <row r="611" spans="20:28" x14ac:dyDescent="0.2">
      <c r="T611" s="130"/>
      <c r="U611" s="151"/>
      <c r="X611" s="170" t="str">
        <f t="shared" si="18"/>
        <v>1w</v>
      </c>
      <c r="Y611" s="168">
        <f>_xll.qlCalendarAdvance(LiborCalendar,Y610,X611,"f",FALSE)</f>
        <v>43411</v>
      </c>
      <c r="Z611" s="171">
        <f>_xll.qlInterestRateIndexValueDate(IborIndex,Y611,Trigger)</f>
        <v>43413</v>
      </c>
      <c r="AA611" s="172">
        <v>-1.1906420844233046E-4</v>
      </c>
      <c r="AB611" s="169">
        <v>-5.5348828072787626E-4</v>
      </c>
    </row>
    <row r="612" spans="20:28" x14ac:dyDescent="0.2">
      <c r="T612" s="130"/>
      <c r="U612" s="151"/>
      <c r="X612" s="170" t="str">
        <f t="shared" si="18"/>
        <v>1w</v>
      </c>
      <c r="Y612" s="168">
        <f>_xll.qlCalendarAdvance(LiborCalendar,Y611,X612,"f",FALSE)</f>
        <v>43418</v>
      </c>
      <c r="Z612" s="171">
        <f>_xll.qlInterestRateIndexValueDate(IborIndex,Y612,Trigger)</f>
        <v>43420</v>
      </c>
      <c r="AA612" s="172">
        <v>-5.3011662194850933E-5</v>
      </c>
      <c r="AB612" s="169">
        <v>-4.8548008005688814E-4</v>
      </c>
    </row>
    <row r="613" spans="20:28" x14ac:dyDescent="0.2">
      <c r="T613" s="130"/>
      <c r="U613" s="151"/>
      <c r="X613" s="170" t="str">
        <f t="shared" si="18"/>
        <v>1w</v>
      </c>
      <c r="Y613" s="168">
        <f>_xll.qlCalendarAdvance(LiborCalendar,Y612,X613,"f",FALSE)</f>
        <v>43425</v>
      </c>
      <c r="Z613" s="171">
        <f>_xll.qlInterestRateIndexValueDate(IborIndex,Y613,Trigger)</f>
        <v>43427</v>
      </c>
      <c r="AA613" s="172">
        <v>1.2741335382504783E-5</v>
      </c>
      <c r="AB613" s="169">
        <v>-4.1777252674624066E-4</v>
      </c>
    </row>
    <row r="614" spans="20:28" x14ac:dyDescent="0.2">
      <c r="T614" s="130"/>
      <c r="U614" s="151"/>
      <c r="X614" s="170" t="str">
        <f t="shared" si="18"/>
        <v>1w</v>
      </c>
      <c r="Y614" s="168">
        <f>_xll.qlCalendarAdvance(LiborCalendar,Y613,X614,"f",FALSE)</f>
        <v>43432</v>
      </c>
      <c r="Z614" s="171">
        <f>_xll.qlInterestRateIndexValueDate(IborIndex,Y614,Trigger)</f>
        <v>43434</v>
      </c>
      <c r="AA614" s="172">
        <v>5.9712524631549968E-5</v>
      </c>
      <c r="AB614" s="169">
        <v>-3.5036562123558213E-4</v>
      </c>
    </row>
    <row r="615" spans="20:28" x14ac:dyDescent="0.2">
      <c r="T615" s="130"/>
      <c r="U615" s="151"/>
      <c r="X615" s="170" t="str">
        <f t="shared" si="18"/>
        <v>1w</v>
      </c>
      <c r="Y615" s="168">
        <f>_xll.qlCalendarAdvance(LiborCalendar,Y614,X615,"f",FALSE)</f>
        <v>43439</v>
      </c>
      <c r="Z615" s="171">
        <f>_xll.qlInterestRateIndexValueDate(IborIndex,Y615,Trigger)</f>
        <v>43441</v>
      </c>
      <c r="AA615" s="172">
        <v>1.2495191053307764E-4</v>
      </c>
      <c r="AB615" s="169">
        <v>-2.8325936403117424E-4</v>
      </c>
    </row>
    <row r="616" spans="20:28" x14ac:dyDescent="0.2">
      <c r="T616" s="130"/>
      <c r="U616" s="151"/>
      <c r="X616" s="170" t="str">
        <f t="shared" si="18"/>
        <v>1w</v>
      </c>
      <c r="Y616" s="168">
        <f>_xll.qlCalendarAdvance(LiborCalendar,Y615,X616,"f",FALSE)</f>
        <v>43446</v>
      </c>
      <c r="Z616" s="171">
        <f>_xll.qlInterestRateIndexValueDate(IborIndex,Y616,Trigger)</f>
        <v>43448</v>
      </c>
      <c r="AA616" s="172">
        <v>1.8989165927330021E-4</v>
      </c>
      <c r="AB616" s="169">
        <v>-2.1645375570589209E-4</v>
      </c>
    </row>
    <row r="617" spans="20:28" x14ac:dyDescent="0.2">
      <c r="T617" s="130"/>
      <c r="U617" s="151"/>
      <c r="X617" s="170" t="str">
        <f t="shared" si="18"/>
        <v>1w</v>
      </c>
      <c r="Y617" s="168">
        <f>_xll.qlCalendarAdvance(LiborCalendar,Y616,X617,"f",FALSE)</f>
        <v>43453</v>
      </c>
      <c r="Z617" s="171">
        <f>_xll.qlInterestRateIndexValueDate(IborIndex,Y617,Trigger)</f>
        <v>43455</v>
      </c>
      <c r="AA617" s="172">
        <v>2.5453175622303092E-4</v>
      </c>
      <c r="AB617" s="169">
        <v>-1.4994879668606131E-4</v>
      </c>
    </row>
    <row r="618" spans="20:28" x14ac:dyDescent="0.2">
      <c r="T618" s="130"/>
      <c r="U618" s="151"/>
      <c r="X618" s="170" t="str">
        <f t="shared" si="18"/>
        <v>1w</v>
      </c>
      <c r="Y618" s="168">
        <f>_xll.qlCalendarAdvance(LiborCalendar,Y617,X618,"f",FALSE)</f>
        <v>43461</v>
      </c>
      <c r="Z618" s="171">
        <f>_xll.qlInterestRateIndexValueDate(IborIndex,Y618,Trigger)</f>
        <v>43465</v>
      </c>
      <c r="AA618" s="172">
        <v>3.372908401423246E-4</v>
      </c>
      <c r="AB618" s="169">
        <v>-6.0171679618914453E-5</v>
      </c>
    </row>
    <row r="619" spans="20:28" x14ac:dyDescent="0.2">
      <c r="T619" s="130"/>
      <c r="U619" s="151"/>
      <c r="X619" s="170" t="str">
        <f t="shared" si="18"/>
        <v>1w</v>
      </c>
      <c r="Y619" s="168">
        <f>_xll.qlCalendarAdvance(LiborCalendar,Y618,X619,"f",FALSE)</f>
        <v>43468</v>
      </c>
      <c r="Z619" s="171">
        <f>_xll.qlInterestRateIndexValueDate(IborIndex,Y619,Trigger)</f>
        <v>43472</v>
      </c>
      <c r="AA619" s="172">
        <v>4.1477488157312887E-4</v>
      </c>
      <c r="AB619" s="169">
        <v>9.3561206782055706E-7</v>
      </c>
    </row>
    <row r="620" spans="20:28" x14ac:dyDescent="0.2">
      <c r="T620" s="130"/>
      <c r="U620" s="151"/>
      <c r="X620" s="170" t="str">
        <f t="shared" si="18"/>
        <v>1w</v>
      </c>
      <c r="Y620" s="168">
        <f>_xll.qlCalendarAdvance(LiborCalendar,Y619,X620,"f",FALSE)</f>
        <v>43475</v>
      </c>
      <c r="Z620" s="171">
        <f>_xll.qlInterestRateIndexValueDate(IborIndex,Y620,Trigger)</f>
        <v>43479</v>
      </c>
      <c r="AA620" s="172">
        <v>4.7836616118049254E-4</v>
      </c>
      <c r="AB620" s="169">
        <v>6.6452707416786438E-5</v>
      </c>
    </row>
    <row r="621" spans="20:28" x14ac:dyDescent="0.2">
      <c r="T621" s="130"/>
      <c r="U621" s="151"/>
      <c r="X621" s="170" t="str">
        <f t="shared" si="18"/>
        <v>1w</v>
      </c>
      <c r="Y621" s="168">
        <f>_xll.qlCalendarAdvance(LiborCalendar,Y620,X621,"f",FALSE)</f>
        <v>43482</v>
      </c>
      <c r="Z621" s="171">
        <f>_xll.qlInterestRateIndexValueDate(IborIndex,Y621,Trigger)</f>
        <v>43486</v>
      </c>
      <c r="AA621" s="172">
        <v>5.4612070994398542E-4</v>
      </c>
      <c r="AB621" s="169">
        <v>1.3166912776085837E-4</v>
      </c>
    </row>
    <row r="622" spans="20:28" x14ac:dyDescent="0.2">
      <c r="T622" s="130"/>
      <c r="U622" s="151"/>
      <c r="X622" s="170" t="str">
        <f t="shared" si="18"/>
        <v>1w</v>
      </c>
      <c r="Y622" s="168">
        <f>_xll.qlCalendarAdvance(LiborCalendar,Y621,X622,"f",FALSE)</f>
        <v>43489</v>
      </c>
      <c r="Z622" s="171">
        <f>_xll.qlInterestRateIndexValueDate(IborIndex,Y622,Trigger)</f>
        <v>43493</v>
      </c>
      <c r="AA622" s="172">
        <v>6.0464958798888877E-4</v>
      </c>
      <c r="AB622" s="169">
        <v>1.9658487286022819E-4</v>
      </c>
    </row>
    <row r="623" spans="20:28" x14ac:dyDescent="0.2">
      <c r="T623" s="130"/>
      <c r="U623" s="151"/>
      <c r="X623" s="170" t="str">
        <f t="shared" si="18"/>
        <v>1w</v>
      </c>
      <c r="Y623" s="168">
        <f>_xll.qlCalendarAdvance(LiborCalendar,Y622,X623,"f",FALSE)</f>
        <v>43496</v>
      </c>
      <c r="Z623" s="171">
        <f>_xll.qlInterestRateIndexValueDate(IborIndex,Y623,Trigger)</f>
        <v>43500</v>
      </c>
      <c r="AA623" s="172">
        <v>6.7176207327464092E-4</v>
      </c>
      <c r="AB623" s="169">
        <v>2.6119994247508771E-4</v>
      </c>
    </row>
    <row r="624" spans="20:28" x14ac:dyDescent="0.2">
      <c r="T624" s="130"/>
      <c r="U624" s="151"/>
      <c r="X624" s="170" t="str">
        <f t="shared" si="18"/>
        <v>1w</v>
      </c>
      <c r="Y624" s="168">
        <f>_xll.qlCalendarAdvance(LiborCalendar,Y623,X624,"f",FALSE)</f>
        <v>43503</v>
      </c>
      <c r="Z624" s="171">
        <f>_xll.qlInterestRateIndexValueDate(IborIndex,Y624,Trigger)</f>
        <v>43507</v>
      </c>
      <c r="AA624" s="172">
        <v>7.2973407582281103E-4</v>
      </c>
      <c r="AB624" s="169">
        <v>3.2551433660543694E-4</v>
      </c>
    </row>
    <row r="625" spans="20:28" x14ac:dyDescent="0.2">
      <c r="T625" s="130"/>
      <c r="U625" s="151"/>
      <c r="X625" s="170" t="str">
        <f t="shared" si="18"/>
        <v>1w</v>
      </c>
      <c r="Y625" s="168">
        <f>_xll.qlCalendarAdvance(LiborCalendar,Y624,X625,"f",FALSE)</f>
        <v>43510</v>
      </c>
      <c r="Z625" s="171">
        <f>_xll.qlInterestRateIndexValueDate(IborIndex,Y625,Trigger)</f>
        <v>43514</v>
      </c>
      <c r="AA625" s="172">
        <v>7.9182783901512674E-4</v>
      </c>
      <c r="AB625" s="169">
        <v>3.8952805493153164E-4</v>
      </c>
    </row>
    <row r="626" spans="20:28" x14ac:dyDescent="0.2">
      <c r="T626" s="130"/>
      <c r="U626" s="151"/>
      <c r="X626" s="170" t="str">
        <f t="shared" si="18"/>
        <v>1w</v>
      </c>
      <c r="Y626" s="168">
        <f>_xll.qlCalendarAdvance(LiborCalendar,Y625,X626,"f",FALSE)</f>
        <v>43517</v>
      </c>
      <c r="Z626" s="171">
        <f>_xll.qlInterestRateIndexValueDate(IborIndex,Y626,Trigger)</f>
        <v>43521</v>
      </c>
      <c r="AA626" s="172">
        <v>8.5799614994948618E-4</v>
      </c>
      <c r="AB626" s="169">
        <v>4.5324109745337182E-4</v>
      </c>
    </row>
    <row r="627" spans="20:28" x14ac:dyDescent="0.2">
      <c r="T627" s="130"/>
      <c r="U627" s="151"/>
      <c r="X627" s="170" t="str">
        <f t="shared" si="18"/>
        <v>1w</v>
      </c>
      <c r="Y627" s="168">
        <f>_xll.qlCalendarAdvance(LiborCalendar,Y626,X627,"f",FALSE)</f>
        <v>43524</v>
      </c>
      <c r="Z627" s="171">
        <f>_xll.qlInterestRateIndexValueDate(IborIndex,Y627,Trigger)</f>
        <v>43528</v>
      </c>
      <c r="AA627" s="172">
        <v>9.1952105706280909E-4</v>
      </c>
      <c r="AB627" s="169">
        <v>5.1665346377127719E-4</v>
      </c>
    </row>
    <row r="628" spans="20:28" x14ac:dyDescent="0.2">
      <c r="T628" s="130"/>
      <c r="U628" s="151"/>
      <c r="X628" s="170" t="str">
        <f t="shared" si="18"/>
        <v>1w</v>
      </c>
      <c r="Y628" s="168">
        <f>_xll.qlCalendarAdvance(LiborCalendar,Y627,X628,"f",FALSE)</f>
        <v>43531</v>
      </c>
      <c r="Z628" s="171">
        <f>_xll.qlInterestRateIndexValueDate(IborIndex,Y628,Trigger)</f>
        <v>43535</v>
      </c>
      <c r="AA628" s="172">
        <v>9.8080000762535368E-4</v>
      </c>
      <c r="AB628" s="169">
        <v>5.7976515380531168E-4</v>
      </c>
    </row>
    <row r="629" spans="20:28" x14ac:dyDescent="0.2">
      <c r="T629" s="130"/>
      <c r="U629" s="151"/>
      <c r="X629" s="170" t="str">
        <f t="shared" si="18"/>
        <v>1w</v>
      </c>
      <c r="Y629" s="168">
        <f>_xll.qlCalendarAdvance(LiborCalendar,Y628,X629,"f",FALSE)</f>
        <v>43538</v>
      </c>
      <c r="Z629" s="171">
        <f>_xll.qlInterestRateIndexValueDate(IborIndex,Y629,Trigger)</f>
        <v>43542</v>
      </c>
      <c r="AA629" s="172">
        <v>1.0418518338537754E-3</v>
      </c>
      <c r="AB629" s="169">
        <v>6.4257616771534742E-4</v>
      </c>
    </row>
    <row r="630" spans="20:28" x14ac:dyDescent="0.2">
      <c r="T630" s="130"/>
      <c r="U630" s="151"/>
      <c r="X630" s="170" t="str">
        <f t="shared" si="18"/>
        <v>1w</v>
      </c>
      <c r="Y630" s="168">
        <f>_xll.qlCalendarAdvance(LiborCalendar,Y629,X630,"f",FALSE)</f>
        <v>43545</v>
      </c>
      <c r="Z630" s="171">
        <f>_xll.qlInterestRateIndexValueDate(IborIndex,Y630,Trigger)</f>
        <v>43549</v>
      </c>
      <c r="AA630" s="172">
        <v>1.1026953691776729E-3</v>
      </c>
      <c r="AB630" s="169">
        <v>7.0508650486189595E-4</v>
      </c>
    </row>
    <row r="631" spans="20:28" x14ac:dyDescent="0.2">
      <c r="T631" s="130"/>
      <c r="U631" s="151"/>
      <c r="X631" s="170" t="str">
        <f t="shared" si="18"/>
        <v>1w</v>
      </c>
      <c r="Y631" s="168">
        <f>_xll.qlCalendarAdvance(LiborCalendar,Y630,X631,"f",FALSE)</f>
        <v>43552</v>
      </c>
      <c r="Z631" s="171">
        <f>_xll.qlInterestRateIndexValueDate(IborIndex,Y631,Trigger)</f>
        <v>43556</v>
      </c>
      <c r="AA631" s="172">
        <v>1.1590476167141399E-3</v>
      </c>
      <c r="AB631" s="169">
        <v>7.6729616540482937E-4</v>
      </c>
    </row>
    <row r="632" spans="20:28" x14ac:dyDescent="0.2">
      <c r="T632" s="130"/>
      <c r="U632" s="151"/>
      <c r="X632" s="170" t="str">
        <f t="shared" si="18"/>
        <v>1w</v>
      </c>
      <c r="Y632" s="168">
        <f>_xll.qlCalendarAdvance(LiborCalendar,Y631,X632,"f",FALSE)</f>
        <v>43559</v>
      </c>
      <c r="Z632" s="171">
        <f>_xll.qlInterestRateIndexValueDate(IborIndex,Y632,Trigger)</f>
        <v>43563</v>
      </c>
      <c r="AA632" s="172">
        <v>1.2195380771745585E-3</v>
      </c>
      <c r="AB632" s="169">
        <v>8.2920514918427557E-4</v>
      </c>
    </row>
    <row r="633" spans="20:28" x14ac:dyDescent="0.2">
      <c r="T633" s="130"/>
      <c r="U633" s="151"/>
      <c r="X633" s="170" t="str">
        <f t="shared" si="18"/>
        <v>1w</v>
      </c>
      <c r="Y633" s="168">
        <f>_xll.qlCalendarAdvance(LiborCalendar,Y632,X633,"f",FALSE)</f>
        <v>43566</v>
      </c>
      <c r="Z633" s="171">
        <f>_xll.qlInterestRateIndexValueDate(IborIndex,Y633,Trigger)</f>
        <v>43570</v>
      </c>
      <c r="AA633" s="172">
        <v>1.2798756504041895E-3</v>
      </c>
      <c r="AB633" s="169">
        <v>8.9081345588049032E-4</v>
      </c>
    </row>
    <row r="634" spans="20:28" x14ac:dyDescent="0.2">
      <c r="T634" s="130"/>
      <c r="U634" s="151"/>
      <c r="X634" s="170" t="str">
        <f t="shared" si="18"/>
        <v>1w</v>
      </c>
      <c r="Y634" s="168">
        <f>_xll.qlCalendarAdvance(LiborCalendar,Y633,X634,"f",FALSE)</f>
        <v>43573</v>
      </c>
      <c r="Z634" s="171">
        <f>_xll.qlInterestRateIndexValueDate(IborIndex,Y634,Trigger)</f>
        <v>43579</v>
      </c>
      <c r="AA634" s="172">
        <v>1.3572585298315344E-3</v>
      </c>
      <c r="AB634" s="169">
        <v>9.6958232450816695E-4</v>
      </c>
    </row>
    <row r="635" spans="20:28" x14ac:dyDescent="0.2">
      <c r="T635" s="130"/>
      <c r="U635" s="151"/>
      <c r="X635" s="170" t="str">
        <f t="shared" si="18"/>
        <v>1w</v>
      </c>
      <c r="Y635" s="168">
        <f>_xll.qlCalendarAdvance(LiborCalendar,Y634,X635,"f",FALSE)</f>
        <v>43580</v>
      </c>
      <c r="Z635" s="171">
        <f>_xll.qlInterestRateIndexValueDate(IborIndex,Y635,Trigger)</f>
        <v>43584</v>
      </c>
      <c r="AA635" s="172">
        <v>1.4001683172682035E-3</v>
      </c>
      <c r="AB635" s="169">
        <v>1.0131280375436091E-3</v>
      </c>
    </row>
    <row r="636" spans="20:28" x14ac:dyDescent="0.2">
      <c r="T636" s="130"/>
      <c r="U636" s="151"/>
      <c r="X636" s="170" t="str">
        <f t="shared" si="18"/>
        <v>1w</v>
      </c>
      <c r="Y636" s="168">
        <f>_xll.qlCalendarAdvance(LiborCalendar,Y635,X636,"f",FALSE)</f>
        <v>43587</v>
      </c>
      <c r="Z636" s="171">
        <f>_xll.qlInterestRateIndexValueDate(IborIndex,Y636,Trigger)</f>
        <v>43592</v>
      </c>
      <c r="AA636" s="172">
        <v>1.4730005256362009E-3</v>
      </c>
      <c r="AB636" s="169">
        <v>1.0824820922827882E-3</v>
      </c>
    </row>
    <row r="637" spans="20:28" x14ac:dyDescent="0.2">
      <c r="T637" s="130"/>
      <c r="U637" s="151"/>
      <c r="X637" s="170" t="str">
        <f t="shared" si="18"/>
        <v>1w</v>
      </c>
      <c r="Y637" s="168">
        <f>_xll.qlCalendarAdvance(LiborCalendar,Y636,X637,"f",FALSE)</f>
        <v>43594</v>
      </c>
      <c r="Z637" s="171">
        <f>_xll.qlInterestRateIndexValueDate(IborIndex,Y637,Trigger)</f>
        <v>43598</v>
      </c>
      <c r="AA637" s="172">
        <v>1.5243502307555022E-3</v>
      </c>
      <c r="AB637" s="169">
        <v>1.1342399095148892E-3</v>
      </c>
    </row>
    <row r="638" spans="20:28" x14ac:dyDescent="0.2">
      <c r="T638" s="130"/>
      <c r="U638" s="151"/>
      <c r="X638" s="170" t="str">
        <f t="shared" si="18"/>
        <v>1w</v>
      </c>
      <c r="Y638" s="168">
        <f>_xll.qlCalendarAdvance(LiborCalendar,Y637,X638,"f",FALSE)</f>
        <v>43601</v>
      </c>
      <c r="Z638" s="171">
        <f>_xll.qlInterestRateIndexValueDate(IborIndex,Y638,Trigger)</f>
        <v>43605</v>
      </c>
      <c r="AA638" s="172">
        <v>1.5842044407872761E-3</v>
      </c>
      <c r="AB638" s="169">
        <v>1.194421465893214E-3</v>
      </c>
    </row>
    <row r="639" spans="20:28" x14ac:dyDescent="0.2">
      <c r="T639" s="130"/>
      <c r="U639" s="151"/>
      <c r="X639" s="170" t="str">
        <f t="shared" si="18"/>
        <v>1w</v>
      </c>
      <c r="Y639" s="168">
        <f>_xll.qlCalendarAdvance(LiborCalendar,Y638,X639,"f",FALSE)</f>
        <v>43608</v>
      </c>
      <c r="Z639" s="171">
        <f>_xll.qlInterestRateIndexValueDate(IborIndex,Y639,Trigger)</f>
        <v>43613</v>
      </c>
      <c r="AA639" s="172">
        <v>1.6525452517132547E-3</v>
      </c>
      <c r="AB639" s="169">
        <v>1.2631286521536111E-3</v>
      </c>
    </row>
    <row r="640" spans="20:28" x14ac:dyDescent="0.2">
      <c r="T640" s="130"/>
      <c r="U640" s="151"/>
      <c r="X640" s="170" t="str">
        <f t="shared" si="18"/>
        <v>1w</v>
      </c>
      <c r="Y640" s="168">
        <f>_xll.qlCalendarAdvance(LiborCalendar,Y639,X640,"f",FALSE)</f>
        <v>43615</v>
      </c>
      <c r="Z640" s="171">
        <f>_xll.qlInterestRateIndexValueDate(IborIndex,Y640,Trigger)</f>
        <v>43619</v>
      </c>
      <c r="AA640" s="172">
        <v>1.7037561160649774E-3</v>
      </c>
      <c r="AB640" s="169">
        <v>1.3146135433839135E-3</v>
      </c>
    </row>
    <row r="641" spans="20:28" x14ac:dyDescent="0.2">
      <c r="T641" s="130"/>
      <c r="U641" s="151"/>
      <c r="X641" s="170" t="str">
        <f t="shared" si="18"/>
        <v>1w</v>
      </c>
      <c r="Y641" s="168">
        <f>_xll.qlCalendarAdvance(LiborCalendar,Y640,X641,"f",FALSE)</f>
        <v>43622</v>
      </c>
      <c r="Z641" s="171">
        <f>_xll.qlInterestRateIndexValueDate(IborIndex,Y641,Trigger)</f>
        <v>43627</v>
      </c>
      <c r="AA641" s="172">
        <v>1.77197760718214E-3</v>
      </c>
      <c r="AB641" s="169">
        <v>1.383199400217805E-3</v>
      </c>
    </row>
    <row r="642" spans="20:28" x14ac:dyDescent="0.2">
      <c r="T642" s="130"/>
      <c r="U642" s="151"/>
      <c r="X642" s="170" t="str">
        <f t="shared" si="18"/>
        <v>1w</v>
      </c>
      <c r="Y642" s="168">
        <f>_xll.qlCalendarAdvance(LiborCalendar,Y641,X642,"f",FALSE)</f>
        <v>43629</v>
      </c>
      <c r="Z642" s="171">
        <f>_xll.qlInterestRateIndexValueDate(IborIndex,Y642,Trigger)</f>
        <v>43633</v>
      </c>
      <c r="AA642" s="172">
        <v>1.8230989775329569E-3</v>
      </c>
      <c r="AB642" s="169">
        <v>1.4345932941584039E-3</v>
      </c>
    </row>
    <row r="643" spans="20:28" x14ac:dyDescent="0.2">
      <c r="T643" s="130"/>
      <c r="U643" s="151"/>
      <c r="X643" s="170" t="str">
        <f t="shared" si="18"/>
        <v>1w</v>
      </c>
      <c r="Y643" s="168">
        <f>_xll.qlCalendarAdvance(LiborCalendar,Y642,X643,"f",FALSE)</f>
        <v>43636</v>
      </c>
      <c r="Z643" s="171">
        <f>_xll.qlInterestRateIndexValueDate(IborIndex,Y643,Trigger)</f>
        <v>43640</v>
      </c>
      <c r="AA643" s="172">
        <v>1.8826920970485671E-3</v>
      </c>
      <c r="AB643" s="169">
        <v>1.4945035469970946E-3</v>
      </c>
    </row>
    <row r="644" spans="20:28" x14ac:dyDescent="0.2">
      <c r="T644" s="130"/>
      <c r="U644" s="151"/>
      <c r="X644" s="170" t="str">
        <f t="shared" si="18"/>
        <v>1w</v>
      </c>
      <c r="Y644" s="168">
        <f>_xll.qlCalendarAdvance(LiborCalendar,Y643,X644,"f",FALSE)</f>
        <v>43643</v>
      </c>
      <c r="Z644" s="171">
        <f>_xll.qlInterestRateIndexValueDate(IborIndex,Y644,Trigger)</f>
        <v>43647</v>
      </c>
      <c r="AA644" s="172">
        <v>1.9422330058701484E-3</v>
      </c>
      <c r="AB644" s="169">
        <v>1.5543607180568131E-3</v>
      </c>
    </row>
    <row r="645" spans="20:28" x14ac:dyDescent="0.2">
      <c r="T645" s="130"/>
      <c r="U645" s="151"/>
      <c r="X645" s="170" t="str">
        <f t="shared" si="18"/>
        <v>1w</v>
      </c>
      <c r="Y645" s="168">
        <f>_xll.qlCalendarAdvance(LiborCalendar,Y644,X645,"f",FALSE)</f>
        <v>43650</v>
      </c>
      <c r="Z645" s="171">
        <f>_xll.qlInterestRateIndexValueDate(IborIndex,Y645,Trigger)</f>
        <v>43654</v>
      </c>
      <c r="AA645" s="172">
        <v>2.0017217015874549E-3</v>
      </c>
      <c r="AB645" s="169">
        <v>1.6141648074974313E-3</v>
      </c>
    </row>
    <row r="646" spans="20:28" x14ac:dyDescent="0.2">
      <c r="T646" s="130"/>
      <c r="U646" s="151"/>
      <c r="X646" s="170" t="str">
        <f t="shared" si="18"/>
        <v>1w</v>
      </c>
      <c r="Y646" s="168">
        <f>_xll.qlCalendarAdvance(LiborCalendar,Y645,X646,"f",FALSE)</f>
        <v>43657</v>
      </c>
      <c r="Z646" s="171">
        <f>_xll.qlInterestRateIndexValueDate(IborIndex,Y646,Trigger)</f>
        <v>43661</v>
      </c>
      <c r="AA646" s="172">
        <v>2.0611581817911091E-3</v>
      </c>
      <c r="AB646" s="169">
        <v>1.673915814919269E-3</v>
      </c>
    </row>
    <row r="647" spans="20:28" x14ac:dyDescent="0.2">
      <c r="T647" s="130"/>
      <c r="U647" s="151"/>
      <c r="X647" s="170" t="str">
        <f t="shared" si="18"/>
        <v>1w</v>
      </c>
      <c r="Y647" s="168">
        <f>_xll.qlCalendarAdvance(LiborCalendar,Y646,X647,"f",FALSE)</f>
        <v>43664</v>
      </c>
      <c r="Z647" s="171">
        <f>_xll.qlInterestRateIndexValueDate(IborIndex,Y647,Trigger)</f>
        <v>43668</v>
      </c>
      <c r="AA647" s="172">
        <v>2.1205424440769475E-3</v>
      </c>
      <c r="AB647" s="169">
        <v>1.7336137406420704E-3</v>
      </c>
    </row>
    <row r="648" spans="20:28" x14ac:dyDescent="0.2">
      <c r="T648" s="130"/>
      <c r="U648" s="151"/>
      <c r="X648" s="170" t="str">
        <f t="shared" si="18"/>
        <v>1w</v>
      </c>
      <c r="Y648" s="168">
        <f>_xll.qlCalendarAdvance(LiborCalendar,Y647,X648,"f",FALSE)</f>
        <v>43671</v>
      </c>
      <c r="Z648" s="171">
        <f>_xll.qlInterestRateIndexValueDate(IborIndex,Y648,Trigger)</f>
        <v>43675</v>
      </c>
      <c r="AA648" s="172">
        <v>2.1798744860425439E-3</v>
      </c>
      <c r="AB648" s="169">
        <v>1.7932585845059634E-3</v>
      </c>
    </row>
    <row r="649" spans="20:28" x14ac:dyDescent="0.2">
      <c r="T649" s="130"/>
      <c r="U649" s="151"/>
      <c r="X649" s="170" t="str">
        <f t="shared" si="18"/>
        <v>1w</v>
      </c>
      <c r="Y649" s="168">
        <f>_xll.qlCalendarAdvance(LiborCalendar,Y648,X649,"f",FALSE)</f>
        <v>43678</v>
      </c>
      <c r="Z649" s="171">
        <f>_xll.qlInterestRateIndexValueDate(IborIndex,Y649,Trigger)</f>
        <v>43682</v>
      </c>
      <c r="AA649" s="172">
        <v>2.2391543052846037E-3</v>
      </c>
      <c r="AB649" s="169">
        <v>1.8528503465908841E-3</v>
      </c>
    </row>
    <row r="650" spans="20:28" x14ac:dyDescent="0.2">
      <c r="T650" s="130"/>
      <c r="U650" s="151"/>
      <c r="X650" s="170" t="str">
        <f t="shared" si="18"/>
        <v>1w</v>
      </c>
      <c r="Y650" s="168">
        <f>_xll.qlCalendarAdvance(LiborCalendar,Y649,X650,"f",FALSE)</f>
        <v>43685</v>
      </c>
      <c r="Z650" s="171">
        <f>_xll.qlInterestRateIndexValueDate(IborIndex,Y650,Trigger)</f>
        <v>43689</v>
      </c>
      <c r="AA650" s="172">
        <v>2.2983818994041761E-3</v>
      </c>
      <c r="AB650" s="169">
        <v>1.9123890266570243E-3</v>
      </c>
    </row>
    <row r="651" spans="20:28" x14ac:dyDescent="0.2">
      <c r="T651" s="130"/>
      <c r="U651" s="151"/>
      <c r="X651" s="170" t="str">
        <f t="shared" si="18"/>
        <v>1w</v>
      </c>
      <c r="Y651" s="168">
        <f>_xll.qlCalendarAdvance(LiborCalendar,Y650,X651,"f",FALSE)</f>
        <v>43692</v>
      </c>
      <c r="Z651" s="171">
        <f>_xll.qlInterestRateIndexValueDate(IborIndex,Y651,Trigger)</f>
        <v>43696</v>
      </c>
      <c r="AA651" s="172">
        <v>2.3575572660040479E-3</v>
      </c>
      <c r="AB651" s="169">
        <v>1.97187462478432E-3</v>
      </c>
    </row>
    <row r="652" spans="20:28" x14ac:dyDescent="0.2">
      <c r="T652" s="130"/>
      <c r="U652" s="151"/>
      <c r="X652" s="170" t="str">
        <f t="shared" si="18"/>
        <v>1w</v>
      </c>
      <c r="Y652" s="168">
        <f>_xll.qlCalendarAdvance(LiborCalendar,Y651,X652,"f",FALSE)</f>
        <v>43699</v>
      </c>
      <c r="Z652" s="171">
        <f>_xll.qlInterestRateIndexValueDate(IborIndex,Y652,Trigger)</f>
        <v>43704</v>
      </c>
      <c r="AA652" s="172">
        <v>2.4251223012689248E-3</v>
      </c>
      <c r="AB652" s="169">
        <v>2.0397931672544445E-3</v>
      </c>
    </row>
    <row r="653" spans="20:28" x14ac:dyDescent="0.2">
      <c r="T653" s="130"/>
      <c r="U653" s="151"/>
      <c r="X653" s="170" t="str">
        <f t="shared" si="18"/>
        <v>1w</v>
      </c>
      <c r="Y653" s="168">
        <f>_xll.qlCalendarAdvance(LiborCalendar,Y652,X653,"f",FALSE)</f>
        <v>43706</v>
      </c>
      <c r="Z653" s="171">
        <f>_xll.qlInterestRateIndexValueDate(IborIndex,Y653,Trigger)</f>
        <v>43710</v>
      </c>
      <c r="AA653" s="172">
        <v>2.4715334736543186E-3</v>
      </c>
      <c r="AB653" s="169">
        <v>2.090686575222378E-3</v>
      </c>
    </row>
    <row r="654" spans="20:28" x14ac:dyDescent="0.2">
      <c r="T654" s="130"/>
      <c r="U654" s="151"/>
      <c r="X654" s="170" t="str">
        <f t="shared" si="18"/>
        <v>1w</v>
      </c>
      <c r="Y654" s="168">
        <f>_xll.qlCalendarAdvance(LiborCalendar,Y653,X654,"f",FALSE)</f>
        <v>43713</v>
      </c>
      <c r="Z654" s="171">
        <f>_xll.qlInterestRateIndexValueDate(IborIndex,Y654,Trigger)</f>
        <v>43717</v>
      </c>
      <c r="AA654" s="172">
        <v>2.5305554646702323E-3</v>
      </c>
      <c r="AB654" s="169">
        <v>2.1500129275331403E-3</v>
      </c>
    </row>
    <row r="655" spans="20:28" x14ac:dyDescent="0.2">
      <c r="T655" s="130"/>
      <c r="U655" s="151"/>
      <c r="X655" s="170" t="str">
        <f t="shared" si="18"/>
        <v>1w</v>
      </c>
      <c r="Y655" s="168">
        <f>_xll.qlCalendarAdvance(LiborCalendar,Y654,X655,"f",FALSE)</f>
        <v>43720</v>
      </c>
      <c r="Z655" s="171">
        <f>_xll.qlInterestRateIndexValueDate(IborIndex,Y655,Trigger)</f>
        <v>43724</v>
      </c>
      <c r="AA655" s="172">
        <v>2.5895252094743936E-3</v>
      </c>
      <c r="AB655" s="169">
        <v>2.209286197585314E-3</v>
      </c>
    </row>
    <row r="656" spans="20:28" x14ac:dyDescent="0.2">
      <c r="T656" s="130"/>
      <c r="U656" s="151"/>
      <c r="X656" s="170" t="str">
        <f t="shared" si="18"/>
        <v>1w</v>
      </c>
      <c r="Y656" s="168">
        <f>_xll.qlCalendarAdvance(LiborCalendar,Y655,X656,"f",FALSE)</f>
        <v>43727</v>
      </c>
      <c r="Z656" s="171">
        <f>_xll.qlInterestRateIndexValueDate(IborIndex,Y656,Trigger)</f>
        <v>43731</v>
      </c>
      <c r="AA656" s="172">
        <v>2.6484427057064928E-3</v>
      </c>
      <c r="AB656" s="169">
        <v>2.2685063856986432E-3</v>
      </c>
    </row>
    <row r="657" spans="20:28" x14ac:dyDescent="0.2">
      <c r="T657" s="130"/>
      <c r="U657" s="151"/>
      <c r="X657" s="170" t="str">
        <f t="shared" si="18"/>
        <v>1w</v>
      </c>
      <c r="Y657" s="168">
        <f>_xll.qlCalendarAdvance(LiborCalendar,Y656,X657,"f",FALSE)</f>
        <v>43734</v>
      </c>
      <c r="Z657" s="171">
        <f>_xll.qlInterestRateIndexValueDate(IborIndex,Y657,Trigger)</f>
        <v>43738</v>
      </c>
      <c r="AA657" s="172">
        <v>2.7115125537210843E-3</v>
      </c>
      <c r="AB657" s="169">
        <v>2.3276734917931918E-3</v>
      </c>
    </row>
    <row r="658" spans="20:28" x14ac:dyDescent="0.2">
      <c r="T658" s="130"/>
      <c r="U658" s="151"/>
      <c r="X658" s="170" t="str">
        <f t="shared" si="18"/>
        <v>1w</v>
      </c>
      <c r="Y658" s="168">
        <f>_xll.qlCalendarAdvance(LiborCalendar,Y657,X658,"f",FALSE)</f>
        <v>43741</v>
      </c>
      <c r="Z658" s="171">
        <f>_xll.qlInterestRateIndexValueDate(IborIndex,Y658,Trigger)</f>
        <v>43745</v>
      </c>
      <c r="AA658" s="172">
        <v>2.7703222607392119E-3</v>
      </c>
      <c r="AB658" s="169">
        <v>2.3867875157090879E-3</v>
      </c>
    </row>
    <row r="659" spans="20:28" x14ac:dyDescent="0.2">
      <c r="T659" s="130"/>
      <c r="U659" s="151"/>
      <c r="X659" s="170" t="str">
        <f t="shared" si="18"/>
        <v>1w</v>
      </c>
      <c r="Y659" s="168">
        <f>_xll.qlCalendarAdvance(LiborCalendar,Y658,X659,"f",FALSE)</f>
        <v>43748</v>
      </c>
      <c r="Z659" s="171">
        <f>_xll.qlInterestRateIndexValueDate(IborIndex,Y659,Trigger)</f>
        <v>43752</v>
      </c>
      <c r="AA659" s="172">
        <v>2.8290797211363971E-3</v>
      </c>
      <c r="AB659" s="169">
        <v>2.4458484575262673E-3</v>
      </c>
    </row>
    <row r="660" spans="20:28" x14ac:dyDescent="0.2">
      <c r="T660" s="130"/>
      <c r="U660" s="151"/>
      <c r="X660" s="170" t="str">
        <f t="shared" si="18"/>
        <v>1w</v>
      </c>
      <c r="Y660" s="168">
        <f>_xll.qlCalendarAdvance(LiborCalendar,Y659,X660,"f",FALSE)</f>
        <v>43755</v>
      </c>
      <c r="Z660" s="171">
        <f>_xll.qlInterestRateIndexValueDate(IborIndex,Y660,Trigger)</f>
        <v>43759</v>
      </c>
      <c r="AA660" s="172">
        <v>2.8877849325319354E-3</v>
      </c>
      <c r="AB660" s="169">
        <v>2.5048563170848581E-3</v>
      </c>
    </row>
    <row r="661" spans="20:28" x14ac:dyDescent="0.2">
      <c r="T661" s="130"/>
      <c r="U661" s="151"/>
      <c r="X661" s="170" t="str">
        <f t="shared" ref="X661:X724" si="19">X660</f>
        <v>1w</v>
      </c>
      <c r="Y661" s="168">
        <f>_xll.qlCalendarAdvance(LiborCalendar,Y660,X661,"f",FALSE)</f>
        <v>43762</v>
      </c>
      <c r="Z661" s="171">
        <f>_xll.qlInterestRateIndexValueDate(IborIndex,Y661,Trigger)</f>
        <v>43766</v>
      </c>
      <c r="AA661" s="172">
        <v>2.9464378925529422E-3</v>
      </c>
      <c r="AB661" s="169">
        <v>2.5638110945447323E-3</v>
      </c>
    </row>
    <row r="662" spans="20:28" x14ac:dyDescent="0.2">
      <c r="T662" s="130"/>
      <c r="U662" s="151"/>
      <c r="X662" s="170" t="str">
        <f t="shared" si="19"/>
        <v>1w</v>
      </c>
      <c r="Y662" s="168">
        <f>_xll.qlCalendarAdvance(LiborCalendar,Y661,X662,"f",FALSE)</f>
        <v>43769</v>
      </c>
      <c r="Z662" s="171">
        <f>_xll.qlInterestRateIndexValueDate(IborIndex,Y662,Trigger)</f>
        <v>43773</v>
      </c>
      <c r="AA662" s="172">
        <v>3.0050385988213196E-3</v>
      </c>
      <c r="AB662" s="169">
        <v>2.6227127897460178E-3</v>
      </c>
    </row>
    <row r="663" spans="20:28" x14ac:dyDescent="0.2">
      <c r="T663" s="130"/>
      <c r="U663" s="151"/>
      <c r="X663" s="170" t="str">
        <f t="shared" si="19"/>
        <v>1w</v>
      </c>
      <c r="Y663" s="168">
        <f>_xll.qlCalendarAdvance(LiborCalendar,Y662,X663,"f",FALSE)</f>
        <v>43776</v>
      </c>
      <c r="Z663" s="171">
        <f>_xll.qlInterestRateIndexValueDate(IborIndex,Y663,Trigger)</f>
        <v>43780</v>
      </c>
      <c r="AA663" s="172">
        <v>3.063587048968528E-3</v>
      </c>
      <c r="AB663" s="169">
        <v>2.6815614027686507E-3</v>
      </c>
    </row>
    <row r="664" spans="20:28" x14ac:dyDescent="0.2">
      <c r="T664" s="130"/>
      <c r="U664" s="151"/>
      <c r="X664" s="170" t="str">
        <f t="shared" si="19"/>
        <v>1w</v>
      </c>
      <c r="Y664" s="168">
        <f>_xll.qlCalendarAdvance(LiborCalendar,Y663,X664,"f",FALSE)</f>
        <v>43783</v>
      </c>
      <c r="Z664" s="171">
        <f>_xll.qlInterestRateIndexValueDate(IborIndex,Y664,Trigger)</f>
        <v>43787</v>
      </c>
      <c r="AA664" s="172">
        <v>3.1220832406216822E-3</v>
      </c>
      <c r="AB664" s="169">
        <v>2.7403569333728228E-3</v>
      </c>
    </row>
    <row r="665" spans="20:28" x14ac:dyDescent="0.2">
      <c r="T665" s="130"/>
      <c r="U665" s="151"/>
      <c r="X665" s="170" t="str">
        <f t="shared" si="19"/>
        <v>1w</v>
      </c>
      <c r="Y665" s="168">
        <f>_xll.qlCalendarAdvance(LiborCalendar,Y664,X665,"f",FALSE)</f>
        <v>43790</v>
      </c>
      <c r="Z665" s="171">
        <f>_xll.qlInterestRateIndexValueDate(IborIndex,Y665,Trigger)</f>
        <v>43794</v>
      </c>
      <c r="AA665" s="172">
        <v>3.1805271714139805E-3</v>
      </c>
      <c r="AB665" s="169">
        <v>2.7990993817983423E-3</v>
      </c>
    </row>
    <row r="666" spans="20:28" x14ac:dyDescent="0.2">
      <c r="T666" s="130"/>
      <c r="U666" s="151"/>
      <c r="X666" s="170" t="str">
        <f t="shared" si="19"/>
        <v>1w</v>
      </c>
      <c r="Y666" s="168">
        <f>_xll.qlCalendarAdvance(LiborCalendar,Y665,X666,"f",FALSE)</f>
        <v>43797</v>
      </c>
      <c r="Z666" s="171">
        <f>_xll.qlInterestRateIndexValueDate(IborIndex,Y666,Trigger)</f>
        <v>43801</v>
      </c>
      <c r="AA666" s="172">
        <v>3.2347434785529286E-3</v>
      </c>
      <c r="AB666" s="169">
        <v>2.857788747885337E-3</v>
      </c>
    </row>
    <row r="667" spans="20:28" x14ac:dyDescent="0.2">
      <c r="T667" s="130"/>
      <c r="U667" s="151"/>
      <c r="X667" s="170" t="str">
        <f t="shared" si="19"/>
        <v>1w</v>
      </c>
      <c r="Y667" s="168">
        <f>_xll.qlCalendarAdvance(LiborCalendar,Y666,X667,"f",FALSE)</f>
        <v>43804</v>
      </c>
      <c r="Z667" s="171">
        <f>_xll.qlInterestRateIndexValueDate(IborIndex,Y667,Trigger)</f>
        <v>43808</v>
      </c>
      <c r="AA667" s="172">
        <v>3.2930860852433417E-3</v>
      </c>
      <c r="AB667" s="169">
        <v>2.916425031633807E-3</v>
      </c>
    </row>
    <row r="668" spans="20:28" x14ac:dyDescent="0.2">
      <c r="T668" s="130"/>
      <c r="U668" s="151"/>
      <c r="X668" s="170" t="str">
        <f t="shared" si="19"/>
        <v>1w</v>
      </c>
      <c r="Y668" s="168">
        <f>_xll.qlCalendarAdvance(LiborCalendar,Y667,X668,"f",FALSE)</f>
        <v>43811</v>
      </c>
      <c r="Z668" s="171">
        <f>_xll.qlInterestRateIndexValueDate(IborIndex,Y668,Trigger)</f>
        <v>43815</v>
      </c>
      <c r="AA668" s="172">
        <v>3.3513764151890638E-3</v>
      </c>
      <c r="AB668" s="169">
        <v>2.9750082330437522E-3</v>
      </c>
    </row>
    <row r="669" spans="20:28" x14ac:dyDescent="0.2">
      <c r="T669" s="130"/>
      <c r="U669" s="151"/>
      <c r="X669" s="170" t="str">
        <f t="shared" si="19"/>
        <v>1w</v>
      </c>
      <c r="Y669" s="168">
        <f>_xll.qlCalendarAdvance(LiborCalendar,Y668,X669,"f",FALSE)</f>
        <v>43818</v>
      </c>
      <c r="Z669" s="171">
        <f>_xll.qlInterestRateIndexValueDate(IborIndex,Y669,Trigger)</f>
        <v>43822</v>
      </c>
      <c r="AA669" s="172">
        <v>3.4096144660543805E-3</v>
      </c>
      <c r="AB669" s="169">
        <v>3.0335383518753645E-3</v>
      </c>
    </row>
    <row r="670" spans="20:28" x14ac:dyDescent="0.2">
      <c r="T670" s="130"/>
      <c r="U670" s="151"/>
      <c r="X670" s="170" t="str">
        <f t="shared" si="19"/>
        <v>1w</v>
      </c>
      <c r="Y670" s="168">
        <f>_xll.qlCalendarAdvance(LiborCalendar,Y669,X670,"f",FALSE)</f>
        <v>43826</v>
      </c>
      <c r="Z670" s="171">
        <f>_xll.qlInterestRateIndexValueDate(IborIndex,Y670,Trigger)</f>
        <v>43830</v>
      </c>
      <c r="AA670" s="172">
        <v>3.4761082202837091E-3</v>
      </c>
      <c r="AB670" s="169">
        <v>3.1045525267758833E-3</v>
      </c>
    </row>
    <row r="671" spans="20:28" x14ac:dyDescent="0.2">
      <c r="T671" s="130"/>
      <c r="U671" s="151"/>
      <c r="X671" s="170" t="str">
        <f t="shared" si="19"/>
        <v>1w</v>
      </c>
      <c r="Y671" s="168">
        <f>_xll.qlCalendarAdvance(LiborCalendar,Y670,X671,"f",FALSE)</f>
        <v>43833</v>
      </c>
      <c r="Z671" s="171">
        <f>_xll.qlInterestRateIndexValueDate(IborIndex,Y671,Trigger)</f>
        <v>43837</v>
      </c>
      <c r="AA671" s="172">
        <v>3.5342342367031296E-3</v>
      </c>
      <c r="AB671" s="169">
        <v>3.1587812884570354E-3</v>
      </c>
    </row>
    <row r="672" spans="20:28" x14ac:dyDescent="0.2">
      <c r="T672" s="130"/>
      <c r="U672" s="151"/>
      <c r="X672" s="170" t="str">
        <f t="shared" si="19"/>
        <v>1w</v>
      </c>
      <c r="Y672" s="168">
        <f>_xll.qlCalendarAdvance(LiborCalendar,Y671,X672,"f",FALSE)</f>
        <v>43840</v>
      </c>
      <c r="Z672" s="171">
        <f>_xll.qlInterestRateIndexValueDate(IborIndex,Y672,Trigger)</f>
        <v>43844</v>
      </c>
      <c r="AA672" s="172">
        <v>3.592307966720529E-3</v>
      </c>
      <c r="AB672" s="169">
        <v>3.2171445768991447E-3</v>
      </c>
    </row>
    <row r="673" spans="20:28" x14ac:dyDescent="0.2">
      <c r="T673" s="130"/>
      <c r="U673" s="151"/>
      <c r="X673" s="170" t="str">
        <f t="shared" si="19"/>
        <v>1w</v>
      </c>
      <c r="Y673" s="168">
        <f>_xll.qlCalendarAdvance(LiborCalendar,Y672,X673,"f",FALSE)</f>
        <v>43847</v>
      </c>
      <c r="Z673" s="171">
        <f>_xll.qlInterestRateIndexValueDate(IborIndex,Y673,Trigger)</f>
        <v>43851</v>
      </c>
      <c r="AA673" s="172">
        <v>3.6503294080107336E-3</v>
      </c>
      <c r="AB673" s="169">
        <v>3.275454782762921E-3</v>
      </c>
    </row>
    <row r="674" spans="20:28" x14ac:dyDescent="0.2">
      <c r="T674" s="130"/>
      <c r="U674" s="151"/>
      <c r="X674" s="170" t="str">
        <f t="shared" si="19"/>
        <v>1w</v>
      </c>
      <c r="Y674" s="168">
        <f>_xll.qlCalendarAdvance(LiborCalendar,Y673,X674,"f",FALSE)</f>
        <v>43854</v>
      </c>
      <c r="Z674" s="171">
        <f>_xll.qlInterestRateIndexValueDate(IborIndex,Y674,Trigger)</f>
        <v>43858</v>
      </c>
      <c r="AA674" s="172">
        <v>3.7082985582512066E-3</v>
      </c>
      <c r="AB674" s="169">
        <v>3.3337119061283005E-3</v>
      </c>
    </row>
    <row r="675" spans="20:28" x14ac:dyDescent="0.2">
      <c r="T675" s="130"/>
      <c r="U675" s="151"/>
      <c r="X675" s="170" t="str">
        <f t="shared" si="19"/>
        <v>1w</v>
      </c>
      <c r="Y675" s="168">
        <f>_xll.qlCalendarAdvance(LiborCalendar,Y674,X675,"f",FALSE)</f>
        <v>43861</v>
      </c>
      <c r="Z675" s="171">
        <f>_xll.qlInterestRateIndexValueDate(IborIndex,Y675,Trigger)</f>
        <v>43865</v>
      </c>
      <c r="AA675" s="172">
        <v>3.7662154151185314E-3</v>
      </c>
      <c r="AB675" s="169">
        <v>3.391915946915347E-3</v>
      </c>
    </row>
    <row r="676" spans="20:28" x14ac:dyDescent="0.2">
      <c r="T676" s="130"/>
      <c r="U676" s="151"/>
      <c r="X676" s="170" t="str">
        <f t="shared" si="19"/>
        <v>1w</v>
      </c>
      <c r="Y676" s="168">
        <f>_xll.qlCalendarAdvance(LiborCalendar,Y675,X676,"f",FALSE)</f>
        <v>43868</v>
      </c>
      <c r="Z676" s="171">
        <f>_xll.qlInterestRateIndexValueDate(IborIndex,Y676,Trigger)</f>
        <v>43872</v>
      </c>
      <c r="AA676" s="172">
        <v>3.8199364468125552E-3</v>
      </c>
      <c r="AB676" s="169">
        <v>3.4500669051240607E-3</v>
      </c>
    </row>
    <row r="677" spans="20:28" x14ac:dyDescent="0.2">
      <c r="T677" s="130"/>
      <c r="U677" s="151"/>
      <c r="X677" s="170" t="str">
        <f t="shared" si="19"/>
        <v>1w</v>
      </c>
      <c r="Y677" s="168">
        <f>_xll.qlCalendarAdvance(LiborCalendar,Y676,X677,"f",FALSE)</f>
        <v>43875</v>
      </c>
      <c r="Z677" s="171">
        <f>_xll.qlInterestRateIndexValueDate(IborIndex,Y677,Trigger)</f>
        <v>43879</v>
      </c>
      <c r="AA677" s="172">
        <v>3.8777513721699464E-3</v>
      </c>
      <c r="AB677" s="169">
        <v>3.5081647807544414E-3</v>
      </c>
    </row>
    <row r="678" spans="20:28" x14ac:dyDescent="0.2">
      <c r="T678" s="130"/>
      <c r="U678" s="151"/>
      <c r="X678" s="170" t="str">
        <f t="shared" si="19"/>
        <v>1w</v>
      </c>
      <c r="Y678" s="168">
        <f>_xll.qlCalendarAdvance(LiborCalendar,Y677,X678,"f",FALSE)</f>
        <v>43882</v>
      </c>
      <c r="Z678" s="171">
        <f>_xll.qlInterestRateIndexValueDate(IborIndex,Y678,Trigger)</f>
        <v>43886</v>
      </c>
      <c r="AA678" s="172">
        <v>3.9396299815650177E-3</v>
      </c>
      <c r="AB678" s="169">
        <v>3.5662095737265531E-3</v>
      </c>
    </row>
    <row r="679" spans="20:28" x14ac:dyDescent="0.2">
      <c r="T679" s="130"/>
      <c r="U679" s="151"/>
      <c r="X679" s="170" t="str">
        <f t="shared" si="19"/>
        <v>1w</v>
      </c>
      <c r="Y679" s="168">
        <f>_xll.qlCalendarAdvance(LiborCalendar,Y678,X679,"f",FALSE)</f>
        <v>43889</v>
      </c>
      <c r="Z679" s="171">
        <f>_xll.qlInterestRateIndexValueDate(IborIndex,Y679,Trigger)</f>
        <v>43893</v>
      </c>
      <c r="AA679" s="172">
        <v>4.0013805301181878E-3</v>
      </c>
      <c r="AB679" s="169">
        <v>3.6242012840403959E-3</v>
      </c>
    </row>
    <row r="680" spans="20:28" x14ac:dyDescent="0.2">
      <c r="T680" s="130"/>
      <c r="U680" s="151"/>
      <c r="X680" s="170" t="str">
        <f t="shared" si="19"/>
        <v>1w</v>
      </c>
      <c r="Y680" s="168">
        <f>_xll.qlCalendarAdvance(LiborCalendar,Y679,X680,"f",FALSE)</f>
        <v>43896</v>
      </c>
      <c r="Z680" s="171">
        <f>_xll.qlInterestRateIndexValueDate(IborIndex,Y680,Trigger)</f>
        <v>43900</v>
      </c>
      <c r="AA680" s="172">
        <v>4.0588558120806433E-3</v>
      </c>
      <c r="AB680" s="169">
        <v>3.6821399116959697E-3</v>
      </c>
    </row>
    <row r="681" spans="20:28" x14ac:dyDescent="0.2">
      <c r="T681" s="130"/>
      <c r="U681" s="151"/>
      <c r="X681" s="170" t="str">
        <f t="shared" si="19"/>
        <v>1w</v>
      </c>
      <c r="Y681" s="168">
        <f>_xll.qlCalendarAdvance(LiborCalendar,Y680,X681,"f",FALSE)</f>
        <v>43903</v>
      </c>
      <c r="Z681" s="171">
        <f>_xll.qlInterestRateIndexValueDate(IborIndex,Y681,Trigger)</f>
        <v>43907</v>
      </c>
      <c r="AA681" s="172">
        <v>4.1161525552463095E-3</v>
      </c>
      <c r="AB681" s="169">
        <v>3.7400254566133384E-3</v>
      </c>
    </row>
    <row r="682" spans="20:28" x14ac:dyDescent="0.2">
      <c r="T682" s="130"/>
      <c r="U682" s="151"/>
      <c r="X682" s="170" t="str">
        <f t="shared" si="19"/>
        <v>1w</v>
      </c>
      <c r="Y682" s="168">
        <f>_xll.qlCalendarAdvance(LiborCalendar,Y681,X682,"f",FALSE)</f>
        <v>43910</v>
      </c>
      <c r="Z682" s="171">
        <f>_xll.qlInterestRateIndexValueDate(IborIndex,Y682,Trigger)</f>
        <v>43914</v>
      </c>
      <c r="AA682" s="172">
        <v>4.1732367649706939E-3</v>
      </c>
      <c r="AB682" s="169">
        <v>3.7978579187925021E-3</v>
      </c>
    </row>
    <row r="683" spans="20:28" x14ac:dyDescent="0.2">
      <c r="T683" s="130"/>
      <c r="U683" s="151"/>
      <c r="X683" s="170" t="str">
        <f t="shared" si="19"/>
        <v>1w</v>
      </c>
      <c r="Y683" s="168">
        <f>_xll.qlCalendarAdvance(LiborCalendar,Y682,X683,"f",FALSE)</f>
        <v>43917</v>
      </c>
      <c r="Z683" s="171">
        <f>_xll.qlInterestRateIndexValueDate(IborIndex,Y683,Trigger)</f>
        <v>43921</v>
      </c>
      <c r="AA683" s="172">
        <v>4.2260423104306119E-3</v>
      </c>
      <c r="AB683" s="169">
        <v>3.8556372981535247E-3</v>
      </c>
    </row>
    <row r="684" spans="20:28" x14ac:dyDescent="0.2">
      <c r="T684" s="130"/>
      <c r="U684" s="151"/>
      <c r="X684" s="170" t="str">
        <f t="shared" si="19"/>
        <v>1w</v>
      </c>
      <c r="Y684" s="168">
        <f>_xll.qlCalendarAdvance(LiborCalendar,Y683,X684,"f",FALSE)</f>
        <v>43924</v>
      </c>
      <c r="Z684" s="171">
        <f>_xll.qlInterestRateIndexValueDate(IborIndex,Y684,Trigger)</f>
        <v>43928</v>
      </c>
      <c r="AA684" s="172">
        <v>4.2826278593022238E-3</v>
      </c>
      <c r="AB684" s="169">
        <v>3.9133635947763423E-3</v>
      </c>
    </row>
    <row r="685" spans="20:28" x14ac:dyDescent="0.2">
      <c r="T685" s="130"/>
      <c r="U685" s="151"/>
      <c r="X685" s="170" t="str">
        <f t="shared" si="19"/>
        <v>1w</v>
      </c>
      <c r="Y685" s="168">
        <f>_xll.qlCalendarAdvance(LiborCalendar,Y684,X685,"f",FALSE)</f>
        <v>43935</v>
      </c>
      <c r="Z685" s="171">
        <f>_xll.qlInterestRateIndexValueDate(IborIndex,Y685,Trigger)</f>
        <v>43937</v>
      </c>
      <c r="AA685" s="172">
        <v>4.354916705766208E-3</v>
      </c>
      <c r="AB685" s="169">
        <v>3.9875051197757472E-3</v>
      </c>
    </row>
    <row r="686" spans="20:28" x14ac:dyDescent="0.2">
      <c r="T686" s="130"/>
      <c r="U686" s="151"/>
      <c r="X686" s="170" t="str">
        <f t="shared" si="19"/>
        <v>1w</v>
      </c>
      <c r="Y686" s="168">
        <f>_xll.qlCalendarAdvance(LiborCalendar,Y685,X686,"f",FALSE)</f>
        <v>43942</v>
      </c>
      <c r="Z686" s="171">
        <f>_xll.qlInterestRateIndexValueDate(IborIndex,Y686,Trigger)</f>
        <v>43944</v>
      </c>
      <c r="AA686" s="172">
        <v>4.4107374458992824E-3</v>
      </c>
      <c r="AB686" s="169">
        <v>4.0451100842542331E-3</v>
      </c>
    </row>
    <row r="687" spans="20:28" x14ac:dyDescent="0.2">
      <c r="T687" s="130"/>
      <c r="U687" s="151"/>
      <c r="X687" s="170" t="str">
        <f t="shared" si="19"/>
        <v>1w</v>
      </c>
      <c r="Y687" s="168">
        <f>_xll.qlCalendarAdvance(LiborCalendar,Y686,X687,"f",FALSE)</f>
        <v>43949</v>
      </c>
      <c r="Z687" s="171">
        <f>_xll.qlInterestRateIndexValueDate(IborIndex,Y687,Trigger)</f>
        <v>43951</v>
      </c>
      <c r="AA687" s="172">
        <v>4.4700652879794611E-3</v>
      </c>
      <c r="AB687" s="169">
        <v>4.1026619658346419E-3</v>
      </c>
    </row>
    <row r="688" spans="20:28" x14ac:dyDescent="0.2">
      <c r="T688" s="130"/>
      <c r="U688" s="151"/>
      <c r="X688" s="170" t="str">
        <f t="shared" si="19"/>
        <v>1w</v>
      </c>
      <c r="Y688" s="168">
        <f>_xll.qlCalendarAdvance(LiborCalendar,Y687,X688,"f",FALSE)</f>
        <v>43956</v>
      </c>
      <c r="Z688" s="171">
        <f>_xll.qlInterestRateIndexValueDate(IborIndex,Y688,Trigger)</f>
        <v>43958</v>
      </c>
      <c r="AA688" s="172">
        <v>4.5250350437345387E-3</v>
      </c>
      <c r="AB688" s="169">
        <v>4.1601607644370375E-3</v>
      </c>
    </row>
    <row r="689" spans="20:28" x14ac:dyDescent="0.2">
      <c r="T689" s="130"/>
      <c r="U689" s="151"/>
      <c r="X689" s="170" t="str">
        <f t="shared" si="19"/>
        <v>1w</v>
      </c>
      <c r="Y689" s="168">
        <f>_xll.qlCalendarAdvance(LiborCalendar,Y688,X689,"f",FALSE)</f>
        <v>43963</v>
      </c>
      <c r="Z689" s="171">
        <f>_xll.qlInterestRateIndexValueDate(IborIndex,Y689,Trigger)</f>
        <v>43965</v>
      </c>
      <c r="AA689" s="172">
        <v>4.5795445334130607E-3</v>
      </c>
      <c r="AB689" s="169">
        <v>4.217606480221292E-3</v>
      </c>
    </row>
    <row r="690" spans="20:28" x14ac:dyDescent="0.2">
      <c r="T690" s="130"/>
      <c r="U690" s="151"/>
      <c r="X690" s="170" t="str">
        <f t="shared" si="19"/>
        <v>1w</v>
      </c>
      <c r="Y690" s="168">
        <f>_xll.qlCalendarAdvance(LiborCalendar,Y689,X690,"f",FALSE)</f>
        <v>43970</v>
      </c>
      <c r="Z690" s="171">
        <f>_xll.qlInterestRateIndexValueDate(IborIndex,Y690,Trigger)</f>
        <v>43973</v>
      </c>
      <c r="AA690" s="172">
        <v>4.6488074542972348E-3</v>
      </c>
      <c r="AB690" s="169">
        <v>4.2951849277272913E-3</v>
      </c>
    </row>
    <row r="691" spans="20:28" x14ac:dyDescent="0.2">
      <c r="T691" s="130"/>
      <c r="U691" s="151"/>
      <c r="X691" s="170" t="str">
        <f t="shared" si="19"/>
        <v>1w</v>
      </c>
      <c r="Y691" s="168">
        <f>_xll.qlCalendarAdvance(LiborCalendar,Y690,X691,"f",FALSE)</f>
        <v>43977</v>
      </c>
      <c r="Z691" s="171">
        <f>_xll.qlInterestRateIndexValueDate(IborIndex,Y691,Trigger)</f>
        <v>43979</v>
      </c>
      <c r="AA691" s="172">
        <v>4.6870829598411531E-3</v>
      </c>
      <c r="AB691" s="169">
        <v>4.3315084639061752E-3</v>
      </c>
    </row>
    <row r="692" spans="20:28" x14ac:dyDescent="0.2">
      <c r="T692" s="130"/>
      <c r="U692" s="151"/>
      <c r="X692" s="170" t="str">
        <f t="shared" si="19"/>
        <v>1w</v>
      </c>
      <c r="Y692" s="168">
        <f>_xll.qlCalendarAdvance(LiborCalendar,Y691,X692,"f",FALSE)</f>
        <v>43984</v>
      </c>
      <c r="Z692" s="171">
        <f>_xll.qlInterestRateIndexValueDate(IborIndex,Y692,Trigger)</f>
        <v>43986</v>
      </c>
      <c r="AA692" s="172">
        <v>4.740103432307536E-3</v>
      </c>
      <c r="AB692" s="169">
        <v>4.3877112702350729E-3</v>
      </c>
    </row>
    <row r="693" spans="20:28" x14ac:dyDescent="0.2">
      <c r="T693" s="130"/>
      <c r="U693" s="151"/>
      <c r="X693" s="170" t="str">
        <f t="shared" si="19"/>
        <v>1w</v>
      </c>
      <c r="Y693" s="168">
        <f>_xll.qlCalendarAdvance(LiborCalendar,Y692,X693,"f",FALSE)</f>
        <v>43991</v>
      </c>
      <c r="Z693" s="171">
        <f>_xll.qlInterestRateIndexValueDate(IborIndex,Y693,Trigger)</f>
        <v>43993</v>
      </c>
      <c r="AA693" s="172">
        <v>4.7926247116583786E-3</v>
      </c>
      <c r="AB693" s="169">
        <v>4.443414780199717E-3</v>
      </c>
    </row>
    <row r="694" spans="20:28" x14ac:dyDescent="0.2">
      <c r="T694" s="130"/>
      <c r="U694" s="151"/>
      <c r="X694" s="170" t="str">
        <f t="shared" si="19"/>
        <v>1w</v>
      </c>
      <c r="Y694" s="168">
        <f>_xll.qlCalendarAdvance(LiborCalendar,Y693,X694,"f",FALSE)</f>
        <v>43998</v>
      </c>
      <c r="Z694" s="171">
        <f>_xll.qlInterestRateIndexValueDate(IborIndex,Y694,Trigger)</f>
        <v>44000</v>
      </c>
      <c r="AA694" s="172">
        <v>4.8446467778001899E-3</v>
      </c>
      <c r="AB694" s="169">
        <v>4.4986189934004273E-3</v>
      </c>
    </row>
    <row r="695" spans="20:28" x14ac:dyDescent="0.2">
      <c r="T695" s="130"/>
      <c r="U695" s="151"/>
      <c r="X695" s="170" t="str">
        <f t="shared" si="19"/>
        <v>1w</v>
      </c>
      <c r="Y695" s="168">
        <f>_xll.qlCalendarAdvance(LiborCalendar,Y694,X695,"f",FALSE)</f>
        <v>44005</v>
      </c>
      <c r="Z695" s="171">
        <f>_xll.qlInterestRateIndexValueDate(IborIndex,Y695,Trigger)</f>
        <v>44007</v>
      </c>
      <c r="AA695" s="172">
        <v>4.8961696108245469E-3</v>
      </c>
      <c r="AB695" s="169">
        <v>4.5533239096773315E-3</v>
      </c>
    </row>
    <row r="696" spans="20:28" x14ac:dyDescent="0.2">
      <c r="T696" s="130"/>
      <c r="U696" s="151"/>
      <c r="X696" s="170" t="str">
        <f t="shared" si="19"/>
        <v>1w</v>
      </c>
      <c r="Y696" s="168">
        <f>_xll.qlCalendarAdvance(LiborCalendar,Y695,X696,"f",FALSE)</f>
        <v>44012</v>
      </c>
      <c r="Z696" s="171">
        <f>_xll.qlInterestRateIndexValueDate(IborIndex,Y696,Trigger)</f>
        <v>44014</v>
      </c>
      <c r="AA696" s="172">
        <v>4.9471931910202603E-3</v>
      </c>
      <c r="AB696" s="169">
        <v>4.6075295287106854E-3</v>
      </c>
    </row>
    <row r="697" spans="20:28" x14ac:dyDescent="0.2">
      <c r="T697" s="130"/>
      <c r="U697" s="151"/>
      <c r="X697" s="170" t="str">
        <f t="shared" si="19"/>
        <v>1w</v>
      </c>
      <c r="Y697" s="168">
        <f>_xll.qlCalendarAdvance(LiborCalendar,Y696,X697,"f",FALSE)</f>
        <v>44019</v>
      </c>
      <c r="Z697" s="171">
        <f>_xll.qlInterestRateIndexValueDate(IborIndex,Y697,Trigger)</f>
        <v>44021</v>
      </c>
      <c r="AA697" s="172">
        <v>4.9977174988638162E-3</v>
      </c>
      <c r="AB697" s="169">
        <v>4.6612358505004892E-3</v>
      </c>
    </row>
    <row r="698" spans="20:28" x14ac:dyDescent="0.2">
      <c r="T698" s="130"/>
      <c r="U698" s="151"/>
      <c r="X698" s="170" t="str">
        <f t="shared" si="19"/>
        <v>1w</v>
      </c>
      <c r="Y698" s="168">
        <f>_xll.qlCalendarAdvance(LiborCalendar,Y697,X698,"f",FALSE)</f>
        <v>44026</v>
      </c>
      <c r="Z698" s="171">
        <f>_xll.qlInterestRateIndexValueDate(IborIndex,Y698,Trigger)</f>
        <v>44028</v>
      </c>
      <c r="AA698" s="172">
        <v>5.0477425150219843E-3</v>
      </c>
      <c r="AB698" s="169">
        <v>4.7144428744871902E-3</v>
      </c>
    </row>
    <row r="699" spans="20:28" x14ac:dyDescent="0.2">
      <c r="T699" s="130"/>
      <c r="U699" s="151"/>
      <c r="X699" s="170" t="str">
        <f t="shared" si="19"/>
        <v>1w</v>
      </c>
      <c r="Y699" s="168">
        <f>_xll.qlCalendarAdvance(LiborCalendar,Y698,X699,"f",FALSE)</f>
        <v>44033</v>
      </c>
      <c r="Z699" s="171">
        <f>_xll.qlInterestRateIndexValueDate(IborIndex,Y699,Trigger)</f>
        <v>44035</v>
      </c>
      <c r="AA699" s="172">
        <v>5.0972682203552925E-3</v>
      </c>
      <c r="AB699" s="169">
        <v>4.7671506006707887E-3</v>
      </c>
    </row>
    <row r="700" spans="20:28" x14ac:dyDescent="0.2">
      <c r="T700" s="130"/>
      <c r="U700" s="151"/>
      <c r="X700" s="170" t="str">
        <f t="shared" si="19"/>
        <v>1w</v>
      </c>
      <c r="Y700" s="168">
        <f>_xll.qlCalendarAdvance(LiborCalendar,Y699,X700,"f",FALSE)</f>
        <v>44040</v>
      </c>
      <c r="Z700" s="171">
        <f>_xll.qlInterestRateIndexValueDate(IborIndex,Y700,Trigger)</f>
        <v>44042</v>
      </c>
      <c r="AA700" s="172">
        <v>5.1462945959128131E-3</v>
      </c>
      <c r="AB700" s="169">
        <v>4.8193590288114763E-3</v>
      </c>
    </row>
    <row r="701" spans="20:28" x14ac:dyDescent="0.2">
      <c r="T701" s="130"/>
      <c r="U701" s="151"/>
      <c r="X701" s="170" t="str">
        <f t="shared" si="19"/>
        <v>1w</v>
      </c>
      <c r="Y701" s="168">
        <f>_xll.qlCalendarAdvance(LiborCalendar,Y700,X701,"f",FALSE)</f>
        <v>44047</v>
      </c>
      <c r="Z701" s="171">
        <f>_xll.qlInterestRateIndexValueDate(IborIndex,Y701,Trigger)</f>
        <v>44049</v>
      </c>
      <c r="AA701" s="172">
        <v>5.1948216229338994E-3</v>
      </c>
      <c r="AB701" s="169">
        <v>4.8710681586694449E-3</v>
      </c>
    </row>
    <row r="702" spans="20:28" x14ac:dyDescent="0.2">
      <c r="T702" s="130"/>
      <c r="U702" s="151"/>
      <c r="X702" s="170" t="str">
        <f t="shared" si="19"/>
        <v>1w</v>
      </c>
      <c r="Y702" s="168">
        <f>_xll.qlCalendarAdvance(LiborCalendar,Y701,X702,"f",FALSE)</f>
        <v>44054</v>
      </c>
      <c r="Z702" s="171">
        <f>_xll.qlInterestRateIndexValueDate(IborIndex,Y702,Trigger)</f>
        <v>44056</v>
      </c>
      <c r="AA702" s="172">
        <v>5.2428492828516665E-3</v>
      </c>
      <c r="AB702" s="169">
        <v>4.9222779900048863E-3</v>
      </c>
    </row>
    <row r="703" spans="20:28" x14ac:dyDescent="0.2">
      <c r="T703" s="130"/>
      <c r="U703" s="151"/>
      <c r="X703" s="170" t="str">
        <f t="shared" si="19"/>
        <v>1w</v>
      </c>
      <c r="Y703" s="168">
        <f>_xll.qlCalendarAdvance(LiborCalendar,Y702,X703,"f",FALSE)</f>
        <v>44061</v>
      </c>
      <c r="Z703" s="171">
        <f>_xll.qlInterestRateIndexValueDate(IborIndex,Y703,Trigger)</f>
        <v>44063</v>
      </c>
      <c r="AA703" s="172">
        <v>5.2903775572869013E-3</v>
      </c>
      <c r="AB703" s="169">
        <v>4.9729885225779924E-3</v>
      </c>
    </row>
    <row r="704" spans="20:28" x14ac:dyDescent="0.2">
      <c r="T704" s="130"/>
      <c r="U704" s="151"/>
      <c r="X704" s="170" t="str">
        <f t="shared" si="19"/>
        <v>1w</v>
      </c>
      <c r="Y704" s="168">
        <f>_xll.qlCalendarAdvance(LiborCalendar,Y703,X704,"f",FALSE)</f>
        <v>44068</v>
      </c>
      <c r="Z704" s="171">
        <f>_xll.qlInterestRateIndexValueDate(IborIndex,Y704,Trigger)</f>
        <v>44070</v>
      </c>
      <c r="AA704" s="172">
        <v>5.3374064280550205E-3</v>
      </c>
      <c r="AB704" s="169">
        <v>5.0231997563088271E-3</v>
      </c>
    </row>
    <row r="705" spans="20:28" x14ac:dyDescent="0.2">
      <c r="T705" s="130"/>
      <c r="U705" s="151"/>
      <c r="X705" s="170" t="str">
        <f t="shared" si="19"/>
        <v>1w</v>
      </c>
      <c r="Y705" s="168">
        <f>_xll.qlCalendarAdvance(LiborCalendar,Y704,X705,"f",FALSE)</f>
        <v>44075</v>
      </c>
      <c r="Z705" s="171">
        <f>_xll.qlInterestRateIndexValueDate(IborIndex,Y705,Trigger)</f>
        <v>44077</v>
      </c>
      <c r="AA705" s="172">
        <v>5.3806665193069326E-3</v>
      </c>
      <c r="AB705" s="169">
        <v>5.0729116907977101E-3</v>
      </c>
    </row>
    <row r="706" spans="20:28" x14ac:dyDescent="0.2">
      <c r="T706" s="130"/>
      <c r="U706" s="151"/>
      <c r="X706" s="170" t="str">
        <f t="shared" si="19"/>
        <v>1w</v>
      </c>
      <c r="Y706" s="168">
        <f>_xll.qlCalendarAdvance(LiborCalendar,Y705,X706,"f",FALSE)</f>
        <v>44082</v>
      </c>
      <c r="Z706" s="171">
        <f>_xll.qlInterestRateIndexValueDate(IborIndex,Y706,Trigger)</f>
        <v>44084</v>
      </c>
      <c r="AA706" s="172">
        <v>5.4267315137087515E-3</v>
      </c>
      <c r="AB706" s="169">
        <v>5.1221243259647053E-3</v>
      </c>
    </row>
    <row r="707" spans="20:28" x14ac:dyDescent="0.2">
      <c r="T707" s="130"/>
      <c r="U707" s="151"/>
      <c r="X707" s="170" t="str">
        <f t="shared" si="19"/>
        <v>1w</v>
      </c>
      <c r="Y707" s="168">
        <f>_xll.qlCalendarAdvance(LiborCalendar,Y706,X707,"f",FALSE)</f>
        <v>44089</v>
      </c>
      <c r="Z707" s="171">
        <f>_xll.qlInterestRateIndexValueDate(IborIndex,Y707,Trigger)</f>
        <v>44091</v>
      </c>
      <c r="AA707" s="172">
        <v>5.472297053972743E-3</v>
      </c>
      <c r="AB707" s="169">
        <v>5.1708376616499407E-3</v>
      </c>
    </row>
    <row r="708" spans="20:28" x14ac:dyDescent="0.2">
      <c r="T708" s="130"/>
      <c r="U708" s="151"/>
      <c r="X708" s="170" t="str">
        <f t="shared" si="19"/>
        <v>1w</v>
      </c>
      <c r="Y708" s="168">
        <f>_xll.qlCalendarAdvance(LiborCalendar,Y707,X708,"f",FALSE)</f>
        <v>44096</v>
      </c>
      <c r="Z708" s="171">
        <f>_xll.qlInterestRateIndexValueDate(IborIndex,Y708,Trigger)</f>
        <v>44098</v>
      </c>
      <c r="AA708" s="172">
        <v>5.5173631228494077E-3</v>
      </c>
      <c r="AB708" s="169">
        <v>5.2190516976136081E-3</v>
      </c>
    </row>
    <row r="709" spans="20:28" x14ac:dyDescent="0.2">
      <c r="T709" s="130"/>
      <c r="U709" s="151"/>
      <c r="X709" s="170" t="str">
        <f t="shared" si="19"/>
        <v>1w</v>
      </c>
      <c r="Y709" s="168">
        <f>_xll.qlCalendarAdvance(LiborCalendar,Y708,X709,"f",FALSE)</f>
        <v>44103</v>
      </c>
      <c r="Z709" s="171">
        <f>_xll.qlInterestRateIndexValueDate(IborIndex,Y709,Trigger)</f>
        <v>44105</v>
      </c>
      <c r="AA709" s="172">
        <v>5.5744274851520746E-3</v>
      </c>
      <c r="AB709" s="169">
        <v>5.2667664335359632E-3</v>
      </c>
    </row>
    <row r="710" spans="20:28" x14ac:dyDescent="0.2">
      <c r="T710" s="130"/>
      <c r="U710" s="151"/>
      <c r="X710" s="170" t="str">
        <f t="shared" si="19"/>
        <v>1w</v>
      </c>
      <c r="Y710" s="168">
        <f>_xll.qlCalendarAdvance(LiborCalendar,Y709,X710,"f",FALSE)</f>
        <v>44110</v>
      </c>
      <c r="Z710" s="171">
        <f>_xll.qlInterestRateIndexValueDate(IborIndex,Y710,Trigger)</f>
        <v>44112</v>
      </c>
      <c r="AA710" s="172">
        <v>5.609091181239317E-3</v>
      </c>
      <c r="AB710" s="169">
        <v>5.31398186933707E-3</v>
      </c>
    </row>
    <row r="711" spans="20:28" x14ac:dyDescent="0.2">
      <c r="T711" s="130"/>
      <c r="U711" s="151"/>
      <c r="X711" s="170" t="str">
        <f t="shared" si="19"/>
        <v>1w</v>
      </c>
      <c r="Y711" s="168">
        <f>_xll.qlCalendarAdvance(LiborCalendar,Y710,X711,"f",FALSE)</f>
        <v>44117</v>
      </c>
      <c r="Z711" s="171">
        <f>_xll.qlInterestRateIndexValueDate(IborIndex,Y711,Trigger)</f>
        <v>44119</v>
      </c>
      <c r="AA711" s="172">
        <v>5.6526237331469198E-3</v>
      </c>
      <c r="AB711" s="169">
        <v>5.3606980049369923E-3</v>
      </c>
    </row>
    <row r="712" spans="20:28" x14ac:dyDescent="0.2">
      <c r="T712" s="130"/>
      <c r="U712" s="151"/>
      <c r="X712" s="170" t="str">
        <f t="shared" si="19"/>
        <v>1w</v>
      </c>
      <c r="Y712" s="168">
        <f>_xll.qlCalendarAdvance(LiborCalendar,Y711,X712,"f",FALSE)</f>
        <v>44124</v>
      </c>
      <c r="Z712" s="171">
        <f>_xll.qlInterestRateIndexValueDate(IborIndex,Y712,Trigger)</f>
        <v>44126</v>
      </c>
      <c r="AA712" s="172">
        <v>5.6956567427652489E-3</v>
      </c>
      <c r="AB712" s="169">
        <v>5.406914839856114E-3</v>
      </c>
    </row>
    <row r="713" spans="20:28" x14ac:dyDescent="0.2">
      <c r="T713" s="130"/>
      <c r="U713" s="151"/>
      <c r="X713" s="170" t="str">
        <f t="shared" si="19"/>
        <v>1w</v>
      </c>
      <c r="Y713" s="168">
        <f>_xll.qlCalendarAdvance(LiborCalendar,Y712,X713,"f",FALSE)</f>
        <v>44131</v>
      </c>
      <c r="Z713" s="171">
        <f>_xll.qlInterestRateIndexValueDate(IborIndex,Y713,Trigger)</f>
        <v>44133</v>
      </c>
      <c r="AA713" s="172">
        <v>5.7381901936309531E-3</v>
      </c>
      <c r="AB713" s="169">
        <v>5.4526323739345628E-3</v>
      </c>
    </row>
    <row r="714" spans="20:28" x14ac:dyDescent="0.2">
      <c r="T714" s="130"/>
      <c r="U714" s="151"/>
      <c r="X714" s="170" t="str">
        <f t="shared" si="19"/>
        <v>1w</v>
      </c>
      <c r="Y714" s="168">
        <f>_xll.qlCalendarAdvance(LiborCalendar,Y713,X714,"f",FALSE)</f>
        <v>44138</v>
      </c>
      <c r="Z714" s="171">
        <f>_xll.qlInterestRateIndexValueDate(IborIndex,Y714,Trigger)</f>
        <v>44140</v>
      </c>
      <c r="AA714" s="172">
        <v>5.7802240694674861E-3</v>
      </c>
      <c r="AB714" s="169">
        <v>5.4978506072522748E-3</v>
      </c>
    </row>
    <row r="715" spans="20:28" x14ac:dyDescent="0.2">
      <c r="T715" s="130"/>
      <c r="U715" s="151"/>
      <c r="X715" s="170" t="str">
        <f t="shared" si="19"/>
        <v>1w</v>
      </c>
      <c r="Y715" s="168">
        <f>_xll.qlCalendarAdvance(LiborCalendar,Y714,X715,"f",FALSE)</f>
        <v>44145</v>
      </c>
      <c r="Z715" s="171">
        <f>_xll.qlInterestRateIndexValueDate(IborIndex,Y715,Trigger)</f>
        <v>44147</v>
      </c>
      <c r="AA715" s="172">
        <v>5.8217583541868472E-3</v>
      </c>
      <c r="AB715" s="169">
        <v>5.5425695394095698E-3</v>
      </c>
    </row>
    <row r="716" spans="20:28" x14ac:dyDescent="0.2">
      <c r="T716" s="130"/>
      <c r="U716" s="151"/>
      <c r="X716" s="170" t="str">
        <f t="shared" si="19"/>
        <v>1w</v>
      </c>
      <c r="Y716" s="168">
        <f>_xll.qlCalendarAdvance(LiborCalendar,Y715,X716,"f",FALSE)</f>
        <v>44152</v>
      </c>
      <c r="Z716" s="171">
        <f>_xll.qlInterestRateIndexValueDate(IborIndex,Y716,Trigger)</f>
        <v>44154</v>
      </c>
      <c r="AA716" s="172">
        <v>5.8627930318974021E-3</v>
      </c>
      <c r="AB716" s="169">
        <v>5.5867891702465755E-3</v>
      </c>
    </row>
    <row r="717" spans="20:28" x14ac:dyDescent="0.2">
      <c r="T717" s="130"/>
      <c r="U717" s="151"/>
      <c r="X717" s="170" t="str">
        <f t="shared" si="19"/>
        <v>1w</v>
      </c>
      <c r="Y717" s="168">
        <f>_xll.qlCalendarAdvance(LiborCalendar,Y716,X717,"f",FALSE)</f>
        <v>44159</v>
      </c>
      <c r="Z717" s="171">
        <f>_xll.qlInterestRateIndexValueDate(IborIndex,Y717,Trigger)</f>
        <v>44161</v>
      </c>
      <c r="AA717" s="172">
        <v>5.9033280868925828E-3</v>
      </c>
      <c r="AB717" s="169">
        <v>5.6305094997632921E-3</v>
      </c>
    </row>
    <row r="718" spans="20:28" x14ac:dyDescent="0.2">
      <c r="T718" s="130"/>
      <c r="U718" s="151"/>
      <c r="X718" s="170" t="str">
        <f t="shared" si="19"/>
        <v>1w</v>
      </c>
      <c r="Y718" s="168">
        <f>_xll.qlCalendarAdvance(LiborCalendar,Y717,X718,"f",FALSE)</f>
        <v>44166</v>
      </c>
      <c r="Z718" s="171">
        <f>_xll.qlInterestRateIndexValueDate(IborIndex,Y718,Trigger)</f>
        <v>44168</v>
      </c>
      <c r="AA718" s="172">
        <v>5.9377316407474012E-3</v>
      </c>
      <c r="AB718" s="169">
        <v>5.6737305274801031E-3</v>
      </c>
    </row>
    <row r="719" spans="20:28" x14ac:dyDescent="0.2">
      <c r="T719" s="130"/>
      <c r="U719" s="151"/>
      <c r="X719" s="170" t="str">
        <f t="shared" si="19"/>
        <v>1w</v>
      </c>
      <c r="Y719" s="168">
        <f>_xll.qlCalendarAdvance(LiborCalendar,Y718,X719,"f",FALSE)</f>
        <v>44173</v>
      </c>
      <c r="Z719" s="171">
        <f>_xll.qlInterestRateIndexValueDate(IborIndex,Y719,Trigger)</f>
        <v>44175</v>
      </c>
      <c r="AA719" s="172">
        <v>5.9773374756462161E-3</v>
      </c>
      <c r="AB719" s="169">
        <v>5.7164522533970086E-3</v>
      </c>
    </row>
    <row r="720" spans="20:28" x14ac:dyDescent="0.2">
      <c r="T720" s="130"/>
      <c r="U720" s="151"/>
      <c r="X720" s="170" t="str">
        <f t="shared" si="19"/>
        <v>1w</v>
      </c>
      <c r="Y720" s="168">
        <f>_xll.qlCalendarAdvance(LiborCalendar,Y719,X720,"f",FALSE)</f>
        <v>44180</v>
      </c>
      <c r="Z720" s="171">
        <f>_xll.qlInterestRateIndexValueDate(IborIndex,Y720,Trigger)</f>
        <v>44182</v>
      </c>
      <c r="AA720" s="172">
        <v>6.0164436519833941E-3</v>
      </c>
      <c r="AB720" s="169">
        <v>5.7586746771942643E-3</v>
      </c>
    </row>
    <row r="721" spans="20:28" x14ac:dyDescent="0.2">
      <c r="T721" s="130"/>
      <c r="U721" s="151"/>
      <c r="X721" s="170" t="str">
        <f t="shared" si="19"/>
        <v>1w</v>
      </c>
      <c r="Y721" s="168">
        <f>_xll.qlCalendarAdvance(LiborCalendar,Y720,X721,"f",FALSE)</f>
        <v>44187</v>
      </c>
      <c r="Z721" s="171">
        <f>_xll.qlInterestRateIndexValueDate(IborIndex,Y721,Trigger)</f>
        <v>44189</v>
      </c>
      <c r="AA721" s="172">
        <v>6.055050155121755E-3</v>
      </c>
      <c r="AB721" s="169">
        <v>5.812404472351318E-3</v>
      </c>
    </row>
    <row r="722" spans="20:28" x14ac:dyDescent="0.2">
      <c r="T722" s="130"/>
      <c r="U722" s="151"/>
      <c r="X722" s="170" t="str">
        <f t="shared" si="19"/>
        <v>1w</v>
      </c>
      <c r="Y722" s="168">
        <f>_xll.qlCalendarAdvance(LiborCalendar,Y721,X722,"f",FALSE)</f>
        <v>44194</v>
      </c>
      <c r="Z722" s="171">
        <f>_xll.qlInterestRateIndexValueDate(IborIndex,Y722,Trigger)</f>
        <v>44196</v>
      </c>
      <c r="AA722" s="172">
        <v>6.0931569706053068E-3</v>
      </c>
      <c r="AB722" s="169">
        <v>5.8505265788189043E-3</v>
      </c>
    </row>
    <row r="723" spans="20:28" x14ac:dyDescent="0.2">
      <c r="T723" s="130"/>
      <c r="U723" s="151"/>
      <c r="X723" s="170" t="str">
        <f t="shared" si="19"/>
        <v>1w</v>
      </c>
      <c r="Y723" s="168">
        <f>_xll.qlCalendarAdvance(LiborCalendar,Y722,X723,"f",FALSE)</f>
        <v>44201</v>
      </c>
      <c r="Z723" s="171">
        <f>_xll.qlInterestRateIndexValueDate(IborIndex,Y723,Trigger)</f>
        <v>44203</v>
      </c>
      <c r="AA723" s="172">
        <v>6.1307640841681277E-3</v>
      </c>
      <c r="AB723" s="169">
        <v>5.8823461349888362E-3</v>
      </c>
    </row>
    <row r="724" spans="20:28" x14ac:dyDescent="0.2">
      <c r="T724" s="130"/>
      <c r="U724" s="151"/>
      <c r="X724" s="170" t="str">
        <f t="shared" si="19"/>
        <v>1w</v>
      </c>
      <c r="Y724" s="168">
        <f>_xll.qlCalendarAdvance(LiborCalendar,Y723,X724,"f",FALSE)</f>
        <v>44208</v>
      </c>
      <c r="Z724" s="171">
        <f>_xll.qlInterestRateIndexValueDate(IborIndex,Y724,Trigger)</f>
        <v>44210</v>
      </c>
      <c r="AA724" s="172">
        <v>6.1678714817308133E-3</v>
      </c>
      <c r="AB724" s="169">
        <v>5.922571349108452E-3</v>
      </c>
    </row>
    <row r="725" spans="20:28" x14ac:dyDescent="0.2">
      <c r="T725" s="130"/>
      <c r="U725" s="151"/>
      <c r="X725" s="170" t="str">
        <f t="shared" ref="X725:X788" si="20">X724</f>
        <v>1w</v>
      </c>
      <c r="Y725" s="168">
        <f>_xll.qlCalendarAdvance(LiborCalendar,Y724,X725,"f",FALSE)</f>
        <v>44215</v>
      </c>
      <c r="Z725" s="171">
        <f>_xll.qlInterestRateIndexValueDate(IborIndex,Y725,Trigger)</f>
        <v>44217</v>
      </c>
      <c r="AA725" s="172">
        <v>6.204479149400477E-3</v>
      </c>
      <c r="AB725" s="169">
        <v>5.9622972602291213E-3</v>
      </c>
    </row>
    <row r="726" spans="20:28" x14ac:dyDescent="0.2">
      <c r="T726" s="130"/>
      <c r="U726" s="151"/>
      <c r="X726" s="170" t="str">
        <f t="shared" si="20"/>
        <v>1w</v>
      </c>
      <c r="Y726" s="168">
        <f>_xll.qlCalendarAdvance(LiborCalendar,Y725,X726,"f",FALSE)</f>
        <v>44222</v>
      </c>
      <c r="Z726" s="171">
        <f>_xll.qlInterestRateIndexValueDate(IborIndex,Y726,Trigger)</f>
        <v>44224</v>
      </c>
      <c r="AA726" s="172">
        <v>6.2405870734725255E-3</v>
      </c>
      <c r="AB726" s="169">
        <v>6.0015238683508443E-3</v>
      </c>
    </row>
    <row r="727" spans="20:28" x14ac:dyDescent="0.2">
      <c r="T727" s="130"/>
      <c r="U727" s="151"/>
      <c r="X727" s="170" t="str">
        <f t="shared" si="20"/>
        <v>1w</v>
      </c>
      <c r="Y727" s="168">
        <f>_xll.qlCalendarAdvance(LiborCalendar,Y726,X727,"f",FALSE)</f>
        <v>44229</v>
      </c>
      <c r="Z727" s="171">
        <f>_xll.qlInterestRateIndexValueDate(IborIndex,Y727,Trigger)</f>
        <v>44231</v>
      </c>
      <c r="AA727" s="172">
        <v>6.2736898541388923E-3</v>
      </c>
      <c r="AB727" s="169">
        <v>6.0402511733137487E-3</v>
      </c>
    </row>
    <row r="728" spans="20:28" x14ac:dyDescent="0.2">
      <c r="T728" s="130"/>
      <c r="U728" s="151"/>
      <c r="X728" s="170" t="str">
        <f t="shared" si="20"/>
        <v>1w</v>
      </c>
      <c r="Y728" s="168">
        <f>_xll.qlCalendarAdvance(LiborCalendar,Y727,X728,"f",FALSE)</f>
        <v>44236</v>
      </c>
      <c r="Z728" s="171">
        <f>_xll.qlInterestRateIndexValueDate(IborIndex,Y728,Trigger)</f>
        <v>44238</v>
      </c>
      <c r="AA728" s="172">
        <v>6.3088333359534393E-3</v>
      </c>
      <c r="AB728" s="169">
        <v>6.0784791748780265E-3</v>
      </c>
    </row>
    <row r="729" spans="20:28" x14ac:dyDescent="0.2">
      <c r="T729" s="130"/>
      <c r="U729" s="151"/>
      <c r="X729" s="170" t="str">
        <f t="shared" si="20"/>
        <v>1w</v>
      </c>
      <c r="Y729" s="168">
        <f>_xll.qlCalendarAdvance(LiborCalendar,Y728,X729,"f",FALSE)</f>
        <v>44243</v>
      </c>
      <c r="Z729" s="171">
        <f>_xll.qlInterestRateIndexValueDate(IborIndex,Y729,Trigger)</f>
        <v>44245</v>
      </c>
      <c r="AA729" s="172">
        <v>6.3434770548205554E-3</v>
      </c>
      <c r="AB729" s="169">
        <v>6.1162078729637415E-3</v>
      </c>
    </row>
    <row r="730" spans="20:28" x14ac:dyDescent="0.2">
      <c r="T730" s="130"/>
      <c r="U730" s="151"/>
      <c r="X730" s="170" t="str">
        <f t="shared" si="20"/>
        <v>1w</v>
      </c>
      <c r="Y730" s="168">
        <f>_xll.qlCalendarAdvance(LiborCalendar,Y729,X730,"f",FALSE)</f>
        <v>44250</v>
      </c>
      <c r="Z730" s="171">
        <f>_xll.qlInterestRateIndexValueDate(IborIndex,Y730,Trigger)</f>
        <v>44252</v>
      </c>
      <c r="AA730" s="172">
        <v>6.3776283007461439E-3</v>
      </c>
      <c r="AB730" s="169">
        <v>6.1534372672511495E-3</v>
      </c>
    </row>
    <row r="731" spans="20:28" x14ac:dyDescent="0.2">
      <c r="T731" s="130"/>
      <c r="U731" s="151"/>
      <c r="X731" s="170" t="str">
        <f t="shared" si="20"/>
        <v>1w</v>
      </c>
      <c r="Y731" s="168">
        <f>_xll.qlCalendarAdvance(LiborCalendar,Y730,X731,"f",FALSE)</f>
        <v>44257</v>
      </c>
      <c r="Z731" s="171">
        <f>_xll.qlInterestRateIndexValueDate(IborIndex,Y731,Trigger)</f>
        <v>44259</v>
      </c>
      <c r="AA731" s="172">
        <v>6.4184310835613276E-3</v>
      </c>
      <c r="AB731" s="169">
        <v>6.1901673578201866E-3</v>
      </c>
    </row>
    <row r="732" spans="20:28" x14ac:dyDescent="0.2">
      <c r="T732" s="130"/>
      <c r="U732" s="151"/>
      <c r="X732" s="170" t="str">
        <f t="shared" si="20"/>
        <v>1w</v>
      </c>
      <c r="Y732" s="168">
        <f>_xll.qlCalendarAdvance(LiborCalendar,Y731,X732,"f",FALSE)</f>
        <v>44264</v>
      </c>
      <c r="Z732" s="171">
        <f>_xll.qlInterestRateIndexValueDate(IborIndex,Y732,Trigger)</f>
        <v>44266</v>
      </c>
      <c r="AA732" s="172">
        <v>6.4516059764002419E-3</v>
      </c>
      <c r="AB732" s="169">
        <v>6.2263981443511085E-3</v>
      </c>
    </row>
    <row r="733" spans="20:28" x14ac:dyDescent="0.2">
      <c r="T733" s="130"/>
      <c r="U733" s="151"/>
      <c r="X733" s="170" t="str">
        <f t="shared" si="20"/>
        <v>1w</v>
      </c>
      <c r="Y733" s="168">
        <f>_xll.qlCalendarAdvance(LiborCalendar,Y732,X733,"f",FALSE)</f>
        <v>44271</v>
      </c>
      <c r="Z733" s="171">
        <f>_xll.qlInterestRateIndexValueDate(IborIndex,Y733,Trigger)</f>
        <v>44273</v>
      </c>
      <c r="AA733" s="172">
        <v>6.4843830464818113E-3</v>
      </c>
      <c r="AB733" s="169">
        <v>6.2621296267639792E-3</v>
      </c>
    </row>
    <row r="734" spans="20:28" x14ac:dyDescent="0.2">
      <c r="T734" s="130"/>
      <c r="U734" s="151"/>
      <c r="X734" s="170" t="str">
        <f t="shared" si="20"/>
        <v>1w</v>
      </c>
      <c r="Y734" s="168">
        <f>_xll.qlCalendarAdvance(LiborCalendar,Y733,X734,"f",FALSE)</f>
        <v>44278</v>
      </c>
      <c r="Z734" s="171">
        <f>_xll.qlInterestRateIndexValueDate(IborIndex,Y734,Trigger)</f>
        <v>44280</v>
      </c>
      <c r="AA734" s="172">
        <v>6.5167908504830578E-3</v>
      </c>
      <c r="AB734" s="169">
        <v>6.2973618048989266E-3</v>
      </c>
    </row>
    <row r="735" spans="20:28" x14ac:dyDescent="0.2">
      <c r="T735" s="130"/>
      <c r="U735" s="151"/>
      <c r="X735" s="170" t="str">
        <f t="shared" si="20"/>
        <v>1w</v>
      </c>
      <c r="Y735" s="168">
        <f>_xll.qlCalendarAdvance(LiborCalendar,Y734,X735,"f",FALSE)</f>
        <v>44285</v>
      </c>
      <c r="Z735" s="171">
        <f>_xll.qlInterestRateIndexValueDate(IborIndex,Y735,Trigger)</f>
        <v>44287</v>
      </c>
      <c r="AA735" s="172">
        <v>6.5465677311068119E-3</v>
      </c>
      <c r="AB735" s="169">
        <v>6.3421399055982874E-3</v>
      </c>
    </row>
    <row r="736" spans="20:28" x14ac:dyDescent="0.2">
      <c r="T736" s="130"/>
      <c r="U736" s="151"/>
      <c r="X736" s="170" t="str">
        <f t="shared" si="20"/>
        <v>1w</v>
      </c>
      <c r="Y736" s="168">
        <f>_xll.qlCalendarAdvance(LiborCalendar,Y735,X736,"f",FALSE)</f>
        <v>44292</v>
      </c>
      <c r="Z736" s="171">
        <f>_xll.qlInterestRateIndexValueDate(IborIndex,Y736,Trigger)</f>
        <v>44294</v>
      </c>
      <c r="AA736" s="172">
        <v>6.5783367855963238E-3</v>
      </c>
      <c r="AB736" s="169">
        <v>6.3663282476156269E-3</v>
      </c>
    </row>
    <row r="737" spans="20:28" x14ac:dyDescent="0.2">
      <c r="T737" s="130"/>
      <c r="U737" s="151"/>
      <c r="X737" s="170" t="str">
        <f t="shared" si="20"/>
        <v>1w</v>
      </c>
      <c r="Y737" s="168">
        <f>_xll.qlCalendarAdvance(LiborCalendar,Y736,X737,"f",FALSE)</f>
        <v>44299</v>
      </c>
      <c r="Z737" s="171">
        <f>_xll.qlInterestRateIndexValueDate(IborIndex,Y737,Trigger)</f>
        <v>44301</v>
      </c>
      <c r="AA737" s="172">
        <v>6.6098205040901262E-3</v>
      </c>
      <c r="AB737" s="169">
        <v>6.4000625119575716E-3</v>
      </c>
    </row>
    <row r="738" spans="20:28" x14ac:dyDescent="0.2">
      <c r="T738" s="130"/>
      <c r="U738" s="151"/>
      <c r="X738" s="170" t="str">
        <f t="shared" si="20"/>
        <v>1w</v>
      </c>
      <c r="Y738" s="168">
        <f>_xll.qlCalendarAdvance(LiborCalendar,Y737,X738,"f",FALSE)</f>
        <v>44306</v>
      </c>
      <c r="Z738" s="171">
        <f>_xll.qlInterestRateIndexValueDate(IborIndex,Y738,Trigger)</f>
        <v>44308</v>
      </c>
      <c r="AA738" s="172">
        <v>6.6410477607475446E-3</v>
      </c>
      <c r="AB738" s="169">
        <v>6.4332974714620406E-3</v>
      </c>
    </row>
    <row r="739" spans="20:28" x14ac:dyDescent="0.2">
      <c r="T739" s="130"/>
      <c r="U739" s="151"/>
      <c r="X739" s="170" t="str">
        <f t="shared" si="20"/>
        <v>1w</v>
      </c>
      <c r="Y739" s="168">
        <f>_xll.qlCalendarAdvance(LiborCalendar,Y738,X739,"f",FALSE)</f>
        <v>44313</v>
      </c>
      <c r="Z739" s="171">
        <f>_xll.qlInterestRateIndexValueDate(IborIndex,Y739,Trigger)</f>
        <v>44315</v>
      </c>
      <c r="AA739" s="172">
        <v>6.6720474307020734E-3</v>
      </c>
      <c r="AB739" s="169">
        <v>6.4660331259691617E-3</v>
      </c>
    </row>
    <row r="740" spans="20:28" x14ac:dyDescent="0.2">
      <c r="T740" s="130"/>
      <c r="U740" s="151"/>
      <c r="X740" s="170" t="str">
        <f t="shared" si="20"/>
        <v>1w</v>
      </c>
      <c r="Y740" s="168">
        <f>_xll.qlCalendarAdvance(LiborCalendar,Y739,X740,"f",FALSE)</f>
        <v>44320</v>
      </c>
      <c r="Z740" s="171">
        <f>_xll.qlInterestRateIndexValueDate(IborIndex,Y740,Trigger)</f>
        <v>44322</v>
      </c>
      <c r="AA740" s="172">
        <v>6.705082390767822E-3</v>
      </c>
      <c r="AB740" s="169">
        <v>6.4982694753190628E-3</v>
      </c>
    </row>
    <row r="741" spans="20:28" x14ac:dyDescent="0.2">
      <c r="T741" s="130"/>
      <c r="U741" s="151"/>
      <c r="X741" s="170" t="str">
        <f t="shared" si="20"/>
        <v>1w</v>
      </c>
      <c r="Y741" s="168">
        <f>_xll.qlCalendarAdvance(LiborCalendar,Y740,X741,"f",FALSE)</f>
        <v>44327</v>
      </c>
      <c r="Z741" s="171">
        <f>_xll.qlInterestRateIndexValueDate(IborIndex,Y741,Trigger)</f>
        <v>44330</v>
      </c>
      <c r="AA741" s="172">
        <v>6.7445137996247307E-3</v>
      </c>
      <c r="AB741" s="169">
        <v>6.5390979141088934E-3</v>
      </c>
    </row>
    <row r="742" spans="20:28" x14ac:dyDescent="0.2">
      <c r="T742" s="130"/>
      <c r="U742" s="151"/>
      <c r="X742" s="170" t="str">
        <f t="shared" si="20"/>
        <v>1w</v>
      </c>
      <c r="Y742" s="168">
        <f>_xll.qlCalendarAdvance(LiborCalendar,Y741,X742,"f",FALSE)</f>
        <v>44334</v>
      </c>
      <c r="Z742" s="171">
        <f>_xll.qlInterestRateIndexValueDate(IborIndex,Y742,Trigger)</f>
        <v>44336</v>
      </c>
      <c r="AA742" s="172">
        <v>6.7661864676105141E-3</v>
      </c>
      <c r="AB742" s="169">
        <v>6.5612914305734904E-3</v>
      </c>
    </row>
    <row r="743" spans="20:28" x14ac:dyDescent="0.2">
      <c r="T743" s="130"/>
      <c r="U743" s="151"/>
      <c r="X743" s="170" t="str">
        <f t="shared" si="20"/>
        <v>1w</v>
      </c>
      <c r="Y743" s="168">
        <f>_xll.qlCalendarAdvance(LiborCalendar,Y742,X743,"f",FALSE)</f>
        <v>44341</v>
      </c>
      <c r="Z743" s="171">
        <f>_xll.qlInterestRateIndexValueDate(IborIndex,Y743,Trigger)</f>
        <v>44343</v>
      </c>
      <c r="AA743" s="172">
        <v>6.7965425870173696E-3</v>
      </c>
      <c r="AB743" s="169">
        <v>6.5924046939791481E-3</v>
      </c>
    </row>
    <row r="744" spans="20:28" x14ac:dyDescent="0.2">
      <c r="T744" s="130"/>
      <c r="U744" s="151"/>
      <c r="X744" s="170" t="str">
        <f t="shared" si="20"/>
        <v>1w</v>
      </c>
      <c r="Y744" s="168">
        <f>_xll.qlCalendarAdvance(LiborCalendar,Y743,X744,"f",FALSE)</f>
        <v>44348</v>
      </c>
      <c r="Z744" s="171">
        <f>_xll.qlInterestRateIndexValueDate(IborIndex,Y744,Trigger)</f>
        <v>44350</v>
      </c>
      <c r="AA744" s="172">
        <v>6.8267742486227698E-3</v>
      </c>
      <c r="AB744" s="169">
        <v>6.6233934820747464E-3</v>
      </c>
    </row>
    <row r="745" spans="20:28" x14ac:dyDescent="0.2">
      <c r="T745" s="130"/>
      <c r="U745" s="151"/>
      <c r="X745" s="170" t="str">
        <f t="shared" si="20"/>
        <v>1w</v>
      </c>
      <c r="Y745" s="168">
        <f>_xll.qlCalendarAdvance(LiborCalendar,Y744,X745,"f",FALSE)</f>
        <v>44355</v>
      </c>
      <c r="Z745" s="171">
        <f>_xll.qlInterestRateIndexValueDate(IborIndex,Y745,Trigger)</f>
        <v>44357</v>
      </c>
      <c r="AA745" s="172">
        <v>6.8568814495429328E-3</v>
      </c>
      <c r="AB745" s="169">
        <v>6.6542577947803494E-3</v>
      </c>
    </row>
    <row r="746" spans="20:28" x14ac:dyDescent="0.2">
      <c r="T746" s="130"/>
      <c r="U746" s="151"/>
      <c r="X746" s="170" t="str">
        <f t="shared" si="20"/>
        <v>1w</v>
      </c>
      <c r="Y746" s="168">
        <f>_xll.qlCalendarAdvance(LiborCalendar,Y745,X746,"f",FALSE)</f>
        <v>44362</v>
      </c>
      <c r="Z746" s="171">
        <f>_xll.qlInterestRateIndexValueDate(IborIndex,Y746,Trigger)</f>
        <v>44364</v>
      </c>
      <c r="AA746" s="172">
        <v>6.8868641869079825E-3</v>
      </c>
      <c r="AB746" s="169">
        <v>6.684997632095957E-3</v>
      </c>
    </row>
    <row r="747" spans="20:28" x14ac:dyDescent="0.2">
      <c r="T747" s="130"/>
      <c r="U747" s="151"/>
      <c r="X747" s="170" t="str">
        <f t="shared" si="20"/>
        <v>1w</v>
      </c>
      <c r="Y747" s="168">
        <f>_xll.qlCalendarAdvance(LiborCalendar,Y746,X747,"f",FALSE)</f>
        <v>44369</v>
      </c>
      <c r="Z747" s="171">
        <f>_xll.qlInterestRateIndexValueDate(IborIndex,Y747,Trigger)</f>
        <v>44371</v>
      </c>
      <c r="AA747" s="172">
        <v>6.9167224578558584E-3</v>
      </c>
      <c r="AB747" s="169">
        <v>6.7156129940215692E-3</v>
      </c>
    </row>
    <row r="748" spans="20:28" x14ac:dyDescent="0.2">
      <c r="T748" s="130"/>
      <c r="U748" s="151"/>
      <c r="X748" s="170" t="str">
        <f t="shared" si="20"/>
        <v>1w</v>
      </c>
      <c r="Y748" s="168">
        <f>_xll.qlCalendarAdvance(LiborCalendar,Y747,X748,"f",FALSE)</f>
        <v>44376</v>
      </c>
      <c r="Z748" s="171">
        <f>_xll.qlInterestRateIndexValueDate(IborIndex,Y748,Trigger)</f>
        <v>44378</v>
      </c>
      <c r="AA748" s="172">
        <v>6.9464562595427494E-3</v>
      </c>
      <c r="AB748" s="169">
        <v>6.74610388047725E-3</v>
      </c>
    </row>
    <row r="749" spans="20:28" x14ac:dyDescent="0.2">
      <c r="T749" s="130"/>
      <c r="U749" s="151"/>
      <c r="X749" s="170" t="str">
        <f t="shared" si="20"/>
        <v>1w</v>
      </c>
      <c r="Y749" s="168">
        <f>_xll.qlCalendarAdvance(LiborCalendar,Y748,X749,"f",FALSE)</f>
        <v>44383</v>
      </c>
      <c r="Z749" s="171">
        <f>_xll.qlInterestRateIndexValueDate(IborIndex,Y749,Trigger)</f>
        <v>44385</v>
      </c>
      <c r="AA749" s="172">
        <v>6.9760655891300564E-3</v>
      </c>
      <c r="AB749" s="169">
        <v>6.7764702914629993E-3</v>
      </c>
    </row>
    <row r="750" spans="20:28" x14ac:dyDescent="0.2">
      <c r="T750" s="130"/>
      <c r="U750" s="151"/>
      <c r="X750" s="170" t="str">
        <f t="shared" si="20"/>
        <v>1w</v>
      </c>
      <c r="Y750" s="168">
        <f>_xll.qlCalendarAdvance(LiborCalendar,Y749,X750,"f",FALSE)</f>
        <v>44390</v>
      </c>
      <c r="Z750" s="171">
        <f>_xll.qlInterestRateIndexValueDate(IborIndex,Y750,Trigger)</f>
        <v>44392</v>
      </c>
      <c r="AA750" s="172">
        <v>7.0055504437930832E-3</v>
      </c>
      <c r="AB750" s="169">
        <v>6.8067122268988811E-3</v>
      </c>
    </row>
    <row r="751" spans="20:28" x14ac:dyDescent="0.2">
      <c r="T751" s="130"/>
      <c r="U751" s="151"/>
      <c r="X751" s="170" t="str">
        <f t="shared" si="20"/>
        <v>1w</v>
      </c>
      <c r="Y751" s="168">
        <f>_xll.qlCalendarAdvance(LiborCalendar,Y750,X751,"f",FALSE)</f>
        <v>44397</v>
      </c>
      <c r="Z751" s="171">
        <f>_xll.qlInterestRateIndexValueDate(IborIndex,Y751,Trigger)</f>
        <v>44399</v>
      </c>
      <c r="AA751" s="172">
        <v>7.0349108207227711E-3</v>
      </c>
      <c r="AB751" s="169">
        <v>6.8368296868648315E-3</v>
      </c>
    </row>
    <row r="752" spans="20:28" x14ac:dyDescent="0.2">
      <c r="T752" s="130"/>
      <c r="U752" s="151"/>
      <c r="X752" s="170" t="str">
        <f t="shared" si="20"/>
        <v>1w</v>
      </c>
      <c r="Y752" s="168">
        <f>_xll.qlCalendarAdvance(LiborCalendar,Y751,X752,"f",FALSE)</f>
        <v>44404</v>
      </c>
      <c r="Z752" s="171">
        <f>_xll.qlInterestRateIndexValueDate(IborIndex,Y752,Trigger)</f>
        <v>44406</v>
      </c>
      <c r="AA752" s="172">
        <v>7.0641467171161454E-3</v>
      </c>
      <c r="AB752" s="169">
        <v>6.8668226711210423E-3</v>
      </c>
    </row>
    <row r="753" spans="20:28" x14ac:dyDescent="0.2">
      <c r="T753" s="130"/>
      <c r="U753" s="151"/>
      <c r="X753" s="170" t="str">
        <f t="shared" si="20"/>
        <v>1w</v>
      </c>
      <c r="Y753" s="168">
        <f>_xll.qlCalendarAdvance(LiborCalendar,Y752,X753,"f",FALSE)</f>
        <v>44411</v>
      </c>
      <c r="Z753" s="171">
        <f>_xll.qlInterestRateIndexValueDate(IborIndex,Y753,Trigger)</f>
        <v>44413</v>
      </c>
      <c r="AA753" s="172">
        <v>7.0932581301858706E-3</v>
      </c>
      <c r="AB753" s="169">
        <v>6.8966911799073216E-3</v>
      </c>
    </row>
    <row r="754" spans="20:28" x14ac:dyDescent="0.2">
      <c r="T754" s="130"/>
      <c r="U754" s="151"/>
      <c r="X754" s="170" t="str">
        <f t="shared" si="20"/>
        <v>1w</v>
      </c>
      <c r="Y754" s="168">
        <f>_xll.qlCalendarAdvance(LiborCalendar,Y753,X754,"f",FALSE)</f>
        <v>44418</v>
      </c>
      <c r="Z754" s="171">
        <f>_xll.qlInterestRateIndexValueDate(IborIndex,Y754,Trigger)</f>
        <v>44420</v>
      </c>
      <c r="AA754" s="172">
        <v>7.1222450571550378E-3</v>
      </c>
      <c r="AB754" s="169">
        <v>6.9264352129838613E-3</v>
      </c>
    </row>
    <row r="755" spans="20:28" x14ac:dyDescent="0.2">
      <c r="T755" s="130"/>
      <c r="U755" s="151"/>
      <c r="X755" s="170" t="str">
        <f t="shared" si="20"/>
        <v>1w</v>
      </c>
      <c r="Y755" s="168">
        <f>_xll.qlCalendarAdvance(LiborCalendar,Y754,X755,"f",FALSE)</f>
        <v>44425</v>
      </c>
      <c r="Z755" s="171">
        <f>_xll.qlInterestRateIndexValueDate(IborIndex,Y755,Trigger)</f>
        <v>44427</v>
      </c>
      <c r="AA755" s="172">
        <v>7.1511074952597701E-3</v>
      </c>
      <c r="AB755" s="169">
        <v>6.9560547702707254E-3</v>
      </c>
    </row>
    <row r="756" spans="20:28" x14ac:dyDescent="0.2">
      <c r="T756" s="130"/>
      <c r="U756" s="151"/>
      <c r="X756" s="170" t="str">
        <f t="shared" si="20"/>
        <v>1w</v>
      </c>
      <c r="Y756" s="168">
        <f>_xll.qlCalendarAdvance(LiborCalendar,Y755,X756,"f",FALSE)</f>
        <v>44432</v>
      </c>
      <c r="Z756" s="171">
        <f>_xll.qlInterestRateIndexValueDate(IborIndex,Y756,Trigger)</f>
        <v>44434</v>
      </c>
      <c r="AA756" s="172">
        <v>7.17984544174575E-3</v>
      </c>
      <c r="AB756" s="169">
        <v>6.9855498520077219E-3</v>
      </c>
    </row>
    <row r="757" spans="20:28" x14ac:dyDescent="0.2">
      <c r="T757" s="130"/>
      <c r="U757" s="151"/>
      <c r="X757" s="170" t="str">
        <f t="shared" si="20"/>
        <v>1w</v>
      </c>
      <c r="Y757" s="168">
        <f>_xll.qlCalendarAdvance(LiborCalendar,Y756,X757,"f",FALSE)</f>
        <v>44439</v>
      </c>
      <c r="Z757" s="171">
        <f>_xll.qlInterestRateIndexValueDate(IborIndex,Y757,Trigger)</f>
        <v>44441</v>
      </c>
      <c r="AA757" s="172">
        <v>7.2063665260709026E-3</v>
      </c>
      <c r="AB757" s="169">
        <v>7.0149204580349789E-3</v>
      </c>
    </row>
    <row r="758" spans="20:28" x14ac:dyDescent="0.2">
      <c r="T758" s="130"/>
      <c r="U758" s="151"/>
      <c r="X758" s="170" t="str">
        <f t="shared" si="20"/>
        <v>1w</v>
      </c>
      <c r="Y758" s="168">
        <f>_xll.qlCalendarAdvance(LiborCalendar,Y757,X758,"f",FALSE)</f>
        <v>44446</v>
      </c>
      <c r="Z758" s="171">
        <f>_xll.qlInterestRateIndexValueDate(IborIndex,Y758,Trigger)</f>
        <v>44448</v>
      </c>
      <c r="AA758" s="172">
        <v>7.2348638029291774E-3</v>
      </c>
      <c r="AB758" s="169">
        <v>7.0441665882725601E-3</v>
      </c>
    </row>
    <row r="759" spans="20:28" x14ac:dyDescent="0.2">
      <c r="T759" s="130"/>
      <c r="U759" s="151"/>
      <c r="X759" s="170" t="str">
        <f t="shared" si="20"/>
        <v>1w</v>
      </c>
      <c r="Y759" s="168">
        <f>_xll.qlCalendarAdvance(LiborCalendar,Y758,X759,"f",FALSE)</f>
        <v>44453</v>
      </c>
      <c r="Z759" s="171">
        <f>_xll.qlInterestRateIndexValueDate(IborIndex,Y759,Trigger)</f>
        <v>44455</v>
      </c>
      <c r="AA759" s="172">
        <v>7.2632365804333292E-3</v>
      </c>
      <c r="AB759" s="169">
        <v>7.0732882427204657E-3</v>
      </c>
    </row>
    <row r="760" spans="20:28" x14ac:dyDescent="0.2">
      <c r="T760" s="130"/>
      <c r="U760" s="151"/>
      <c r="X760" s="170" t="str">
        <f t="shared" si="20"/>
        <v>1w</v>
      </c>
      <c r="Y760" s="168">
        <f>_xll.qlCalendarAdvance(LiborCalendar,Y759,X760,"f",FALSE)</f>
        <v>44460</v>
      </c>
      <c r="Z760" s="171">
        <f>_xll.qlInterestRateIndexValueDate(IborIndex,Y760,Trigger)</f>
        <v>44462</v>
      </c>
      <c r="AA760" s="172">
        <v>7.2914848559076971E-3</v>
      </c>
      <c r="AB760" s="169">
        <v>7.1022854212188236E-3</v>
      </c>
    </row>
    <row r="761" spans="20:28" x14ac:dyDescent="0.2">
      <c r="T761" s="130"/>
      <c r="U761" s="151"/>
      <c r="X761" s="170" t="str">
        <f t="shared" si="20"/>
        <v>1w</v>
      </c>
      <c r="Y761" s="168">
        <f>_xll.qlCalendarAdvance(LiborCalendar,Y760,X761,"f",FALSE)</f>
        <v>44467</v>
      </c>
      <c r="Z761" s="171">
        <f>_xll.qlInterestRateIndexValueDate(IborIndex,Y761,Trigger)</f>
        <v>44469</v>
      </c>
      <c r="AA761" s="172">
        <v>7.3216677043950965E-3</v>
      </c>
      <c r="AB761" s="169">
        <v>7.1311581240074418E-3</v>
      </c>
    </row>
    <row r="762" spans="20:28" x14ac:dyDescent="0.2">
      <c r="T762" s="130"/>
      <c r="U762" s="151"/>
      <c r="X762" s="170" t="str">
        <f t="shared" si="20"/>
        <v>1w</v>
      </c>
      <c r="Y762" s="168">
        <f>_xll.qlCalendarAdvance(LiborCalendar,Y761,X762,"f",FALSE)</f>
        <v>44474</v>
      </c>
      <c r="Z762" s="171">
        <f>_xll.qlInterestRateIndexValueDate(IborIndex,Y762,Trigger)</f>
        <v>44476</v>
      </c>
      <c r="AA762" s="172">
        <v>7.3496586440307864E-3</v>
      </c>
      <c r="AB762" s="169">
        <v>7.1599063509264482E-3</v>
      </c>
    </row>
    <row r="763" spans="20:28" x14ac:dyDescent="0.2">
      <c r="T763" s="130"/>
      <c r="U763" s="151"/>
      <c r="X763" s="170" t="str">
        <f t="shared" si="20"/>
        <v>1w</v>
      </c>
      <c r="Y763" s="168">
        <f>_xll.qlCalendarAdvance(LiborCalendar,Y762,X763,"f",FALSE)</f>
        <v>44481</v>
      </c>
      <c r="Z763" s="171">
        <f>_xll.qlInterestRateIndexValueDate(IborIndex,Y763,Trigger)</f>
        <v>44483</v>
      </c>
      <c r="AA763" s="172">
        <v>7.3775250731115665E-3</v>
      </c>
      <c r="AB763" s="169">
        <v>7.1885301018959069E-3</v>
      </c>
    </row>
    <row r="764" spans="20:28" x14ac:dyDescent="0.2">
      <c r="T764" s="130"/>
      <c r="U764" s="151"/>
      <c r="X764" s="170" t="str">
        <f t="shared" si="20"/>
        <v>1w</v>
      </c>
      <c r="Y764" s="168">
        <f>_xll.qlCalendarAdvance(LiborCalendar,Y763,X764,"f",FALSE)</f>
        <v>44488</v>
      </c>
      <c r="Z764" s="171">
        <f>_xll.qlInterestRateIndexValueDate(IborIndex,Y764,Trigger)</f>
        <v>44490</v>
      </c>
      <c r="AA764" s="172">
        <v>7.4052669889778247E-3</v>
      </c>
      <c r="AB764" s="169">
        <v>7.2170293768358817E-3</v>
      </c>
    </row>
    <row r="765" spans="20:28" x14ac:dyDescent="0.2">
      <c r="T765" s="130"/>
      <c r="U765" s="151"/>
      <c r="X765" s="170" t="str">
        <f t="shared" si="20"/>
        <v>1w</v>
      </c>
      <c r="Y765" s="168">
        <f>_xll.qlCalendarAdvance(LiborCalendar,Y764,X765,"f",FALSE)</f>
        <v>44495</v>
      </c>
      <c r="Z765" s="171">
        <f>_xll.qlInterestRateIndexValueDate(IborIndex,Y765,Trigger)</f>
        <v>44497</v>
      </c>
      <c r="AA765" s="172">
        <v>7.432884388984721E-3</v>
      </c>
      <c r="AB765" s="169">
        <v>7.2454041758263088E-3</v>
      </c>
    </row>
    <row r="766" spans="20:28" x14ac:dyDescent="0.2">
      <c r="T766" s="130"/>
      <c r="U766" s="151"/>
      <c r="X766" s="170" t="str">
        <f t="shared" si="20"/>
        <v>1w</v>
      </c>
      <c r="Y766" s="168">
        <f>_xll.qlCalendarAdvance(LiborCalendar,Y765,X766,"f",FALSE)</f>
        <v>44502</v>
      </c>
      <c r="Z766" s="171">
        <f>_xll.qlInterestRateIndexValueDate(IborIndex,Y766,Trigger)</f>
        <v>44504</v>
      </c>
      <c r="AA766" s="172">
        <v>7.4603772704978409E-3</v>
      </c>
      <c r="AB766" s="169">
        <v>7.2736544988671881E-3</v>
      </c>
    </row>
    <row r="767" spans="20:28" x14ac:dyDescent="0.2">
      <c r="T767" s="130"/>
      <c r="U767" s="151"/>
      <c r="X767" s="170" t="str">
        <f t="shared" si="20"/>
        <v>1w</v>
      </c>
      <c r="Y767" s="168">
        <f>_xll.qlCalendarAdvance(LiborCalendar,Y766,X767,"f",FALSE)</f>
        <v>44509</v>
      </c>
      <c r="Z767" s="171">
        <f>_xll.qlInterestRateIndexValueDate(IborIndex,Y767,Trigger)</f>
        <v>44511</v>
      </c>
      <c r="AA767" s="172">
        <v>7.4877456308958023E-3</v>
      </c>
      <c r="AB767" s="169">
        <v>7.3017803459585195E-3</v>
      </c>
    </row>
    <row r="768" spans="20:28" x14ac:dyDescent="0.2">
      <c r="T768" s="130"/>
      <c r="U768" s="151"/>
      <c r="X768" s="170" t="str">
        <f t="shared" si="20"/>
        <v>1w</v>
      </c>
      <c r="Y768" s="168">
        <f>_xll.qlCalendarAdvance(LiborCalendar,Y767,X768,"f",FALSE)</f>
        <v>44516</v>
      </c>
      <c r="Z768" s="171">
        <f>_xll.qlInterestRateIndexValueDate(IborIndex,Y768,Trigger)</f>
        <v>44518</v>
      </c>
      <c r="AA768" s="172">
        <v>7.5149894675676501E-3</v>
      </c>
      <c r="AB768" s="169">
        <v>7.3297817168604951E-3</v>
      </c>
    </row>
    <row r="769" spans="20:28" x14ac:dyDescent="0.2">
      <c r="T769" s="130"/>
      <c r="U769" s="151"/>
      <c r="X769" s="170" t="str">
        <f t="shared" si="20"/>
        <v>1w</v>
      </c>
      <c r="Y769" s="168">
        <f>_xll.qlCalendarAdvance(LiborCalendar,Y768,X769,"f",FALSE)</f>
        <v>44523</v>
      </c>
      <c r="Z769" s="171">
        <f>_xll.qlInterestRateIndexValueDate(IborIndex,Y769,Trigger)</f>
        <v>44525</v>
      </c>
      <c r="AA769" s="172">
        <v>7.5421087779137261E-3</v>
      </c>
      <c r="AB769" s="169">
        <v>7.3576586116530507E-3</v>
      </c>
    </row>
    <row r="770" spans="20:28" x14ac:dyDescent="0.2">
      <c r="T770" s="130"/>
      <c r="U770" s="151"/>
      <c r="X770" s="170" t="str">
        <f t="shared" si="20"/>
        <v>1w</v>
      </c>
      <c r="Y770" s="168">
        <f>_xll.qlCalendarAdvance(LiborCalendar,Y769,X770,"f",FALSE)</f>
        <v>44530</v>
      </c>
      <c r="Z770" s="171">
        <f>_xll.qlInterestRateIndexValueDate(IborIndex,Y770,Trigger)</f>
        <v>44532</v>
      </c>
      <c r="AA770" s="172">
        <v>7.5651345111875656E-3</v>
      </c>
      <c r="AB770" s="169">
        <v>7.3854110304161225E-3</v>
      </c>
    </row>
    <row r="771" spans="20:28" x14ac:dyDescent="0.2">
      <c r="T771" s="130"/>
      <c r="U771" s="151"/>
      <c r="X771" s="170" t="str">
        <f t="shared" si="20"/>
        <v>1w</v>
      </c>
      <c r="Y771" s="168">
        <f>_xll.qlCalendarAdvance(LiborCalendar,Y770,X771,"f",FALSE)</f>
        <v>44537</v>
      </c>
      <c r="Z771" s="171">
        <f>_xll.qlInterestRateIndexValueDate(IborIndex,Y771,Trigger)</f>
        <v>44539</v>
      </c>
      <c r="AA771" s="172">
        <v>7.5920214207920722E-3</v>
      </c>
      <c r="AB771" s="169">
        <v>7.4130389729898383E-3</v>
      </c>
    </row>
    <row r="772" spans="20:28" x14ac:dyDescent="0.2">
      <c r="T772" s="130"/>
      <c r="U772" s="151"/>
      <c r="X772" s="170" t="str">
        <f t="shared" si="20"/>
        <v>1w</v>
      </c>
      <c r="Y772" s="168">
        <f>_xll.qlCalendarAdvance(LiborCalendar,Y771,X772,"f",FALSE)</f>
        <v>44544</v>
      </c>
      <c r="Z772" s="171">
        <f>_xll.qlInterestRateIndexValueDate(IborIndex,Y772,Trigger)</f>
        <v>44546</v>
      </c>
      <c r="AA772" s="172">
        <v>7.6187837979686535E-3</v>
      </c>
      <c r="AB772" s="169">
        <v>7.4405424395340702E-3</v>
      </c>
    </row>
    <row r="773" spans="20:28" x14ac:dyDescent="0.2">
      <c r="T773" s="130"/>
      <c r="U773" s="151"/>
      <c r="X773" s="170" t="str">
        <f t="shared" si="20"/>
        <v>1w</v>
      </c>
      <c r="Y773" s="168">
        <f>_xll.qlCalendarAdvance(LiborCalendar,Y772,X773,"f",FALSE)</f>
        <v>44551</v>
      </c>
      <c r="Z773" s="171">
        <f>_xll.qlInterestRateIndexValueDate(IborIndex,Y773,Trigger)</f>
        <v>44553</v>
      </c>
      <c r="AA773" s="172">
        <v>7.6454216402188635E-3</v>
      </c>
      <c r="AB773" s="169">
        <v>7.4679214296491381E-3</v>
      </c>
    </row>
    <row r="774" spans="20:28" x14ac:dyDescent="0.2">
      <c r="T774" s="130"/>
      <c r="U774" s="151"/>
      <c r="X774" s="170" t="str">
        <f t="shared" si="20"/>
        <v>1w</v>
      </c>
      <c r="Y774" s="168">
        <f>_xll.qlCalendarAdvance(LiborCalendar,Y773,X774,"f",FALSE)</f>
        <v>44559</v>
      </c>
      <c r="Z774" s="171">
        <f>_xll.qlInterestRateIndexValueDate(IborIndex,Y774,Trigger)</f>
        <v>44561</v>
      </c>
      <c r="AA774" s="172">
        <v>7.67571239357423E-3</v>
      </c>
      <c r="AB774" s="169">
        <v>7.5051126277103641E-3</v>
      </c>
    </row>
    <row r="775" spans="20:28" x14ac:dyDescent="0.2">
      <c r="T775" s="130"/>
      <c r="U775" s="151"/>
      <c r="X775" s="170" t="str">
        <f t="shared" si="20"/>
        <v>1w</v>
      </c>
      <c r="Y775" s="168">
        <f>_xll.qlCalendarAdvance(LiborCalendar,Y774,X775,"f",FALSE)</f>
        <v>44566</v>
      </c>
      <c r="Z775" s="171">
        <f>_xll.qlInterestRateIndexValueDate(IborIndex,Y775,Trigger)</f>
        <v>44568</v>
      </c>
      <c r="AA775" s="172">
        <v>7.7020833669161348E-3</v>
      </c>
      <c r="AB775" s="169">
        <v>7.5301912159364548E-3</v>
      </c>
    </row>
    <row r="776" spans="20:28" x14ac:dyDescent="0.2">
      <c r="T776" s="130"/>
      <c r="U776" s="151"/>
      <c r="X776" s="170" t="str">
        <f t="shared" si="20"/>
        <v>1w</v>
      </c>
      <c r="Y776" s="168">
        <f>_xll.qlCalendarAdvance(LiborCalendar,Y775,X776,"f",FALSE)</f>
        <v>44573</v>
      </c>
      <c r="Z776" s="171">
        <f>_xll.qlInterestRateIndexValueDate(IborIndex,Y776,Trigger)</f>
        <v>44575</v>
      </c>
      <c r="AA776" s="172">
        <v>7.7283297975609955E-3</v>
      </c>
      <c r="AB776" s="169">
        <v>7.5571623430281676E-3</v>
      </c>
    </row>
    <row r="777" spans="20:28" x14ac:dyDescent="0.2">
      <c r="T777" s="130"/>
      <c r="U777" s="151"/>
      <c r="X777" s="170" t="str">
        <f t="shared" si="20"/>
        <v>1w</v>
      </c>
      <c r="Y777" s="168">
        <f>_xll.qlCalendarAdvance(LiborCalendar,Y776,X777,"f",FALSE)</f>
        <v>44580</v>
      </c>
      <c r="Z777" s="171">
        <f>_xll.qlInterestRateIndexValueDate(IborIndex,Y777,Trigger)</f>
        <v>44582</v>
      </c>
      <c r="AA777" s="172">
        <v>7.7544516830574395E-3</v>
      </c>
      <c r="AB777" s="169">
        <v>7.5840089925449661E-3</v>
      </c>
    </row>
    <row r="778" spans="20:28" x14ac:dyDescent="0.2">
      <c r="T778" s="130"/>
      <c r="U778" s="151"/>
      <c r="X778" s="170" t="str">
        <f t="shared" si="20"/>
        <v>1w</v>
      </c>
      <c r="Y778" s="168">
        <f>_xll.qlCalendarAdvance(LiborCalendar,Y777,X778,"f",FALSE)</f>
        <v>44587</v>
      </c>
      <c r="Z778" s="171">
        <f>_xll.qlInterestRateIndexValueDate(IborIndex,Y778,Trigger)</f>
        <v>44589</v>
      </c>
      <c r="AA778" s="172">
        <v>7.7804490209691934E-3</v>
      </c>
      <c r="AB778" s="169">
        <v>7.6107311644602049E-3</v>
      </c>
    </row>
    <row r="779" spans="20:28" x14ac:dyDescent="0.2">
      <c r="T779" s="130"/>
      <c r="U779" s="151"/>
      <c r="X779" s="170" t="str">
        <f t="shared" si="20"/>
        <v>1w</v>
      </c>
      <c r="Y779" s="168">
        <f>_xll.qlCalendarAdvance(LiborCalendar,Y778,X779,"f",FALSE)</f>
        <v>44594</v>
      </c>
      <c r="Z779" s="171">
        <f>_xll.qlInterestRateIndexValueDate(IborIndex,Y779,Trigger)</f>
        <v>44596</v>
      </c>
      <c r="AA779" s="172">
        <v>7.8044123247724218E-3</v>
      </c>
      <c r="AB779" s="169">
        <v>7.6373288586673027E-3</v>
      </c>
    </row>
    <row r="780" spans="20:28" x14ac:dyDescent="0.2">
      <c r="T780" s="130"/>
      <c r="U780" s="151"/>
      <c r="X780" s="170" t="str">
        <f t="shared" si="20"/>
        <v>1w</v>
      </c>
      <c r="Y780" s="168">
        <f>_xll.qlCalendarAdvance(LiborCalendar,Y779,X780,"f",FALSE)</f>
        <v>44601</v>
      </c>
      <c r="Z780" s="171">
        <f>_xll.qlInterestRateIndexValueDate(IborIndex,Y780,Trigger)</f>
        <v>44603</v>
      </c>
      <c r="AA780" s="172">
        <v>7.8301688982900172E-3</v>
      </c>
      <c r="AB780" s="169">
        <v>7.6638020751129687E-3</v>
      </c>
    </row>
    <row r="781" spans="20:28" x14ac:dyDescent="0.2">
      <c r="T781" s="130"/>
      <c r="U781" s="151"/>
      <c r="X781" s="170" t="str">
        <f t="shared" si="20"/>
        <v>1w</v>
      </c>
      <c r="Y781" s="168">
        <f>_xll.qlCalendarAdvance(LiborCalendar,Y780,X781,"f",FALSE)</f>
        <v>44608</v>
      </c>
      <c r="Z781" s="171">
        <f>_xll.qlInterestRateIndexValueDate(IborIndex,Y781,Trigger)</f>
        <v>44610</v>
      </c>
      <c r="AA781" s="172">
        <v>7.8558008708766898E-3</v>
      </c>
      <c r="AB781" s="169">
        <v>7.6901508136639762E-3</v>
      </c>
    </row>
    <row r="782" spans="20:28" x14ac:dyDescent="0.2">
      <c r="T782" s="130"/>
      <c r="U782" s="151"/>
      <c r="X782" s="170" t="str">
        <f t="shared" si="20"/>
        <v>1w</v>
      </c>
      <c r="Y782" s="168">
        <f>_xll.qlCalendarAdvance(LiborCalendar,Y781,X782,"f",FALSE)</f>
        <v>44615</v>
      </c>
      <c r="Z782" s="171">
        <f>_xll.qlInterestRateIndexValueDate(IborIndex,Y782,Trigger)</f>
        <v>44617</v>
      </c>
      <c r="AA782" s="172">
        <v>7.8813040850895123E-3</v>
      </c>
      <c r="AB782" s="169">
        <v>7.7163750743203252E-3</v>
      </c>
    </row>
    <row r="783" spans="20:28" x14ac:dyDescent="0.2">
      <c r="T783" s="130"/>
      <c r="U783" s="151"/>
      <c r="X783" s="170" t="str">
        <f t="shared" si="20"/>
        <v>1w</v>
      </c>
      <c r="Y783" s="168">
        <f>_xll.qlCalendarAdvance(LiborCalendar,Y782,X783,"f",FALSE)</f>
        <v>44622</v>
      </c>
      <c r="Z783" s="171">
        <f>_xll.qlInterestRateIndexValueDate(IborIndex,Y783,Trigger)</f>
        <v>44624</v>
      </c>
      <c r="AA783" s="172">
        <v>7.9178777204905321E-3</v>
      </c>
      <c r="AB783" s="169">
        <v>7.7424748569754342E-3</v>
      </c>
    </row>
    <row r="784" spans="20:28" x14ac:dyDescent="0.2">
      <c r="T784" s="130"/>
      <c r="U784" s="151"/>
      <c r="X784" s="170" t="str">
        <f t="shared" si="20"/>
        <v>1w</v>
      </c>
      <c r="Y784" s="168">
        <f>_xll.qlCalendarAdvance(LiborCalendar,Y783,X784,"f",FALSE)</f>
        <v>44629</v>
      </c>
      <c r="Z784" s="171">
        <f>_xll.qlInterestRateIndexValueDate(IborIndex,Y784,Trigger)</f>
        <v>44631</v>
      </c>
      <c r="AA784" s="172">
        <v>7.9411583540201659E-3</v>
      </c>
      <c r="AB784" s="169">
        <v>7.7684501614694312E-3</v>
      </c>
    </row>
    <row r="785" spans="20:28" x14ac:dyDescent="0.2">
      <c r="T785" s="130"/>
      <c r="U785" s="151"/>
      <c r="X785" s="170" t="str">
        <f t="shared" si="20"/>
        <v>1w</v>
      </c>
      <c r="Y785" s="168">
        <f>_xll.qlCalendarAdvance(LiborCalendar,Y784,X785,"f",FALSE)</f>
        <v>44636</v>
      </c>
      <c r="Z785" s="171">
        <f>_xll.qlInterestRateIndexValueDate(IborIndex,Y785,Trigger)</f>
        <v>44638</v>
      </c>
      <c r="AA785" s="172">
        <v>7.9661336446897896E-3</v>
      </c>
      <c r="AB785" s="169">
        <v>7.7943009878023162E-3</v>
      </c>
    </row>
    <row r="786" spans="20:28" x14ac:dyDescent="0.2">
      <c r="T786" s="130"/>
      <c r="U786" s="151"/>
      <c r="X786" s="170" t="str">
        <f t="shared" si="20"/>
        <v>1w</v>
      </c>
      <c r="Y786" s="168">
        <f>_xll.qlCalendarAdvance(LiborCalendar,Y785,X786,"f",FALSE)</f>
        <v>44643</v>
      </c>
      <c r="Z786" s="171">
        <f>_xll.qlInterestRateIndexValueDate(IborIndex,Y786,Trigger)</f>
        <v>44645</v>
      </c>
      <c r="AA786" s="172">
        <v>7.9909269339701362E-3</v>
      </c>
      <c r="AB786" s="169">
        <v>7.8200273358408623E-3</v>
      </c>
    </row>
    <row r="787" spans="20:28" x14ac:dyDescent="0.2">
      <c r="T787" s="130"/>
      <c r="U787" s="151"/>
      <c r="X787" s="170" t="str">
        <f t="shared" si="20"/>
        <v>1w</v>
      </c>
      <c r="Y787" s="168">
        <f>_xll.qlCalendarAdvance(LiborCalendar,Y786,X787,"f",FALSE)</f>
        <v>44650</v>
      </c>
      <c r="Z787" s="171">
        <f>_xll.qlInterestRateIndexValueDate(IborIndex,Y787,Trigger)</f>
        <v>44652</v>
      </c>
      <c r="AA787" s="172">
        <v>8.010100898698266E-3</v>
      </c>
      <c r="AB787" s="169">
        <v>7.8456292055584242E-3</v>
      </c>
    </row>
    <row r="788" spans="20:28" x14ac:dyDescent="0.2">
      <c r="T788" s="130"/>
      <c r="U788" s="151"/>
      <c r="X788" s="170" t="str">
        <f t="shared" si="20"/>
        <v>1w</v>
      </c>
      <c r="Y788" s="168">
        <f>_xll.qlCalendarAdvance(LiborCalendar,Y787,X788,"f",FALSE)</f>
        <v>44657</v>
      </c>
      <c r="Z788" s="171">
        <f>_xll.qlInterestRateIndexValueDate(IborIndex,Y788,Trigger)</f>
        <v>44659</v>
      </c>
      <c r="AA788" s="172">
        <v>8.0345471617025033E-3</v>
      </c>
      <c r="AB788" s="169">
        <v>7.8711065968484206E-3</v>
      </c>
    </row>
    <row r="789" spans="20:28" x14ac:dyDescent="0.2">
      <c r="T789" s="130"/>
      <c r="U789" s="151"/>
      <c r="X789" s="170" t="str">
        <f t="shared" ref="X789:X852" si="21">X788</f>
        <v>1w</v>
      </c>
      <c r="Y789" s="168">
        <f>_xll.qlCalendarAdvance(LiborCalendar,Y788,X789,"f",FALSE)</f>
        <v>44664</v>
      </c>
      <c r="Z789" s="171">
        <f>_xll.qlInterestRateIndexValueDate(IborIndex,Y789,Trigger)</f>
        <v>44670</v>
      </c>
      <c r="AA789" s="172">
        <v>8.0725249668027934E-3</v>
      </c>
      <c r="AB789" s="169">
        <v>7.9071141100328646E-3</v>
      </c>
    </row>
    <row r="790" spans="20:28" x14ac:dyDescent="0.2">
      <c r="T790" s="130"/>
      <c r="U790" s="151"/>
      <c r="X790" s="170" t="str">
        <f t="shared" si="21"/>
        <v>1w</v>
      </c>
      <c r="Y790" s="168">
        <f>_xll.qlCalendarAdvance(LiborCalendar,Y789,X790,"f",FALSE)</f>
        <v>44671</v>
      </c>
      <c r="Z790" s="171">
        <f>_xll.qlInterestRateIndexValueDate(IborIndex,Y790,Trigger)</f>
        <v>44673</v>
      </c>
      <c r="AA790" s="172">
        <v>8.0827846075274719E-3</v>
      </c>
      <c r="AB790" s="169">
        <v>7.9216879437993271E-3</v>
      </c>
    </row>
    <row r="791" spans="20:28" x14ac:dyDescent="0.2">
      <c r="T791" s="130"/>
      <c r="U791" s="151"/>
      <c r="X791" s="170" t="str">
        <f t="shared" si="21"/>
        <v>1w</v>
      </c>
      <c r="Y791" s="168">
        <f>_xll.qlCalendarAdvance(LiborCalendar,Y790,X791,"f",FALSE)</f>
        <v>44678</v>
      </c>
      <c r="Z791" s="171">
        <f>_xll.qlInterestRateIndexValueDate(IborIndex,Y791,Trigger)</f>
        <v>44680</v>
      </c>
      <c r="AA791" s="172">
        <v>8.1065520545682695E-3</v>
      </c>
      <c r="AB791" s="169">
        <v>7.948667283435018E-3</v>
      </c>
    </row>
    <row r="792" spans="20:28" x14ac:dyDescent="0.2">
      <c r="T792" s="130"/>
      <c r="U792" s="151"/>
      <c r="X792" s="170" t="str">
        <f t="shared" si="21"/>
        <v>1w</v>
      </c>
      <c r="Y792" s="168">
        <f>_xll.qlCalendarAdvance(LiborCalendar,Y791,X792,"f",FALSE)</f>
        <v>44685</v>
      </c>
      <c r="Z792" s="171">
        <f>_xll.qlInterestRateIndexValueDate(IborIndex,Y792,Trigger)</f>
        <v>44687</v>
      </c>
      <c r="AA792" s="172">
        <v>8.1352212214869327E-3</v>
      </c>
      <c r="AB792" s="169">
        <v>7.9717713761606745E-3</v>
      </c>
    </row>
    <row r="793" spans="20:28" x14ac:dyDescent="0.2">
      <c r="T793" s="130"/>
      <c r="U793" s="151"/>
      <c r="X793" s="170" t="str">
        <f t="shared" si="21"/>
        <v>1w</v>
      </c>
      <c r="Y793" s="168">
        <f>_xll.qlCalendarAdvance(LiborCalendar,Y792,X793,"f",FALSE)</f>
        <v>44692</v>
      </c>
      <c r="Z793" s="171">
        <f>_xll.qlInterestRateIndexValueDate(IborIndex,Y793,Trigger)</f>
        <v>44694</v>
      </c>
      <c r="AA793" s="172">
        <v>8.1584187862156349E-3</v>
      </c>
      <c r="AB793" s="169">
        <v>7.9966263741138022E-3</v>
      </c>
    </row>
    <row r="794" spans="20:28" x14ac:dyDescent="0.2">
      <c r="T794" s="130"/>
      <c r="U794" s="151"/>
      <c r="X794" s="170" t="str">
        <f t="shared" si="21"/>
        <v>1w</v>
      </c>
      <c r="Y794" s="168">
        <f>_xll.qlCalendarAdvance(LiborCalendar,Y793,X794,"f",FALSE)</f>
        <v>44699</v>
      </c>
      <c r="Z794" s="171">
        <f>_xll.qlInterestRateIndexValueDate(IborIndex,Y794,Trigger)</f>
        <v>44701</v>
      </c>
      <c r="AA794" s="172">
        <v>8.1813427852737951E-3</v>
      </c>
      <c r="AB794" s="169">
        <v>8.0213082024549465E-3</v>
      </c>
    </row>
    <row r="795" spans="20:28" x14ac:dyDescent="0.2">
      <c r="T795" s="130"/>
      <c r="U795" s="151"/>
      <c r="X795" s="170" t="str">
        <f t="shared" si="21"/>
        <v>1w</v>
      </c>
      <c r="Y795" s="168">
        <f>_xll.qlCalendarAdvance(LiborCalendar,Y794,X795,"f",FALSE)</f>
        <v>44706</v>
      </c>
      <c r="Z795" s="171">
        <f>_xll.qlInterestRateIndexValueDate(IborIndex,Y795,Trigger)</f>
        <v>44708</v>
      </c>
      <c r="AA795" s="172">
        <v>8.2056435475398957E-3</v>
      </c>
      <c r="AB795" s="169">
        <v>8.0475374110400288E-3</v>
      </c>
    </row>
    <row r="796" spans="20:28" x14ac:dyDescent="0.2">
      <c r="T796" s="130"/>
      <c r="U796" s="151"/>
      <c r="X796" s="170" t="str">
        <f t="shared" si="21"/>
        <v>1w</v>
      </c>
      <c r="Y796" s="168">
        <f>_xll.qlCalendarAdvance(LiborCalendar,Y795,X796,"f",FALSE)</f>
        <v>44713</v>
      </c>
      <c r="Z796" s="171">
        <f>_xll.qlInterestRateIndexValueDate(IborIndex,Y796,Trigger)</f>
        <v>44715</v>
      </c>
      <c r="AA796" s="172">
        <v>8.2263545283589347E-3</v>
      </c>
      <c r="AB796" s="169">
        <v>8.0698460690076246E-3</v>
      </c>
    </row>
    <row r="797" spans="20:28" x14ac:dyDescent="0.2">
      <c r="T797" s="130"/>
      <c r="U797" s="151"/>
      <c r="X797" s="170" t="str">
        <f t="shared" si="21"/>
        <v>1w</v>
      </c>
      <c r="Y797" s="168">
        <f>_xll.qlCalendarAdvance(LiborCalendar,Y796,X797,"f",FALSE)</f>
        <v>44720</v>
      </c>
      <c r="Z797" s="171">
        <f>_xll.qlInterestRateIndexValueDate(IborIndex,Y797,Trigger)</f>
        <v>44722</v>
      </c>
      <c r="AA797" s="172">
        <v>8.2484421118811137E-3</v>
      </c>
      <c r="AB797" s="169">
        <v>8.0936973949086166E-3</v>
      </c>
    </row>
    <row r="798" spans="20:28" x14ac:dyDescent="0.2">
      <c r="T798" s="130"/>
      <c r="U798" s="151"/>
      <c r="X798" s="170" t="str">
        <f t="shared" si="21"/>
        <v>1w</v>
      </c>
      <c r="Y798" s="168">
        <f>_xll.qlCalendarAdvance(LiborCalendar,Y797,X798,"f",FALSE)</f>
        <v>44727</v>
      </c>
      <c r="Z798" s="171">
        <f>_xll.qlInterestRateIndexValueDate(IborIndex,Y798,Trigger)</f>
        <v>44729</v>
      </c>
      <c r="AA798" s="172">
        <v>8.2702508302791092E-3</v>
      </c>
      <c r="AB798" s="169">
        <v>8.117270315670666E-3</v>
      </c>
    </row>
    <row r="799" spans="20:28" x14ac:dyDescent="0.2">
      <c r="T799" s="130"/>
      <c r="U799" s="151"/>
      <c r="X799" s="170" t="str">
        <f t="shared" si="21"/>
        <v>1w</v>
      </c>
      <c r="Y799" s="168">
        <f>_xll.qlCalendarAdvance(LiborCalendar,Y798,X799,"f",FALSE)</f>
        <v>44734</v>
      </c>
      <c r="Z799" s="171">
        <f>_xll.qlInterestRateIndexValueDate(IborIndex,Y799,Trigger)</f>
        <v>44736</v>
      </c>
      <c r="AA799" s="172">
        <v>8.2917806788001258E-3</v>
      </c>
      <c r="AB799" s="169">
        <v>8.1405648311072554E-3</v>
      </c>
    </row>
    <row r="800" spans="20:28" x14ac:dyDescent="0.2">
      <c r="T800" s="130"/>
      <c r="U800" s="151"/>
      <c r="X800" s="170" t="str">
        <f t="shared" si="21"/>
        <v>1w</v>
      </c>
      <c r="Y800" s="168">
        <f>_xll.qlCalendarAdvance(LiborCalendar,Y799,X800,"f",FALSE)</f>
        <v>44741</v>
      </c>
      <c r="Z800" s="171">
        <f>_xll.qlInterestRateIndexValueDate(IborIndex,Y800,Trigger)</f>
        <v>44743</v>
      </c>
      <c r="AA800" s="172">
        <v>8.3130316527491969E-3</v>
      </c>
      <c r="AB800" s="169">
        <v>8.1635809411118032E-3</v>
      </c>
    </row>
    <row r="801" spans="20:28" x14ac:dyDescent="0.2">
      <c r="T801" s="130"/>
      <c r="U801" s="151"/>
      <c r="X801" s="170" t="str">
        <f t="shared" si="21"/>
        <v>1w</v>
      </c>
      <c r="Y801" s="168">
        <f>_xll.qlCalendarAdvance(LiborCalendar,Y800,X801,"f",FALSE)</f>
        <v>44748</v>
      </c>
      <c r="Z801" s="171">
        <f>_xll.qlInterestRateIndexValueDate(IborIndex,Y801,Trigger)</f>
        <v>44750</v>
      </c>
      <c r="AA801" s="172">
        <v>8.334003747492583E-3</v>
      </c>
      <c r="AB801" s="169">
        <v>8.1863186454711467E-3</v>
      </c>
    </row>
    <row r="802" spans="20:28" x14ac:dyDescent="0.2">
      <c r="T802" s="130"/>
      <c r="U802" s="151"/>
      <c r="X802" s="170" t="str">
        <f t="shared" si="21"/>
        <v>1w</v>
      </c>
      <c r="Y802" s="168">
        <f>_xll.qlCalendarAdvance(LiborCalendar,Y801,X802,"f",FALSE)</f>
        <v>44755</v>
      </c>
      <c r="Z802" s="171">
        <f>_xll.qlInterestRateIndexValueDate(IborIndex,Y802,Trigger)</f>
        <v>44757</v>
      </c>
      <c r="AA802" s="172">
        <v>8.3546969584569197E-3</v>
      </c>
      <c r="AB802" s="169">
        <v>8.2087779440254138E-3</v>
      </c>
    </row>
    <row r="803" spans="20:28" x14ac:dyDescent="0.2">
      <c r="T803" s="130"/>
      <c r="U803" s="151"/>
      <c r="X803" s="170" t="str">
        <f t="shared" si="21"/>
        <v>1w</v>
      </c>
      <c r="Y803" s="168">
        <f>_xll.qlCalendarAdvance(LiborCalendar,Y802,X803,"f",FALSE)</f>
        <v>44762</v>
      </c>
      <c r="Z803" s="171">
        <f>_xll.qlInterestRateIndexValueDate(IborIndex,Y803,Trigger)</f>
        <v>44764</v>
      </c>
      <c r="AA803" s="172">
        <v>8.3751112811300717E-3</v>
      </c>
      <c r="AB803" s="169">
        <v>8.2309588366413777E-3</v>
      </c>
    </row>
    <row r="804" spans="20:28" x14ac:dyDescent="0.2">
      <c r="T804" s="130"/>
      <c r="U804" s="151"/>
      <c r="X804" s="170" t="str">
        <f t="shared" si="21"/>
        <v>1w</v>
      </c>
      <c r="Y804" s="168">
        <f>_xll.qlCalendarAdvance(LiborCalendar,Y803,X804,"f",FALSE)</f>
        <v>44769</v>
      </c>
      <c r="Z804" s="171">
        <f>_xll.qlInterestRateIndexValueDate(IborIndex,Y804,Trigger)</f>
        <v>44771</v>
      </c>
      <c r="AA804" s="172">
        <v>8.3952467110611322E-3</v>
      </c>
      <c r="AB804" s="169">
        <v>8.252861323132521E-3</v>
      </c>
    </row>
    <row r="805" spans="20:28" x14ac:dyDescent="0.2">
      <c r="T805" s="130"/>
      <c r="U805" s="151"/>
      <c r="X805" s="170" t="str">
        <f t="shared" si="21"/>
        <v>1w</v>
      </c>
      <c r="Y805" s="168">
        <f>_xll.qlCalendarAdvance(LiborCalendar,Y804,X805,"f",FALSE)</f>
        <v>44776</v>
      </c>
      <c r="Z805" s="171">
        <f>_xll.qlInterestRateIndexValueDate(IborIndex,Y805,Trigger)</f>
        <v>44778</v>
      </c>
      <c r="AA805" s="172">
        <v>8.4151032438604199E-3</v>
      </c>
      <c r="AB805" s="169">
        <v>8.2744854033922621E-3</v>
      </c>
    </row>
    <row r="806" spans="20:28" x14ac:dyDescent="0.2">
      <c r="T806" s="130"/>
      <c r="U806" s="151"/>
      <c r="X806" s="170" t="str">
        <f t="shared" si="21"/>
        <v>1w</v>
      </c>
      <c r="Y806" s="168">
        <f>_xll.qlCalendarAdvance(LiborCalendar,Y805,X806,"f",FALSE)</f>
        <v>44783</v>
      </c>
      <c r="Z806" s="171">
        <f>_xll.qlInterestRateIndexValueDate(IborIndex,Y806,Trigger)</f>
        <v>44785</v>
      </c>
      <c r="AA806" s="172">
        <v>8.4346808751977823E-3</v>
      </c>
      <c r="AB806" s="169">
        <v>8.2958310772607291E-3</v>
      </c>
    </row>
    <row r="807" spans="20:28" x14ac:dyDescent="0.2">
      <c r="T807" s="130"/>
      <c r="U807" s="151"/>
      <c r="X807" s="170" t="str">
        <f t="shared" si="21"/>
        <v>1w</v>
      </c>
      <c r="Y807" s="168">
        <f>_xll.qlCalendarAdvance(LiborCalendar,Y806,X807,"f",FALSE)</f>
        <v>44790</v>
      </c>
      <c r="Z807" s="171">
        <f>_xll.qlInterestRateIndexValueDate(IborIndex,Y807,Trigger)</f>
        <v>44792</v>
      </c>
      <c r="AA807" s="172">
        <v>8.4539796008042956E-3</v>
      </c>
      <c r="AB807" s="169">
        <v>8.3168983446046951E-3</v>
      </c>
    </row>
    <row r="808" spans="20:28" x14ac:dyDescent="0.2">
      <c r="T808" s="130"/>
      <c r="U808" s="151"/>
      <c r="X808" s="170" t="str">
        <f t="shared" si="21"/>
        <v>1w</v>
      </c>
      <c r="Y808" s="168">
        <f>_xll.qlCalendarAdvance(LiborCalendar,Y807,X808,"f",FALSE)</f>
        <v>44797</v>
      </c>
      <c r="Z808" s="171">
        <f>_xll.qlInterestRateIndexValueDate(IborIndex,Y808,Trigger)</f>
        <v>44799</v>
      </c>
      <c r="AA808" s="172">
        <v>8.4729994164722579E-3</v>
      </c>
      <c r="AB808" s="169">
        <v>8.3392563973472278E-3</v>
      </c>
    </row>
    <row r="809" spans="20:28" x14ac:dyDescent="0.2">
      <c r="T809" s="130"/>
      <c r="U809" s="151"/>
      <c r="X809" s="170" t="str">
        <f t="shared" si="21"/>
        <v>1w</v>
      </c>
      <c r="Y809" s="168">
        <f>_xll.qlCalendarAdvance(LiborCalendar,Y808,X809,"f",FALSE)</f>
        <v>44804</v>
      </c>
      <c r="Z809" s="171">
        <f>_xll.qlInterestRateIndexValueDate(IborIndex,Y809,Trigger)</f>
        <v>44806</v>
      </c>
      <c r="AA809" s="172">
        <v>8.4875796103380911E-3</v>
      </c>
      <c r="AB809" s="169">
        <v>8.3581976589996998E-3</v>
      </c>
    </row>
    <row r="810" spans="20:28" x14ac:dyDescent="0.2">
      <c r="T810" s="130"/>
      <c r="U810" s="151"/>
      <c r="X810" s="170" t="str">
        <f t="shared" si="21"/>
        <v>1w</v>
      </c>
      <c r="Y810" s="168">
        <f>_xll.qlCalendarAdvance(LiborCalendar,Y809,X810,"f",FALSE)</f>
        <v>44811</v>
      </c>
      <c r="Z810" s="171">
        <f>_xll.qlInterestRateIndexValueDate(IborIndex,Y810,Trigger)</f>
        <v>44813</v>
      </c>
      <c r="AA810" s="172">
        <v>8.5061000528864582E-3</v>
      </c>
      <c r="AB810" s="169">
        <v>8.3784297057842849E-3</v>
      </c>
    </row>
    <row r="811" spans="20:28" x14ac:dyDescent="0.2">
      <c r="T811" s="130"/>
      <c r="U811" s="151"/>
      <c r="X811" s="170" t="str">
        <f t="shared" si="21"/>
        <v>1w</v>
      </c>
      <c r="Y811" s="168">
        <f>_xll.qlCalendarAdvance(LiborCalendar,Y810,X811,"f",FALSE)</f>
        <v>44818</v>
      </c>
      <c r="Z811" s="171">
        <f>_xll.qlInterestRateIndexValueDate(IborIndex,Y811,Trigger)</f>
        <v>44820</v>
      </c>
      <c r="AA811" s="172">
        <v>8.5243415910231709E-3</v>
      </c>
      <c r="AB811" s="169">
        <v>8.3983833454048806E-3</v>
      </c>
    </row>
    <row r="812" spans="20:28" x14ac:dyDescent="0.2">
      <c r="T812" s="130"/>
      <c r="U812" s="151"/>
      <c r="X812" s="170" t="str">
        <f t="shared" si="21"/>
        <v>1w</v>
      </c>
      <c r="Y812" s="168">
        <f>_xll.qlCalendarAdvance(LiborCalendar,Y811,X812,"f",FALSE)</f>
        <v>44825</v>
      </c>
      <c r="Z812" s="171">
        <f>_xll.qlInterestRateIndexValueDate(IborIndex,Y812,Trigger)</f>
        <v>44827</v>
      </c>
      <c r="AA812" s="172">
        <v>8.542304220899001E-3</v>
      </c>
      <c r="AB812" s="169">
        <v>8.4180585778081962E-3</v>
      </c>
    </row>
    <row r="813" spans="20:28" x14ac:dyDescent="0.2">
      <c r="T813" s="130"/>
      <c r="U813" s="151"/>
      <c r="X813" s="170" t="str">
        <f t="shared" si="21"/>
        <v>1w</v>
      </c>
      <c r="Y813" s="168">
        <f>_xll.qlCalendarAdvance(LiborCalendar,Y812,X813,"f",FALSE)</f>
        <v>44832</v>
      </c>
      <c r="Z813" s="171">
        <f>_xll.qlInterestRateIndexValueDate(IborIndex,Y813,Trigger)</f>
        <v>44834</v>
      </c>
      <c r="AA813" s="172">
        <v>8.5599879387226966E-3</v>
      </c>
      <c r="AB813" s="169">
        <v>8.4374554028343596E-3</v>
      </c>
    </row>
    <row r="814" spans="20:28" x14ac:dyDescent="0.2">
      <c r="T814" s="130"/>
      <c r="U814" s="151"/>
      <c r="X814" s="170" t="str">
        <f t="shared" si="21"/>
        <v>1w</v>
      </c>
      <c r="Y814" s="168">
        <f>_xll.qlCalendarAdvance(LiborCalendar,Y813,X814,"f",FALSE)</f>
        <v>44839</v>
      </c>
      <c r="Z814" s="171">
        <f>_xll.qlInterestRateIndexValueDate(IborIndex,Y814,Trigger)</f>
        <v>44841</v>
      </c>
      <c r="AA814" s="172">
        <v>8.5812609737699105E-3</v>
      </c>
      <c r="AB814" s="169">
        <v>8.4565738202702079E-3</v>
      </c>
    </row>
    <row r="815" spans="20:28" x14ac:dyDescent="0.2">
      <c r="T815" s="130"/>
      <c r="U815" s="151"/>
      <c r="X815" s="170" t="str">
        <f t="shared" si="21"/>
        <v>1w</v>
      </c>
      <c r="Y815" s="168">
        <f>_xll.qlCalendarAdvance(LiborCalendar,Y814,X815,"f",FALSE)</f>
        <v>44846</v>
      </c>
      <c r="Z815" s="171">
        <f>_xll.qlInterestRateIndexValueDate(IborIndex,Y815,Trigger)</f>
        <v>44848</v>
      </c>
      <c r="AA815" s="172">
        <v>8.5983283071479847E-3</v>
      </c>
      <c r="AB815" s="169">
        <v>8.4754138300624504E-3</v>
      </c>
    </row>
    <row r="816" spans="20:28" x14ac:dyDescent="0.2">
      <c r="T816" s="130"/>
      <c r="U816" s="151"/>
      <c r="X816" s="170" t="str">
        <f t="shared" si="21"/>
        <v>1w</v>
      </c>
      <c r="Y816" s="168">
        <f>_xll.qlCalendarAdvance(LiborCalendar,Y815,X816,"f",FALSE)</f>
        <v>44853</v>
      </c>
      <c r="Z816" s="171">
        <f>_xll.qlInterestRateIndexValueDate(IborIndex,Y816,Trigger)</f>
        <v>44855</v>
      </c>
      <c r="AA816" s="172">
        <v>8.6151166991114102E-3</v>
      </c>
      <c r="AB816" s="169">
        <v>8.4939754320512151E-3</v>
      </c>
    </row>
    <row r="817" spans="20:28" x14ac:dyDescent="0.2">
      <c r="T817" s="130"/>
      <c r="U817" s="151"/>
      <c r="X817" s="170" t="str">
        <f t="shared" si="21"/>
        <v>1w</v>
      </c>
      <c r="Y817" s="168">
        <f>_xll.qlCalendarAdvance(LiborCalendar,Y816,X817,"f",FALSE)</f>
        <v>44860</v>
      </c>
      <c r="Z817" s="171">
        <f>_xll.qlInterestRateIndexValueDate(IborIndex,Y817,Trigger)</f>
        <v>44862</v>
      </c>
      <c r="AA817" s="172">
        <v>8.6316261459992889E-3</v>
      </c>
      <c r="AB817" s="169">
        <v>8.5122586261032751E-3</v>
      </c>
    </row>
    <row r="818" spans="20:28" x14ac:dyDescent="0.2">
      <c r="T818" s="130"/>
      <c r="U818" s="151"/>
      <c r="X818" s="170" t="str">
        <f t="shared" si="21"/>
        <v>1w</v>
      </c>
      <c r="Y818" s="168">
        <f>_xll.qlCalendarAdvance(LiborCalendar,Y817,X818,"f",FALSE)</f>
        <v>44867</v>
      </c>
      <c r="Z818" s="171">
        <f>_xll.qlInterestRateIndexValueDate(IborIndex,Y818,Trigger)</f>
        <v>44869</v>
      </c>
      <c r="AA818" s="172">
        <v>8.6478566442119448E-3</v>
      </c>
      <c r="AB818" s="169">
        <v>8.5302634121120491E-3</v>
      </c>
    </row>
    <row r="819" spans="20:28" x14ac:dyDescent="0.2">
      <c r="T819" s="130"/>
      <c r="U819" s="151"/>
      <c r="X819" s="170" t="str">
        <f t="shared" si="21"/>
        <v>1w</v>
      </c>
      <c r="Y819" s="168">
        <f>_xll.qlCalendarAdvance(LiborCalendar,Y818,X819,"f",FALSE)</f>
        <v>44874</v>
      </c>
      <c r="Z819" s="171">
        <f>_xll.qlInterestRateIndexValueDate(IborIndex,Y819,Trigger)</f>
        <v>44876</v>
      </c>
      <c r="AA819" s="172">
        <v>8.6638081902117824E-3</v>
      </c>
      <c r="AB819" s="169">
        <v>8.5479897899443102E-3</v>
      </c>
    </row>
    <row r="820" spans="20:28" x14ac:dyDescent="0.2">
      <c r="T820" s="130"/>
      <c r="U820" s="151"/>
      <c r="X820" s="170" t="str">
        <f t="shared" si="21"/>
        <v>1w</v>
      </c>
      <c r="Y820" s="168">
        <f>_xll.qlCalendarAdvance(LiborCalendar,Y819,X820,"f",FALSE)</f>
        <v>44881</v>
      </c>
      <c r="Z820" s="171">
        <f>_xll.qlInterestRateIndexValueDate(IborIndex,Y820,Trigger)</f>
        <v>44883</v>
      </c>
      <c r="AA820" s="172">
        <v>8.6794807805181812E-3</v>
      </c>
      <c r="AB820" s="169">
        <v>8.5654377594401865E-3</v>
      </c>
    </row>
    <row r="821" spans="20:28" x14ac:dyDescent="0.2">
      <c r="T821" s="130"/>
      <c r="U821" s="151"/>
      <c r="X821" s="170" t="str">
        <f t="shared" si="21"/>
        <v>1w</v>
      </c>
      <c r="Y821" s="168">
        <f>_xll.qlCalendarAdvance(LiborCalendar,Y820,X821,"f",FALSE)</f>
        <v>44888</v>
      </c>
      <c r="Z821" s="171">
        <f>_xll.qlInterestRateIndexValueDate(IborIndex,Y821,Trigger)</f>
        <v>44890</v>
      </c>
      <c r="AA821" s="172">
        <v>8.6948744117151516E-3</v>
      </c>
      <c r="AB821" s="169">
        <v>8.5826073205197417E-3</v>
      </c>
    </row>
    <row r="822" spans="20:28" x14ac:dyDescent="0.2">
      <c r="T822" s="130"/>
      <c r="U822" s="151"/>
      <c r="X822" s="170" t="str">
        <f t="shared" si="21"/>
        <v>1w</v>
      </c>
      <c r="Y822" s="168">
        <f>_xll.qlCalendarAdvance(LiborCalendar,Y821,X822,"f",FALSE)</f>
        <v>44895</v>
      </c>
      <c r="Z822" s="171">
        <f>_xll.qlInterestRateIndexValueDate(IborIndex,Y822,Trigger)</f>
        <v>44897</v>
      </c>
      <c r="AA822" s="172">
        <v>8.7054529608758813E-3</v>
      </c>
      <c r="AB822" s="169">
        <v>8.5994984730763946E-3</v>
      </c>
    </row>
    <row r="823" spans="20:28" x14ac:dyDescent="0.2">
      <c r="T823" s="130"/>
      <c r="U823" s="151"/>
      <c r="X823" s="170" t="str">
        <f t="shared" si="21"/>
        <v>1w</v>
      </c>
      <c r="Y823" s="168">
        <f>_xll.qlCalendarAdvance(LiborCalendar,Y822,X823,"f",FALSE)</f>
        <v>44902</v>
      </c>
      <c r="Z823" s="171">
        <f>_xll.qlInterestRateIndexValueDate(IborIndex,Y823,Trigger)</f>
        <v>44904</v>
      </c>
      <c r="AA823" s="172">
        <v>8.7203669270357054E-3</v>
      </c>
      <c r="AB823" s="169">
        <v>8.6161112169502729E-3</v>
      </c>
    </row>
    <row r="824" spans="20:28" x14ac:dyDescent="0.2">
      <c r="T824" s="130"/>
      <c r="U824" s="151"/>
      <c r="X824" s="170" t="str">
        <f t="shared" si="21"/>
        <v>1w</v>
      </c>
      <c r="Y824" s="168">
        <f>_xll.qlCalendarAdvance(LiborCalendar,Y823,X824,"f",FALSE)</f>
        <v>44909</v>
      </c>
      <c r="Z824" s="171">
        <f>_xll.qlInterestRateIndexValueDate(IborIndex,Y824,Trigger)</f>
        <v>44911</v>
      </c>
      <c r="AA824" s="172">
        <v>8.7350019496827969E-3</v>
      </c>
      <c r="AB824" s="169">
        <v>8.6324455520347954E-3</v>
      </c>
    </row>
    <row r="825" spans="20:28" x14ac:dyDescent="0.2">
      <c r="T825" s="130"/>
      <c r="U825" s="151"/>
      <c r="X825" s="170" t="str">
        <f t="shared" si="21"/>
        <v>1w</v>
      </c>
      <c r="Y825" s="168">
        <f>_xll.qlCalendarAdvance(LiborCalendar,Y824,X825,"f",FALSE)</f>
        <v>44916</v>
      </c>
      <c r="Z825" s="171">
        <f>_xll.qlInterestRateIndexValueDate(IborIndex,Y825,Trigger)</f>
        <v>44918</v>
      </c>
      <c r="AA825" s="172">
        <v>8.7493580257609338E-3</v>
      </c>
      <c r="AB825" s="169">
        <v>8.65097654237168E-3</v>
      </c>
    </row>
    <row r="826" spans="20:28" x14ac:dyDescent="0.2">
      <c r="T826" s="130"/>
      <c r="U826" s="151"/>
      <c r="X826" s="170" t="str">
        <f t="shared" si="21"/>
        <v>1w</v>
      </c>
      <c r="Y826" s="168">
        <f>_xll.qlCalendarAdvance(LiborCalendar,Y825,X826,"f",FALSE)</f>
        <v>44923</v>
      </c>
      <c r="Z826" s="171">
        <f>_xll.qlInterestRateIndexValueDate(IborIndex,Y826,Trigger)</f>
        <v>44925</v>
      </c>
      <c r="AA826" s="172">
        <v>8.7644936554626199E-3</v>
      </c>
      <c r="AB826" s="169">
        <v>8.6654979389888531E-3</v>
      </c>
    </row>
    <row r="827" spans="20:28" x14ac:dyDescent="0.2">
      <c r="T827" s="130"/>
      <c r="U827" s="151"/>
      <c r="X827" s="170" t="str">
        <f t="shared" si="21"/>
        <v>1w</v>
      </c>
      <c r="Y827" s="168">
        <f>_xll.qlCalendarAdvance(LiborCalendar,Y826,X827,"f",FALSE)</f>
        <v>44930</v>
      </c>
      <c r="Z827" s="171">
        <f>_xll.qlInterestRateIndexValueDate(IborIndex,Y827,Trigger)</f>
        <v>44932</v>
      </c>
      <c r="AA827" s="172">
        <v>8.7772333262812197E-3</v>
      </c>
      <c r="AB827" s="169">
        <v>8.6797781035130583E-3</v>
      </c>
    </row>
    <row r="828" spans="20:28" x14ac:dyDescent="0.2">
      <c r="T828" s="130"/>
      <c r="U828" s="151"/>
      <c r="X828" s="170" t="str">
        <f t="shared" si="21"/>
        <v>1w</v>
      </c>
      <c r="Y828" s="168">
        <f>_xll.qlCalendarAdvance(LiborCalendar,Y827,X828,"f",FALSE)</f>
        <v>44937</v>
      </c>
      <c r="Z828" s="171">
        <f>_xll.qlInterestRateIndexValueDate(IborIndex,Y828,Trigger)</f>
        <v>44939</v>
      </c>
      <c r="AA828" s="172">
        <v>8.7907525449022472E-3</v>
      </c>
      <c r="AB828" s="169">
        <v>8.694998802374343E-3</v>
      </c>
    </row>
    <row r="829" spans="20:28" x14ac:dyDescent="0.2">
      <c r="T829" s="130"/>
      <c r="U829" s="151"/>
      <c r="X829" s="170" t="str">
        <f t="shared" si="21"/>
        <v>1w</v>
      </c>
      <c r="Y829" s="168">
        <f>_xll.qlCalendarAdvance(LiborCalendar,Y828,X829,"f",FALSE)</f>
        <v>44944</v>
      </c>
      <c r="Z829" s="171">
        <f>_xll.qlInterestRateIndexValueDate(IborIndex,Y829,Trigger)</f>
        <v>44946</v>
      </c>
      <c r="AA829" s="172">
        <v>8.8039928053156302E-3</v>
      </c>
      <c r="AB829" s="169">
        <v>8.7099410918867193E-3</v>
      </c>
    </row>
    <row r="830" spans="20:28" x14ac:dyDescent="0.2">
      <c r="T830" s="130"/>
      <c r="U830" s="151"/>
      <c r="X830" s="170" t="str">
        <f t="shared" si="21"/>
        <v>1w</v>
      </c>
      <c r="Y830" s="168">
        <f>_xll.qlCalendarAdvance(LiborCalendar,Y829,X830,"f",FALSE)</f>
        <v>44951</v>
      </c>
      <c r="Z830" s="171">
        <f>_xll.qlInterestRateIndexValueDate(IborIndex,Y830,Trigger)</f>
        <v>44953</v>
      </c>
      <c r="AA830" s="172">
        <v>8.8169541047555811E-3</v>
      </c>
      <c r="AB830" s="169">
        <v>8.7246049719968966E-3</v>
      </c>
    </row>
    <row r="831" spans="20:28" x14ac:dyDescent="0.2">
      <c r="T831" s="130"/>
      <c r="U831" s="151"/>
      <c r="X831" s="170" t="str">
        <f t="shared" si="21"/>
        <v>1w</v>
      </c>
      <c r="Y831" s="168">
        <f>_xll.qlCalendarAdvance(LiborCalendar,Y830,X831,"f",FALSE)</f>
        <v>44958</v>
      </c>
      <c r="Z831" s="171">
        <f>_xll.qlInterestRateIndexValueDate(IborIndex,Y831,Trigger)</f>
        <v>44960</v>
      </c>
      <c r="AA831" s="172">
        <v>8.8286740986453175E-3</v>
      </c>
      <c r="AB831" s="169">
        <v>8.738990442571648E-3</v>
      </c>
    </row>
    <row r="832" spans="20:28" x14ac:dyDescent="0.2">
      <c r="T832" s="130"/>
      <c r="U832" s="151"/>
      <c r="X832" s="170" t="str">
        <f t="shared" si="21"/>
        <v>1w</v>
      </c>
      <c r="Y832" s="168">
        <f>_xll.qlCalendarAdvance(LiborCalendar,Y831,X832,"f",FALSE)</f>
        <v>44965</v>
      </c>
      <c r="Z832" s="171">
        <f>_xll.qlInterestRateIndexValueDate(IborIndex,Y832,Trigger)</f>
        <v>44967</v>
      </c>
      <c r="AA832" s="172">
        <v>8.841097089915614E-3</v>
      </c>
      <c r="AB832" s="169">
        <v>8.753097503477747E-3</v>
      </c>
    </row>
    <row r="833" spans="20:28" x14ac:dyDescent="0.2">
      <c r="T833" s="130"/>
      <c r="U833" s="151"/>
      <c r="X833" s="170" t="str">
        <f t="shared" si="21"/>
        <v>1w</v>
      </c>
      <c r="Y833" s="168">
        <f>_xll.qlCalendarAdvance(LiborCalendar,Y832,X833,"f",FALSE)</f>
        <v>44972</v>
      </c>
      <c r="Z833" s="171">
        <f>_xll.qlInterestRateIndexValueDate(IborIndex,Y833,Trigger)</f>
        <v>44974</v>
      </c>
      <c r="AA833" s="172">
        <v>8.853241198612246E-3</v>
      </c>
      <c r="AB833" s="169">
        <v>8.7669261546619026E-3</v>
      </c>
    </row>
    <row r="834" spans="20:28" x14ac:dyDescent="0.2">
      <c r="T834" s="130"/>
      <c r="U834" s="151"/>
      <c r="X834" s="170" t="str">
        <f t="shared" si="21"/>
        <v>1w</v>
      </c>
      <c r="Y834" s="168">
        <f>_xll.qlCalendarAdvance(LiborCalendar,Y833,X834,"f",FALSE)</f>
        <v>44979</v>
      </c>
      <c r="Z834" s="171">
        <f>_xll.qlInterestRateIndexValueDate(IborIndex,Y834,Trigger)</f>
        <v>44981</v>
      </c>
      <c r="AA834" s="172">
        <v>8.8651134489779754E-3</v>
      </c>
      <c r="AB834" s="169">
        <v>8.780476396044179E-3</v>
      </c>
    </row>
    <row r="835" spans="20:28" x14ac:dyDescent="0.2">
      <c r="T835" s="130"/>
      <c r="U835" s="151"/>
      <c r="X835" s="170" t="str">
        <f t="shared" si="21"/>
        <v>1w</v>
      </c>
      <c r="Y835" s="168">
        <f>_xll.qlCalendarAdvance(LiborCalendar,Y834,X835,"f",FALSE)</f>
        <v>44986</v>
      </c>
      <c r="Z835" s="171">
        <f>_xll.qlInterestRateIndexValueDate(IborIndex,Y835,Trigger)</f>
        <v>44988</v>
      </c>
      <c r="AA835" s="172">
        <v>8.881180178762044E-3</v>
      </c>
      <c r="AB835" s="169">
        <v>8.7937482274647039E-3</v>
      </c>
    </row>
    <row r="836" spans="20:28" x14ac:dyDescent="0.2">
      <c r="T836" s="130"/>
      <c r="U836" s="151"/>
      <c r="X836" s="170" t="str">
        <f t="shared" si="21"/>
        <v>1w</v>
      </c>
      <c r="Y836" s="168">
        <f>_xll.qlCalendarAdvance(LiborCalendar,Y835,X836,"f",FALSE)</f>
        <v>44993</v>
      </c>
      <c r="Z836" s="171">
        <f>_xll.qlInterestRateIndexValueDate(IborIndex,Y836,Trigger)</f>
        <v>44995</v>
      </c>
      <c r="AA836" s="172">
        <v>8.8925088336119958E-3</v>
      </c>
      <c r="AB836" s="169">
        <v>8.806741648896832E-3</v>
      </c>
    </row>
    <row r="837" spans="20:28" x14ac:dyDescent="0.2">
      <c r="T837" s="130"/>
      <c r="U837" s="151"/>
      <c r="X837" s="170" t="str">
        <f t="shared" si="21"/>
        <v>1w</v>
      </c>
      <c r="Y837" s="168">
        <f>_xll.qlCalendarAdvance(LiborCalendar,Y836,X837,"f",FALSE)</f>
        <v>45000</v>
      </c>
      <c r="Z837" s="171">
        <f>_xll.qlInterestRateIndexValueDate(IborIndex,Y837,Trigger)</f>
        <v>45002</v>
      </c>
      <c r="AA837" s="172">
        <v>8.9036361781990193E-3</v>
      </c>
      <c r="AB837" s="169">
        <v>8.8194566602073365E-3</v>
      </c>
    </row>
    <row r="838" spans="20:28" x14ac:dyDescent="0.2">
      <c r="T838" s="130"/>
      <c r="U838" s="151"/>
      <c r="X838" s="170" t="str">
        <f t="shared" si="21"/>
        <v>1w</v>
      </c>
      <c r="Y838" s="168">
        <f>_xll.qlCalendarAdvance(LiborCalendar,Y837,X838,"f",FALSE)</f>
        <v>45007</v>
      </c>
      <c r="Z838" s="171">
        <f>_xll.qlInterestRateIndexValueDate(IborIndex,Y838,Trigger)</f>
        <v>45009</v>
      </c>
      <c r="AA838" s="172">
        <v>8.9145816344714211E-3</v>
      </c>
      <c r="AB838" s="169">
        <v>8.8318932613162815E-3</v>
      </c>
    </row>
    <row r="839" spans="20:28" x14ac:dyDescent="0.2">
      <c r="T839" s="130"/>
      <c r="U839" s="151"/>
      <c r="X839" s="170" t="str">
        <f t="shared" si="21"/>
        <v>1w</v>
      </c>
      <c r="Y839" s="168">
        <f>_xll.qlCalendarAdvance(LiborCalendar,Y838,X839,"f",FALSE)</f>
        <v>45014</v>
      </c>
      <c r="Z839" s="171">
        <f>_xll.qlInterestRateIndexValueDate(IborIndex,Y839,Trigger)</f>
        <v>45016</v>
      </c>
      <c r="AA839" s="172">
        <v>8.9228043363637644E-3</v>
      </c>
      <c r="AB839" s="169">
        <v>8.8440514521703761E-3</v>
      </c>
    </row>
    <row r="840" spans="20:28" x14ac:dyDescent="0.2">
      <c r="T840" s="130"/>
      <c r="U840" s="151"/>
      <c r="X840" s="170" t="str">
        <f t="shared" si="21"/>
        <v>1w</v>
      </c>
      <c r="Y840" s="168">
        <f>_xll.qlCalendarAdvance(LiborCalendar,Y839,X840,"f",FALSE)</f>
        <v>45021</v>
      </c>
      <c r="Z840" s="171">
        <f>_xll.qlInterestRateIndexValueDate(IborIndex,Y840,Trigger)</f>
        <v>45027</v>
      </c>
      <c r="AA840" s="172">
        <v>8.9394885080018582E-3</v>
      </c>
      <c r="AB840" s="169">
        <v>8.8607211416924514E-3</v>
      </c>
    </row>
    <row r="841" spans="20:28" x14ac:dyDescent="0.2">
      <c r="T841" s="130"/>
      <c r="U841" s="151"/>
      <c r="X841" s="170" t="str">
        <f t="shared" si="21"/>
        <v>1w</v>
      </c>
      <c r="Y841" s="168">
        <f>_xll.qlCalendarAdvance(LiborCalendar,Y840,X841,"f",FALSE)</f>
        <v>45028</v>
      </c>
      <c r="Z841" s="171">
        <f>_xll.qlInterestRateIndexValueDate(IborIndex,Y841,Trigger)</f>
        <v>45030</v>
      </c>
      <c r="AA841" s="172">
        <v>8.9439859078161797E-3</v>
      </c>
      <c r="AB841" s="169">
        <v>8.8675326026343981E-3</v>
      </c>
    </row>
    <row r="842" spans="20:28" x14ac:dyDescent="0.2">
      <c r="T842" s="130"/>
      <c r="U842" s="151"/>
      <c r="X842" s="170" t="str">
        <f t="shared" si="21"/>
        <v>1w</v>
      </c>
      <c r="Y842" s="168">
        <f>_xll.qlCalendarAdvance(LiborCalendar,Y841,X842,"f",FALSE)</f>
        <v>45035</v>
      </c>
      <c r="Z842" s="171">
        <f>_xll.qlInterestRateIndexValueDate(IborIndex,Y842,Trigger)</f>
        <v>45037</v>
      </c>
      <c r="AA842" s="172">
        <v>8.9544061225318838E-3</v>
      </c>
      <c r="AB842" s="169">
        <v>8.8788555621377441E-3</v>
      </c>
    </row>
    <row r="843" spans="20:28" x14ac:dyDescent="0.2">
      <c r="T843" s="130"/>
      <c r="U843" s="151"/>
      <c r="X843" s="170" t="str">
        <f t="shared" si="21"/>
        <v>1w</v>
      </c>
      <c r="Y843" s="168">
        <f>_xll.qlCalendarAdvance(LiborCalendar,Y842,X843,"f",FALSE)</f>
        <v>45042</v>
      </c>
      <c r="Z843" s="171">
        <f>_xll.qlInterestRateIndexValueDate(IborIndex,Y843,Trigger)</f>
        <v>45044</v>
      </c>
      <c r="AA843" s="172">
        <v>8.9672603762971266E-3</v>
      </c>
      <c r="AB843" s="169">
        <v>8.8907864783926982E-3</v>
      </c>
    </row>
    <row r="844" spans="20:28" x14ac:dyDescent="0.2">
      <c r="T844" s="130"/>
      <c r="U844" s="151"/>
      <c r="X844" s="170" t="str">
        <f t="shared" si="21"/>
        <v>1w</v>
      </c>
      <c r="Y844" s="168">
        <f>_xll.qlCalendarAdvance(LiborCalendar,Y843,X844,"f",FALSE)</f>
        <v>45049</v>
      </c>
      <c r="Z844" s="171">
        <f>_xll.qlInterestRateIndexValueDate(IborIndex,Y844,Trigger)</f>
        <v>45051</v>
      </c>
      <c r="AA844" s="172">
        <v>8.9775223770058952E-3</v>
      </c>
      <c r="AB844" s="169">
        <v>8.9006662492341349E-3</v>
      </c>
    </row>
    <row r="845" spans="20:28" x14ac:dyDescent="0.2">
      <c r="T845" s="130"/>
      <c r="U845" s="151"/>
      <c r="X845" s="170" t="str">
        <f t="shared" si="21"/>
        <v>1w</v>
      </c>
      <c r="Y845" s="168">
        <f>_xll.qlCalendarAdvance(LiborCalendar,Y844,X845,"f",FALSE)</f>
        <v>45056</v>
      </c>
      <c r="Z845" s="171">
        <f>_xll.qlInterestRateIndexValueDate(IborIndex,Y845,Trigger)</f>
        <v>45058</v>
      </c>
      <c r="AA845" s="172">
        <v>8.9877384496005863E-3</v>
      </c>
      <c r="AB845" s="169">
        <v>8.9111539766673076E-3</v>
      </c>
    </row>
    <row r="846" spans="20:28" x14ac:dyDescent="0.2">
      <c r="T846" s="130"/>
      <c r="U846" s="151"/>
      <c r="X846" s="170" t="str">
        <f t="shared" si="21"/>
        <v>1w</v>
      </c>
      <c r="Y846" s="168">
        <f>_xll.qlCalendarAdvance(LiborCalendar,Y845,X846,"f",FALSE)</f>
        <v>45063</v>
      </c>
      <c r="Z846" s="171">
        <f>_xll.qlInterestRateIndexValueDate(IborIndex,Y846,Trigger)</f>
        <v>45065</v>
      </c>
      <c r="AA846" s="172">
        <v>8.99792741378104E-3</v>
      </c>
      <c r="AB846" s="169">
        <v>8.9214456160480182E-3</v>
      </c>
    </row>
    <row r="847" spans="20:28" x14ac:dyDescent="0.2">
      <c r="T847" s="130"/>
      <c r="U847" s="151"/>
      <c r="X847" s="170" t="str">
        <f t="shared" si="21"/>
        <v>1w</v>
      </c>
      <c r="Y847" s="168">
        <f>_xll.qlCalendarAdvance(LiborCalendar,Y846,X847,"f",FALSE)</f>
        <v>45070</v>
      </c>
      <c r="Z847" s="171">
        <f>_xll.qlInterestRateIndexValueDate(IborIndex,Y847,Trigger)</f>
        <v>45072</v>
      </c>
      <c r="AA847" s="172">
        <v>9.0089334210850438E-3</v>
      </c>
      <c r="AB847" s="169">
        <v>8.9325543869245294E-3</v>
      </c>
    </row>
    <row r="848" spans="20:28" x14ac:dyDescent="0.2">
      <c r="T848" s="130"/>
      <c r="U848" s="151"/>
      <c r="X848" s="170" t="str">
        <f t="shared" si="21"/>
        <v>1w</v>
      </c>
      <c r="Y848" s="168">
        <f>_xll.qlCalendarAdvance(LiborCalendar,Y847,X848,"f",FALSE)</f>
        <v>45077</v>
      </c>
      <c r="Z848" s="171">
        <f>_xll.qlInterestRateIndexValueDate(IborIndex,Y848,Trigger)</f>
        <v>45079</v>
      </c>
      <c r="AA848" s="172">
        <v>9.0182502925396247E-3</v>
      </c>
      <c r="AB848" s="169">
        <v>8.941958467172384E-3</v>
      </c>
    </row>
    <row r="849" spans="20:28" x14ac:dyDescent="0.2">
      <c r="T849" s="130"/>
      <c r="U849" s="151"/>
      <c r="X849" s="170" t="str">
        <f t="shared" si="21"/>
        <v>1w</v>
      </c>
      <c r="Y849" s="168">
        <f>_xll.qlCalendarAdvance(LiborCalendar,Y848,X849,"f",FALSE)</f>
        <v>45084</v>
      </c>
      <c r="Z849" s="171">
        <f>_xll.qlInterestRateIndexValueDate(IborIndex,Y849,Trigger)</f>
        <v>45086</v>
      </c>
      <c r="AA849" s="172">
        <v>9.0283844616630745E-3</v>
      </c>
      <c r="AB849" s="169">
        <v>8.9521876456366556E-3</v>
      </c>
    </row>
    <row r="850" spans="20:28" x14ac:dyDescent="0.2">
      <c r="T850" s="130"/>
      <c r="U850" s="151"/>
      <c r="X850" s="170" t="str">
        <f t="shared" si="21"/>
        <v>1w</v>
      </c>
      <c r="Y850" s="168">
        <f>_xll.qlCalendarAdvance(LiborCalendar,Y849,X850,"f",FALSE)</f>
        <v>45091</v>
      </c>
      <c r="Z850" s="171">
        <f>_xll.qlInterestRateIndexValueDate(IborIndex,Y850,Trigger)</f>
        <v>45093</v>
      </c>
      <c r="AA850" s="172">
        <v>9.0385004504229295E-3</v>
      </c>
      <c r="AB850" s="169">
        <v>8.9623986594045135E-3</v>
      </c>
    </row>
    <row r="851" spans="20:28" x14ac:dyDescent="0.2">
      <c r="T851" s="130"/>
      <c r="U851" s="151"/>
      <c r="X851" s="170" t="str">
        <f t="shared" si="21"/>
        <v>1w</v>
      </c>
      <c r="Y851" s="168">
        <f>_xll.qlCalendarAdvance(LiborCalendar,Y850,X851,"f",FALSE)</f>
        <v>45098</v>
      </c>
      <c r="Z851" s="171">
        <f>_xll.qlInterestRateIndexValueDate(IborIndex,Y851,Trigger)</f>
        <v>45100</v>
      </c>
      <c r="AA851" s="172">
        <v>9.0485982586763214E-3</v>
      </c>
      <c r="AB851" s="169">
        <v>8.9725915083960217E-3</v>
      </c>
    </row>
    <row r="852" spans="20:28" x14ac:dyDescent="0.2">
      <c r="T852" s="130"/>
      <c r="U852" s="151"/>
      <c r="X852" s="170" t="str">
        <f t="shared" si="21"/>
        <v>1w</v>
      </c>
      <c r="Y852" s="168">
        <f>_xll.qlCalendarAdvance(LiborCalendar,Y851,X852,"f",FALSE)</f>
        <v>45105</v>
      </c>
      <c r="Z852" s="171">
        <f>_xll.qlInterestRateIndexValueDate(IborIndex,Y852,Trigger)</f>
        <v>45107</v>
      </c>
      <c r="AA852" s="172">
        <v>9.0561866140155805E-3</v>
      </c>
      <c r="AB852" s="169">
        <v>8.9827661926911162E-3</v>
      </c>
    </row>
    <row r="853" spans="20:28" x14ac:dyDescent="0.2">
      <c r="T853" s="130"/>
      <c r="U853" s="151"/>
      <c r="X853" s="170" t="str">
        <f t="shared" ref="X853:X916" si="22">X852</f>
        <v>1w</v>
      </c>
      <c r="Y853" s="168">
        <f>_xll.qlCalendarAdvance(LiborCalendar,Y852,X853,"f",FALSE)</f>
        <v>45112</v>
      </c>
      <c r="Z853" s="171">
        <f>_xll.qlInterestRateIndexValueDate(IborIndex,Y853,Trigger)</f>
        <v>45114</v>
      </c>
      <c r="AA853" s="172">
        <v>9.0687393330888596E-3</v>
      </c>
      <c r="AB853" s="169">
        <v>8.9929227122098609E-3</v>
      </c>
    </row>
    <row r="854" spans="20:28" x14ac:dyDescent="0.2">
      <c r="T854" s="130"/>
      <c r="U854" s="151"/>
      <c r="X854" s="170" t="str">
        <f t="shared" si="22"/>
        <v>1w</v>
      </c>
      <c r="Y854" s="168">
        <f>_xll.qlCalendarAdvance(LiborCalendar,Y853,X854,"f",FALSE)</f>
        <v>45119</v>
      </c>
      <c r="Z854" s="171">
        <f>_xll.qlInterestRateIndexValueDate(IborIndex,Y854,Trigger)</f>
        <v>45121</v>
      </c>
      <c r="AA854" s="172">
        <v>9.0787825989614261E-3</v>
      </c>
      <c r="AB854" s="169">
        <v>9.0030610669789013E-3</v>
      </c>
    </row>
    <row r="855" spans="20:28" x14ac:dyDescent="0.2">
      <c r="T855" s="130"/>
      <c r="U855" s="151"/>
      <c r="X855" s="170" t="str">
        <f t="shared" si="22"/>
        <v>1w</v>
      </c>
      <c r="Y855" s="168">
        <f>_xll.qlCalendarAdvance(LiborCalendar,Y854,X855,"f",FALSE)</f>
        <v>45126</v>
      </c>
      <c r="Z855" s="171">
        <f>_xll.qlInterestRateIndexValueDate(IborIndex,Y855,Trigger)</f>
        <v>45128</v>
      </c>
      <c r="AA855" s="172">
        <v>9.0888076837535234E-3</v>
      </c>
      <c r="AB855" s="169">
        <v>9.0131812569715919E-3</v>
      </c>
    </row>
    <row r="856" spans="20:28" x14ac:dyDescent="0.2">
      <c r="T856" s="130"/>
      <c r="U856" s="151"/>
      <c r="X856" s="170" t="str">
        <f t="shared" si="22"/>
        <v>1w</v>
      </c>
      <c r="Y856" s="168">
        <f>_xll.qlCalendarAdvance(LiborCalendar,Y855,X856,"f",FALSE)</f>
        <v>45133</v>
      </c>
      <c r="Z856" s="171">
        <f>_xll.qlInterestRateIndexValueDate(IborIndex,Y856,Trigger)</f>
        <v>45135</v>
      </c>
      <c r="AA856" s="172">
        <v>9.0988145873239848E-3</v>
      </c>
      <c r="AB856" s="169">
        <v>9.0232832822412234E-3</v>
      </c>
    </row>
    <row r="857" spans="20:28" x14ac:dyDescent="0.2">
      <c r="T857" s="130"/>
      <c r="U857" s="151"/>
      <c r="X857" s="170" t="str">
        <f t="shared" si="22"/>
        <v>1w</v>
      </c>
      <c r="Y857" s="168">
        <f>_xll.qlCalendarAdvance(LiborCalendar,Y856,X857,"f",FALSE)</f>
        <v>45140</v>
      </c>
      <c r="Z857" s="171">
        <f>_xll.qlInterestRateIndexValueDate(IborIndex,Y857,Trigger)</f>
        <v>45142</v>
      </c>
      <c r="AA857" s="172">
        <v>9.1088033095307972E-3</v>
      </c>
      <c r="AB857" s="169">
        <v>9.0333671427345053E-3</v>
      </c>
    </row>
    <row r="858" spans="20:28" x14ac:dyDescent="0.2">
      <c r="T858" s="130"/>
      <c r="U858" s="151"/>
      <c r="X858" s="170" t="str">
        <f t="shared" si="22"/>
        <v>1w</v>
      </c>
      <c r="Y858" s="168">
        <f>_xll.qlCalendarAdvance(LiborCalendar,Y857,X858,"f",FALSE)</f>
        <v>45147</v>
      </c>
      <c r="Z858" s="171">
        <f>_xll.qlInterestRateIndexValueDate(IborIndex,Y858,Trigger)</f>
        <v>45149</v>
      </c>
      <c r="AA858" s="172">
        <v>9.1187738502302475E-3</v>
      </c>
      <c r="AB858" s="169">
        <v>9.0434328384514373E-3</v>
      </c>
    </row>
    <row r="859" spans="20:28" x14ac:dyDescent="0.2">
      <c r="T859" s="130"/>
      <c r="U859" s="151"/>
      <c r="X859" s="170" t="str">
        <f t="shared" si="22"/>
        <v>1w</v>
      </c>
      <c r="Y859" s="168">
        <f>_xll.qlCalendarAdvance(LiborCalendar,Y858,X859,"f",FALSE)</f>
        <v>45154</v>
      </c>
      <c r="Z859" s="171">
        <f>_xll.qlInterestRateIndexValueDate(IborIndex,Y859,Trigger)</f>
        <v>45156</v>
      </c>
      <c r="AA859" s="172">
        <v>9.128726209281169E-3</v>
      </c>
      <c r="AB859" s="169">
        <v>9.0534803693920196E-3</v>
      </c>
    </row>
    <row r="860" spans="20:28" x14ac:dyDescent="0.2">
      <c r="T860" s="130"/>
      <c r="U860" s="151"/>
      <c r="X860" s="170" t="str">
        <f t="shared" si="22"/>
        <v>1w</v>
      </c>
      <c r="Y860" s="168">
        <f>_xll.qlCalendarAdvance(LiborCalendar,Y859,X860,"f",FALSE)</f>
        <v>45161</v>
      </c>
      <c r="Z860" s="171">
        <f>_xll.qlInterestRateIndexValueDate(IborIndex,Y860,Trigger)</f>
        <v>45163</v>
      </c>
      <c r="AA860" s="172">
        <v>9.1386603865415503E-3</v>
      </c>
      <c r="AB860" s="169">
        <v>9.0643394251066489E-3</v>
      </c>
    </row>
    <row r="861" spans="20:28" x14ac:dyDescent="0.2">
      <c r="T861" s="130"/>
      <c r="U861" s="151"/>
      <c r="X861" s="170" t="str">
        <f t="shared" si="22"/>
        <v>1w</v>
      </c>
      <c r="Y861" s="168">
        <f>_xll.qlCalendarAdvance(LiborCalendar,Y860,X861,"f",FALSE)</f>
        <v>45168</v>
      </c>
      <c r="Z861" s="171">
        <f>_xll.qlInterestRateIndexValueDate(IborIndex,Y861,Trigger)</f>
        <v>45170</v>
      </c>
      <c r="AA861" s="172">
        <v>9.1461133612441032E-3</v>
      </c>
      <c r="AB861" s="169">
        <v>9.073520936944135E-3</v>
      </c>
    </row>
    <row r="862" spans="20:28" x14ac:dyDescent="0.2">
      <c r="T862" s="130"/>
      <c r="U862" s="151"/>
      <c r="X862" s="170" t="str">
        <f t="shared" si="22"/>
        <v>1w</v>
      </c>
      <c r="Y862" s="168">
        <f>_xll.qlCalendarAdvance(LiborCalendar,Y861,X862,"f",FALSE)</f>
        <v>45175</v>
      </c>
      <c r="Z862" s="171">
        <f>_xll.qlInterestRateIndexValueDate(IborIndex,Y862,Trigger)</f>
        <v>45177</v>
      </c>
      <c r="AA862" s="172">
        <v>9.1560143165015182E-3</v>
      </c>
      <c r="AB862" s="169">
        <v>9.083513973555668E-3</v>
      </c>
    </row>
    <row r="863" spans="20:28" x14ac:dyDescent="0.2">
      <c r="T863" s="130"/>
      <c r="U863" s="151"/>
      <c r="X863" s="170" t="str">
        <f t="shared" si="22"/>
        <v>1w</v>
      </c>
      <c r="Y863" s="168">
        <f>_xll.qlCalendarAdvance(LiborCalendar,Y862,X863,"f",FALSE)</f>
        <v>45182</v>
      </c>
      <c r="Z863" s="171">
        <f>_xll.qlInterestRateIndexValueDate(IborIndex,Y863,Trigger)</f>
        <v>45184</v>
      </c>
      <c r="AA863" s="172">
        <v>9.1658970901479925E-3</v>
      </c>
      <c r="AB863" s="169">
        <v>9.093488845364206E-3</v>
      </c>
    </row>
    <row r="864" spans="20:28" x14ac:dyDescent="0.2">
      <c r="T864" s="130"/>
      <c r="U864" s="151"/>
      <c r="X864" s="170" t="str">
        <f t="shared" si="22"/>
        <v>1w</v>
      </c>
      <c r="Y864" s="168">
        <f>_xll.qlCalendarAdvance(LiborCalendar,Y863,X864,"f",FALSE)</f>
        <v>45189</v>
      </c>
      <c r="Z864" s="171">
        <f>_xll.qlInterestRateIndexValueDate(IborIndex,Y864,Trigger)</f>
        <v>45191</v>
      </c>
      <c r="AA864" s="172">
        <v>9.175761682047371E-3</v>
      </c>
      <c r="AB864" s="169">
        <v>9.1034455523697488E-3</v>
      </c>
    </row>
    <row r="865" spans="20:28" x14ac:dyDescent="0.2">
      <c r="T865" s="130"/>
      <c r="U865" s="151"/>
      <c r="X865" s="170" t="str">
        <f t="shared" si="22"/>
        <v>1w</v>
      </c>
      <c r="Y865" s="168">
        <f>_xll.qlCalendarAdvance(LiborCalendar,Y864,X865,"f",FALSE)</f>
        <v>45196</v>
      </c>
      <c r="Z865" s="171">
        <f>_xll.qlInterestRateIndexValueDate(IborIndex,Y865,Trigger)</f>
        <v>45198</v>
      </c>
      <c r="AA865" s="172">
        <v>9.1856080920643748E-3</v>
      </c>
      <c r="AB865" s="169">
        <v>9.1133840945722966E-3</v>
      </c>
    </row>
    <row r="866" spans="20:28" x14ac:dyDescent="0.2">
      <c r="T866" s="130"/>
      <c r="U866" s="151"/>
      <c r="X866" s="170" t="str">
        <f t="shared" si="22"/>
        <v>1w</v>
      </c>
      <c r="Y866" s="168">
        <f>_xll.qlCalendarAdvance(LiborCalendar,Y865,X866,"f",FALSE)</f>
        <v>45203</v>
      </c>
      <c r="Z866" s="171">
        <f>_xll.qlInterestRateIndexValueDate(IborIndex,Y866,Trigger)</f>
        <v>45205</v>
      </c>
      <c r="AA866" s="172">
        <v>9.1978836246253692E-3</v>
      </c>
      <c r="AB866" s="169">
        <v>9.1233044719718492E-3</v>
      </c>
    </row>
    <row r="867" spans="20:28" x14ac:dyDescent="0.2">
      <c r="T867" s="130"/>
      <c r="U867" s="151"/>
      <c r="X867" s="170" t="str">
        <f t="shared" si="22"/>
        <v>1w</v>
      </c>
      <c r="Y867" s="168">
        <f>_xll.qlCalendarAdvance(LiborCalendar,Y866,X867,"f",FALSE)</f>
        <v>45210</v>
      </c>
      <c r="Z867" s="171">
        <f>_xll.qlInterestRateIndexValueDate(IborIndex,Y867,Trigger)</f>
        <v>45212</v>
      </c>
      <c r="AA867" s="172">
        <v>9.207690525414685E-3</v>
      </c>
      <c r="AB867" s="169">
        <v>9.1332066845417614E-3</v>
      </c>
    </row>
    <row r="868" spans="20:28" x14ac:dyDescent="0.2">
      <c r="T868" s="130"/>
      <c r="U868" s="151"/>
      <c r="X868" s="170" t="str">
        <f t="shared" si="22"/>
        <v>1w</v>
      </c>
      <c r="Y868" s="168">
        <f>_xll.qlCalendarAdvance(LiborCalendar,Y867,X868,"f",FALSE)</f>
        <v>45217</v>
      </c>
      <c r="Z868" s="171">
        <f>_xll.qlInterestRateIndexValueDate(IborIndex,Y868,Trigger)</f>
        <v>45219</v>
      </c>
      <c r="AA868" s="172">
        <v>9.217479243291804E-3</v>
      </c>
      <c r="AB868" s="169">
        <v>9.1430907323353239E-3</v>
      </c>
    </row>
    <row r="869" spans="20:28" x14ac:dyDescent="0.2">
      <c r="T869" s="130"/>
      <c r="U869" s="151"/>
      <c r="X869" s="170" t="str">
        <f t="shared" si="22"/>
        <v>1w</v>
      </c>
      <c r="Y869" s="168">
        <f>_xll.qlCalendarAdvance(LiborCalendar,Y868,X869,"f",FALSE)</f>
        <v>45224</v>
      </c>
      <c r="Z869" s="171">
        <f>_xll.qlInterestRateIndexValueDate(IborIndex,Y869,Trigger)</f>
        <v>45226</v>
      </c>
      <c r="AA869" s="172">
        <v>9.2272497781164132E-3</v>
      </c>
      <c r="AB869" s="169">
        <v>9.1529566152726005E-3</v>
      </c>
    </row>
    <row r="870" spans="20:28" x14ac:dyDescent="0.2">
      <c r="T870" s="130"/>
      <c r="U870" s="151"/>
      <c r="X870" s="170" t="str">
        <f t="shared" si="22"/>
        <v>1w</v>
      </c>
      <c r="Y870" s="168">
        <f>_xll.qlCalendarAdvance(LiborCalendar,Y869,X870,"f",FALSE)</f>
        <v>45231</v>
      </c>
      <c r="Z870" s="171">
        <f>_xll.qlInterestRateIndexValueDate(IborIndex,Y870,Trigger)</f>
        <v>45233</v>
      </c>
      <c r="AA870" s="172">
        <v>9.2370021297498994E-3</v>
      </c>
      <c r="AB870" s="169">
        <v>9.1628043334335274E-3</v>
      </c>
    </row>
    <row r="871" spans="20:28" x14ac:dyDescent="0.2">
      <c r="T871" s="130"/>
      <c r="U871" s="151"/>
      <c r="X871" s="170" t="str">
        <f t="shared" si="22"/>
        <v>1w</v>
      </c>
      <c r="Y871" s="168">
        <f>_xll.qlCalendarAdvance(LiborCalendar,Y870,X871,"f",FALSE)</f>
        <v>45238</v>
      </c>
      <c r="Z871" s="171">
        <f>_xll.qlInterestRateIndexValueDate(IborIndex,Y871,Trigger)</f>
        <v>45240</v>
      </c>
      <c r="AA871" s="172">
        <v>9.2467362980536497E-3</v>
      </c>
      <c r="AB871" s="169">
        <v>9.1726338867381685E-3</v>
      </c>
    </row>
    <row r="872" spans="20:28" x14ac:dyDescent="0.2">
      <c r="T872" s="130"/>
      <c r="U872" s="151"/>
      <c r="X872" s="170" t="str">
        <f t="shared" si="22"/>
        <v>1w</v>
      </c>
      <c r="Y872" s="168">
        <f>_xll.qlCalendarAdvance(LiborCalendar,Y871,X872,"f",FALSE)</f>
        <v>45245</v>
      </c>
      <c r="Z872" s="171">
        <f>_xll.qlInterestRateIndexValueDate(IborIndex,Y872,Trigger)</f>
        <v>45247</v>
      </c>
      <c r="AA872" s="172">
        <v>9.2564522828890525E-3</v>
      </c>
      <c r="AB872" s="169">
        <v>9.1824452752131691E-3</v>
      </c>
    </row>
    <row r="873" spans="20:28" x14ac:dyDescent="0.2">
      <c r="T873" s="130"/>
      <c r="U873" s="151"/>
      <c r="X873" s="170" t="str">
        <f t="shared" si="22"/>
        <v>1w</v>
      </c>
      <c r="Y873" s="168">
        <f>_xll.qlCalendarAdvance(LiborCalendar,Y872,X873,"f",FALSE)</f>
        <v>45252</v>
      </c>
      <c r="Z873" s="171">
        <f>_xll.qlInterestRateIndexValueDate(IborIndex,Y873,Trigger)</f>
        <v>45254</v>
      </c>
      <c r="AA873" s="172">
        <v>9.2661500841174933E-3</v>
      </c>
      <c r="AB873" s="169">
        <v>9.1922384988318839E-3</v>
      </c>
    </row>
    <row r="874" spans="20:28" x14ac:dyDescent="0.2">
      <c r="T874" s="130"/>
      <c r="U874" s="151"/>
      <c r="X874" s="170" t="str">
        <f t="shared" si="22"/>
        <v>1w</v>
      </c>
      <c r="Y874" s="168">
        <f>_xll.qlCalendarAdvance(LiborCalendar,Y873,X874,"f",FALSE)</f>
        <v>45259</v>
      </c>
      <c r="Z874" s="171">
        <f>_xll.qlInterestRateIndexValueDate(IborIndex,Y874,Trigger)</f>
        <v>45261</v>
      </c>
      <c r="AA874" s="172">
        <v>9.2734075752102085E-3</v>
      </c>
      <c r="AB874" s="169">
        <v>9.2020135576209583E-3</v>
      </c>
    </row>
    <row r="875" spans="20:28" x14ac:dyDescent="0.2">
      <c r="T875" s="130"/>
      <c r="U875" s="151"/>
      <c r="X875" s="170" t="str">
        <f t="shared" si="22"/>
        <v>1w</v>
      </c>
      <c r="Y875" s="168">
        <f>_xll.qlCalendarAdvance(LiborCalendar,Y874,X875,"f",FALSE)</f>
        <v>45266</v>
      </c>
      <c r="Z875" s="171">
        <f>_xll.qlInterestRateIndexValueDate(IborIndex,Y875,Trigger)</f>
        <v>45268</v>
      </c>
      <c r="AA875" s="172">
        <v>9.283072158985238E-3</v>
      </c>
      <c r="AB875" s="169">
        <v>9.2117704515803922E-3</v>
      </c>
    </row>
    <row r="876" spans="20:28" x14ac:dyDescent="0.2">
      <c r="T876" s="130"/>
      <c r="U876" s="151"/>
      <c r="X876" s="170" t="str">
        <f t="shared" si="22"/>
        <v>1w</v>
      </c>
      <c r="Y876" s="168">
        <f>_xll.qlCalendarAdvance(LiborCalendar,Y875,X876,"f",FALSE)</f>
        <v>45273</v>
      </c>
      <c r="Z876" s="171">
        <f>_xll.qlInterestRateIndexValueDate(IborIndex,Y876,Trigger)</f>
        <v>45275</v>
      </c>
      <c r="AA876" s="172">
        <v>9.2927185593995165E-3</v>
      </c>
      <c r="AB876" s="169">
        <v>9.2215091806835403E-3</v>
      </c>
    </row>
    <row r="877" spans="20:28" x14ac:dyDescent="0.2">
      <c r="T877" s="130"/>
      <c r="U877" s="151"/>
      <c r="X877" s="170" t="str">
        <f t="shared" si="22"/>
        <v>1w</v>
      </c>
      <c r="Y877" s="168">
        <f>_xll.qlCalendarAdvance(LiborCalendar,Y876,X877,"f",FALSE)</f>
        <v>45280</v>
      </c>
      <c r="Z877" s="171">
        <f>_xll.qlInterestRateIndexValueDate(IborIndex,Y877,Trigger)</f>
        <v>45282</v>
      </c>
      <c r="AA877" s="172">
        <v>9.3023467763221589E-3</v>
      </c>
      <c r="AB877" s="169">
        <v>9.2328534460719425E-3</v>
      </c>
    </row>
    <row r="878" spans="20:28" x14ac:dyDescent="0.2">
      <c r="T878" s="130"/>
      <c r="U878" s="151"/>
      <c r="X878" s="170" t="str">
        <f t="shared" si="22"/>
        <v>1w</v>
      </c>
      <c r="Y878" s="168">
        <f>_xll.qlCalendarAdvance(LiborCalendar,Y877,X878,"f",FALSE)</f>
        <v>45287</v>
      </c>
      <c r="Z878" s="171">
        <f>_xll.qlInterestRateIndexValueDate(IborIndex,Y878,Trigger)</f>
        <v>45289</v>
      </c>
      <c r="AA878" s="172">
        <v>9.3111534629510828E-3</v>
      </c>
      <c r="AB878" s="169">
        <v>9.2417429893054681E-3</v>
      </c>
    </row>
    <row r="879" spans="20:28" x14ac:dyDescent="0.2">
      <c r="T879" s="130"/>
      <c r="U879" s="151"/>
      <c r="X879" s="170" t="str">
        <f t="shared" si="22"/>
        <v>1w</v>
      </c>
      <c r="Y879" s="168">
        <f>_xll.qlCalendarAdvance(LiborCalendar,Y878,X879,"f",FALSE)</f>
        <v>45294</v>
      </c>
      <c r="Z879" s="171">
        <f>_xll.qlInterestRateIndexValueDate(IborIndex,Y879,Trigger)</f>
        <v>45296</v>
      </c>
      <c r="AA879" s="172">
        <v>9.3215486591567021E-3</v>
      </c>
      <c r="AB879" s="169">
        <v>9.2506163788286244E-3</v>
      </c>
    </row>
    <row r="880" spans="20:28" x14ac:dyDescent="0.2">
      <c r="T880" s="130"/>
      <c r="U880" s="151"/>
      <c r="X880" s="170" t="str">
        <f t="shared" si="22"/>
        <v>1w</v>
      </c>
      <c r="Y880" s="168">
        <f>_xll.qlCalendarAdvance(LiborCalendar,Y879,X880,"f",FALSE)</f>
        <v>45301</v>
      </c>
      <c r="Z880" s="171">
        <f>_xll.qlInterestRateIndexValueDate(IborIndex,Y880,Trigger)</f>
        <v>45303</v>
      </c>
      <c r="AA880" s="172">
        <v>9.3311223248041981E-3</v>
      </c>
      <c r="AB880" s="169">
        <v>9.2602824484799839E-3</v>
      </c>
    </row>
    <row r="881" spans="20:28" x14ac:dyDescent="0.2">
      <c r="T881" s="130"/>
      <c r="U881" s="151"/>
      <c r="X881" s="170" t="str">
        <f t="shared" si="22"/>
        <v>1w</v>
      </c>
      <c r="Y881" s="168">
        <f>_xll.qlCalendarAdvance(LiborCalendar,Y880,X881,"f",FALSE)</f>
        <v>45308</v>
      </c>
      <c r="Z881" s="171">
        <f>_xll.qlInterestRateIndexValueDate(IborIndex,Y881,Trigger)</f>
        <v>45310</v>
      </c>
      <c r="AA881" s="172">
        <v>9.3406778064303742E-3</v>
      </c>
      <c r="AB881" s="169">
        <v>9.2699303532484123E-3</v>
      </c>
    </row>
    <row r="882" spans="20:28" x14ac:dyDescent="0.2">
      <c r="T882" s="130"/>
      <c r="U882" s="151"/>
      <c r="X882" s="170" t="str">
        <f t="shared" si="22"/>
        <v>1w</v>
      </c>
      <c r="Y882" s="168">
        <f>_xll.qlCalendarAdvance(LiborCalendar,Y881,X882,"f",FALSE)</f>
        <v>45315</v>
      </c>
      <c r="Z882" s="171">
        <f>_xll.qlInterestRateIndexValueDate(IborIndex,Y882,Trigger)</f>
        <v>45317</v>
      </c>
      <c r="AA882" s="172">
        <v>9.3502151039034642E-3</v>
      </c>
      <c r="AB882" s="169">
        <v>9.2795600931605549E-3</v>
      </c>
    </row>
    <row r="883" spans="20:28" x14ac:dyDescent="0.2">
      <c r="T883" s="130"/>
      <c r="U883" s="151"/>
      <c r="X883" s="170" t="str">
        <f t="shared" si="22"/>
        <v>1w</v>
      </c>
      <c r="Y883" s="168">
        <f>_xll.qlCalendarAdvance(LiborCalendar,Y882,X883,"f",FALSE)</f>
        <v>45322</v>
      </c>
      <c r="Z883" s="171">
        <f>_xll.qlInterestRateIndexValueDate(IborIndex,Y883,Trigger)</f>
        <v>45324</v>
      </c>
      <c r="AA883" s="172">
        <v>9.3589361271648741E-3</v>
      </c>
      <c r="AB883" s="169">
        <v>9.2891716681897663E-3</v>
      </c>
    </row>
    <row r="884" spans="20:28" x14ac:dyDescent="0.2">
      <c r="T884" s="130"/>
      <c r="U884" s="151"/>
      <c r="X884" s="170" t="str">
        <f t="shared" si="22"/>
        <v>1w</v>
      </c>
      <c r="Y884" s="168">
        <f>_xll.qlCalendarAdvance(LiborCalendar,Y883,X884,"f",FALSE)</f>
        <v>45329</v>
      </c>
      <c r="Z884" s="171">
        <f>_xll.qlInterestRateIndexValueDate(IborIndex,Y884,Trigger)</f>
        <v>45331</v>
      </c>
      <c r="AA884" s="172">
        <v>9.3692351458650996E-3</v>
      </c>
      <c r="AB884" s="169">
        <v>9.2987650783360465E-3</v>
      </c>
    </row>
    <row r="885" spans="20:28" x14ac:dyDescent="0.2">
      <c r="T885" s="130"/>
      <c r="U885" s="151"/>
      <c r="X885" s="170" t="str">
        <f t="shared" si="22"/>
        <v>1w</v>
      </c>
      <c r="Y885" s="168">
        <f>_xll.qlCalendarAdvance(LiborCalendar,Y884,X885,"f",FALSE)</f>
        <v>45336</v>
      </c>
      <c r="Z885" s="171">
        <f>_xll.qlInterestRateIndexValueDate(IborIndex,Y885,Trigger)</f>
        <v>45338</v>
      </c>
      <c r="AA885" s="172">
        <v>9.3779219016694171E-3</v>
      </c>
      <c r="AB885" s="169">
        <v>9.3083403235727502E-3</v>
      </c>
    </row>
    <row r="886" spans="20:28" x14ac:dyDescent="0.2">
      <c r="T886" s="130"/>
      <c r="U886" s="151"/>
      <c r="X886" s="170" t="str">
        <f t="shared" si="22"/>
        <v>1w</v>
      </c>
      <c r="Y886" s="168">
        <f>_xll.qlCalendarAdvance(LiborCalendar,Y885,X886,"f",FALSE)</f>
        <v>45343</v>
      </c>
      <c r="Z886" s="171">
        <f>_xll.qlInterestRateIndexValueDate(IborIndex,Y886,Trigger)</f>
        <v>45345</v>
      </c>
      <c r="AA886" s="172">
        <v>9.3873860852831115E-3</v>
      </c>
      <c r="AB886" s="169">
        <v>9.3178974039265228E-3</v>
      </c>
    </row>
    <row r="887" spans="20:28" x14ac:dyDescent="0.2">
      <c r="T887" s="130"/>
      <c r="U887" s="151"/>
      <c r="X887" s="170" t="str">
        <f t="shared" si="22"/>
        <v>1w</v>
      </c>
      <c r="Y887" s="168">
        <f>_xll.qlCalendarAdvance(LiborCalendar,Y886,X887,"f",FALSE)</f>
        <v>45350</v>
      </c>
      <c r="Z887" s="171">
        <f>_xll.qlInterestRateIndexValueDate(IborIndex,Y887,Trigger)</f>
        <v>45352</v>
      </c>
      <c r="AA887" s="172">
        <v>9.399991586322088E-3</v>
      </c>
      <c r="AB887" s="169">
        <v>9.3274363193973642E-3</v>
      </c>
    </row>
    <row r="888" spans="20:28" x14ac:dyDescent="0.2">
      <c r="T888" s="130"/>
      <c r="U888" s="151"/>
      <c r="X888" s="170" t="str">
        <f t="shared" si="22"/>
        <v>1w</v>
      </c>
      <c r="Y888" s="168">
        <f>_xll.qlCalendarAdvance(LiborCalendar,Y887,X888,"f",FALSE)</f>
        <v>45357</v>
      </c>
      <c r="Z888" s="171">
        <f>_xll.qlInterestRateIndexValueDate(IborIndex,Y888,Trigger)</f>
        <v>45359</v>
      </c>
      <c r="AA888" s="172">
        <v>9.409387930640032E-3</v>
      </c>
      <c r="AB888" s="169">
        <v>9.3369570699319837E-3</v>
      </c>
    </row>
    <row r="889" spans="20:28" x14ac:dyDescent="0.2">
      <c r="T889" s="130"/>
      <c r="U889" s="151"/>
      <c r="X889" s="170" t="str">
        <f t="shared" si="22"/>
        <v>1w</v>
      </c>
      <c r="Y889" s="168">
        <f>_xll.qlCalendarAdvance(LiborCalendar,Y888,X889,"f",FALSE)</f>
        <v>45364</v>
      </c>
      <c r="Z889" s="171">
        <f>_xll.qlInterestRateIndexValueDate(IborIndex,Y889,Trigger)</f>
        <v>45366</v>
      </c>
      <c r="AA889" s="172">
        <v>9.4187456281709294E-3</v>
      </c>
      <c r="AB889" s="169">
        <v>9.3464596555836721E-3</v>
      </c>
    </row>
    <row r="890" spans="20:28" x14ac:dyDescent="0.2">
      <c r="T890" s="130"/>
      <c r="U890" s="151"/>
      <c r="X890" s="170" t="str">
        <f t="shared" si="22"/>
        <v>1w</v>
      </c>
      <c r="Y890" s="168">
        <f>_xll.qlCalendarAdvance(LiborCalendar,Y889,X890,"f",FALSE)</f>
        <v>45371</v>
      </c>
      <c r="Z890" s="171">
        <f>_xll.qlInterestRateIndexValueDate(IborIndex,Y890,Trigger)</f>
        <v>45373</v>
      </c>
      <c r="AA890" s="172">
        <v>9.4280591699240669E-3</v>
      </c>
      <c r="AB890" s="169">
        <v>9.3559440762991386E-3</v>
      </c>
    </row>
    <row r="891" spans="20:28" x14ac:dyDescent="0.2">
      <c r="T891" s="130"/>
      <c r="U891" s="151"/>
      <c r="X891" s="170" t="str">
        <f t="shared" si="22"/>
        <v>1w</v>
      </c>
      <c r="Y891" s="168">
        <f>_xll.qlCalendarAdvance(LiborCalendar,Y890,X891,"f",FALSE)</f>
        <v>45378</v>
      </c>
      <c r="Z891" s="171">
        <f>_xll.qlInterestRateIndexValueDate(IborIndex,Y891,Trigger)</f>
        <v>45384</v>
      </c>
      <c r="AA891" s="172">
        <v>9.4402749093680637E-3</v>
      </c>
      <c r="AB891" s="169">
        <v>9.3692180201365716E-3</v>
      </c>
    </row>
    <row r="892" spans="20:28" x14ac:dyDescent="0.2">
      <c r="T892" s="130"/>
      <c r="U892" s="151"/>
      <c r="X892" s="170" t="str">
        <f t="shared" si="22"/>
        <v>1w</v>
      </c>
      <c r="Y892" s="168">
        <f>_xll.qlCalendarAdvance(LiborCalendar,Y891,X892,"f",FALSE)</f>
        <v>45385</v>
      </c>
      <c r="Z892" s="171">
        <f>_xll.qlInterestRateIndexValueDate(IborIndex,Y892,Trigger)</f>
        <v>45387</v>
      </c>
      <c r="AA892" s="172">
        <v>9.4442211723029541E-3</v>
      </c>
      <c r="AB892" s="169">
        <v>9.3748584230279874E-3</v>
      </c>
    </row>
    <row r="893" spans="20:28" x14ac:dyDescent="0.2">
      <c r="T893" s="130"/>
      <c r="U893" s="151"/>
      <c r="X893" s="170" t="str">
        <f t="shared" si="22"/>
        <v>1w</v>
      </c>
      <c r="Y893" s="168">
        <f>_xll.qlCalendarAdvance(LiborCalendar,Y892,X893,"f",FALSE)</f>
        <v>45392</v>
      </c>
      <c r="Z893" s="171">
        <f>_xll.qlInterestRateIndexValueDate(IborIndex,Y893,Trigger)</f>
        <v>45394</v>
      </c>
      <c r="AA893" s="172">
        <v>9.4533857440953963E-3</v>
      </c>
      <c r="AB893" s="169">
        <v>9.3842883489880791E-3</v>
      </c>
    </row>
    <row r="894" spans="20:28" x14ac:dyDescent="0.2">
      <c r="T894" s="130"/>
      <c r="U894" s="151"/>
      <c r="X894" s="170" t="str">
        <f t="shared" si="22"/>
        <v>1w</v>
      </c>
      <c r="Y894" s="168">
        <f>_xll.qlCalendarAdvance(LiborCalendar,Y893,X894,"f",FALSE)</f>
        <v>45399</v>
      </c>
      <c r="Z894" s="171">
        <f>_xll.qlInterestRateIndexValueDate(IborIndex,Y894,Trigger)</f>
        <v>45401</v>
      </c>
      <c r="AA894" s="172">
        <v>9.4624849843489775E-3</v>
      </c>
      <c r="AB894" s="169">
        <v>9.3937001100385942E-3</v>
      </c>
    </row>
    <row r="895" spans="20:28" x14ac:dyDescent="0.2">
      <c r="T895" s="130"/>
      <c r="U895" s="151"/>
      <c r="X895" s="170" t="str">
        <f t="shared" si="22"/>
        <v>1w</v>
      </c>
      <c r="Y895" s="168">
        <f>_xll.qlCalendarAdvance(LiborCalendar,Y894,X895,"f",FALSE)</f>
        <v>45406</v>
      </c>
      <c r="Z895" s="171">
        <f>_xll.qlInterestRateIndexValueDate(IborIndex,Y895,Trigger)</f>
        <v>45408</v>
      </c>
      <c r="AA895" s="172">
        <v>9.4715132026819068E-3</v>
      </c>
      <c r="AB895" s="169">
        <v>9.4030937061528874E-3</v>
      </c>
    </row>
    <row r="896" spans="20:28" x14ac:dyDescent="0.2">
      <c r="T896" s="130"/>
      <c r="U896" s="151"/>
      <c r="X896" s="170" t="str">
        <f t="shared" si="22"/>
        <v>1w</v>
      </c>
      <c r="Y896" s="168">
        <f>_xll.qlCalendarAdvance(LiborCalendar,Y895,X896,"f",FALSE)</f>
        <v>45413</v>
      </c>
      <c r="Z896" s="171">
        <f>_xll.qlInterestRateIndexValueDate(IborIndex,Y896,Trigger)</f>
        <v>45415</v>
      </c>
      <c r="AA896" s="172">
        <v>9.4827046391962062E-3</v>
      </c>
      <c r="AB896" s="169">
        <v>9.4132610711228359E-3</v>
      </c>
    </row>
    <row r="897" spans="20:28" x14ac:dyDescent="0.2">
      <c r="T897" s="130"/>
      <c r="U897" s="151"/>
      <c r="X897" s="170" t="str">
        <f t="shared" si="22"/>
        <v>1w</v>
      </c>
      <c r="Y897" s="168">
        <f>_xll.qlCalendarAdvance(LiborCalendar,Y896,X897,"f",FALSE)</f>
        <v>45420</v>
      </c>
      <c r="Z897" s="171">
        <f>_xll.qlInterestRateIndexValueDate(IborIndex,Y897,Trigger)</f>
        <v>45422</v>
      </c>
      <c r="AA897" s="172">
        <v>9.4915548345013267E-3</v>
      </c>
      <c r="AB897" s="169">
        <v>9.421826403546163E-3</v>
      </c>
    </row>
    <row r="898" spans="20:28" x14ac:dyDescent="0.2">
      <c r="T898" s="130"/>
      <c r="U898" s="151"/>
      <c r="X898" s="170" t="str">
        <f t="shared" si="22"/>
        <v>1w</v>
      </c>
      <c r="Y898" s="168">
        <f>_xll.qlCalendarAdvance(LiborCalendar,Y897,X898,"f",FALSE)</f>
        <v>45427</v>
      </c>
      <c r="Z898" s="171">
        <f>_xll.qlInterestRateIndexValueDate(IborIndex,Y898,Trigger)</f>
        <v>45429</v>
      </c>
      <c r="AA898" s="172">
        <v>9.5003168217128522E-3</v>
      </c>
      <c r="AB898" s="169">
        <v>9.4311557152693126E-3</v>
      </c>
    </row>
    <row r="899" spans="20:28" x14ac:dyDescent="0.2">
      <c r="T899" s="130"/>
      <c r="U899" s="151"/>
      <c r="X899" s="170" t="str">
        <f t="shared" si="22"/>
        <v>1w</v>
      </c>
      <c r="Y899" s="168">
        <f>_xll.qlCalendarAdvance(LiborCalendar,Y898,X899,"f",FALSE)</f>
        <v>45434</v>
      </c>
      <c r="Z899" s="171">
        <f>_xll.qlInterestRateIndexValueDate(IborIndex,Y899,Trigger)</f>
        <v>45436</v>
      </c>
      <c r="AA899" s="172">
        <v>9.5097134309096842E-3</v>
      </c>
      <c r="AB899" s="169">
        <v>9.4411830913587735E-3</v>
      </c>
    </row>
    <row r="900" spans="20:28" x14ac:dyDescent="0.2">
      <c r="T900" s="130"/>
      <c r="U900" s="151"/>
      <c r="X900" s="170" t="str">
        <f t="shared" si="22"/>
        <v>1w</v>
      </c>
      <c r="Y900" s="168">
        <f>_xll.qlCalendarAdvance(LiborCalendar,Y899,X900,"f",FALSE)</f>
        <v>45441</v>
      </c>
      <c r="Z900" s="171">
        <f>_xll.qlInterestRateIndexValueDate(IborIndex,Y900,Trigger)</f>
        <v>45443</v>
      </c>
      <c r="AA900" s="172">
        <v>9.5154011236391282E-3</v>
      </c>
      <c r="AB900" s="169">
        <v>9.4495580283027181E-3</v>
      </c>
    </row>
    <row r="901" spans="20:28" x14ac:dyDescent="0.2">
      <c r="T901" s="130"/>
      <c r="U901" s="151"/>
      <c r="X901" s="170" t="str">
        <f t="shared" si="22"/>
        <v>1w</v>
      </c>
      <c r="Y901" s="168">
        <f>_xll.qlCalendarAdvance(LiborCalendar,Y900,X901,"f",FALSE)</f>
        <v>45448</v>
      </c>
      <c r="Z901" s="171">
        <f>_xll.qlInterestRateIndexValueDate(IborIndex,Y901,Trigger)</f>
        <v>45450</v>
      </c>
      <c r="AA901" s="172">
        <v>9.5260507947436679E-3</v>
      </c>
      <c r="AB901" s="169">
        <v>9.4586212400304959E-3</v>
      </c>
    </row>
    <row r="902" spans="20:28" x14ac:dyDescent="0.2">
      <c r="T902" s="130"/>
      <c r="U902" s="151"/>
      <c r="X902" s="170" t="str">
        <f t="shared" si="22"/>
        <v>1w</v>
      </c>
      <c r="Y902" s="168">
        <f>_xll.qlCalendarAdvance(LiborCalendar,Y901,X902,"f",FALSE)</f>
        <v>45455</v>
      </c>
      <c r="Z902" s="171">
        <f>_xll.qlInterestRateIndexValueDate(IborIndex,Y902,Trigger)</f>
        <v>45457</v>
      </c>
      <c r="AA902" s="172">
        <v>9.5344444528960258E-3</v>
      </c>
      <c r="AB902" s="169">
        <v>9.4675924885212481E-3</v>
      </c>
    </row>
    <row r="903" spans="20:28" x14ac:dyDescent="0.2">
      <c r="T903" s="130"/>
      <c r="U903" s="151"/>
      <c r="X903" s="170" t="str">
        <f t="shared" si="22"/>
        <v>1w</v>
      </c>
      <c r="Y903" s="168">
        <f>_xll.qlCalendarAdvance(LiborCalendar,Y902,X903,"f",FALSE)</f>
        <v>45462</v>
      </c>
      <c r="Z903" s="171">
        <f>_xll.qlInterestRateIndexValueDate(IborIndex,Y903,Trigger)</f>
        <v>45464</v>
      </c>
      <c r="AA903" s="172">
        <v>9.5427459436061932E-3</v>
      </c>
      <c r="AB903" s="169">
        <v>9.4764717737483295E-3</v>
      </c>
    </row>
    <row r="904" spans="20:28" x14ac:dyDescent="0.2">
      <c r="T904" s="130"/>
      <c r="U904" s="151"/>
      <c r="X904" s="170" t="str">
        <f t="shared" si="22"/>
        <v>1w</v>
      </c>
      <c r="Y904" s="168">
        <f>_xll.qlCalendarAdvance(LiborCalendar,Y903,X904,"f",FALSE)</f>
        <v>45469</v>
      </c>
      <c r="Z904" s="171">
        <f>_xll.qlInterestRateIndexValueDate(IborIndex,Y904,Trigger)</f>
        <v>45471</v>
      </c>
      <c r="AA904" s="172">
        <v>9.5509552662755032E-3</v>
      </c>
      <c r="AB904" s="169">
        <v>9.48525909571174E-3</v>
      </c>
    </row>
    <row r="905" spans="20:28" x14ac:dyDescent="0.2">
      <c r="T905" s="130"/>
      <c r="U905" s="151"/>
      <c r="X905" s="170" t="str">
        <f t="shared" si="22"/>
        <v>1w</v>
      </c>
      <c r="Y905" s="168">
        <f>_xll.qlCalendarAdvance(LiborCalendar,Y904,X905,"f",FALSE)</f>
        <v>45476</v>
      </c>
      <c r="Z905" s="171">
        <f>_xll.qlInterestRateIndexValueDate(IborIndex,Y905,Trigger)</f>
        <v>45478</v>
      </c>
      <c r="AA905" s="172">
        <v>9.5590724203146391E-3</v>
      </c>
      <c r="AB905" s="169">
        <v>9.4939544543581889E-3</v>
      </c>
    </row>
    <row r="906" spans="20:28" x14ac:dyDescent="0.2">
      <c r="T906" s="130"/>
      <c r="U906" s="151"/>
      <c r="X906" s="170" t="str">
        <f t="shared" si="22"/>
        <v>1w</v>
      </c>
      <c r="Y906" s="168">
        <f>_xll.qlCalendarAdvance(LiborCalendar,Y905,X906,"f",FALSE)</f>
        <v>45483</v>
      </c>
      <c r="Z906" s="171">
        <f>_xll.qlInterestRateIndexValueDate(IborIndex,Y906,Trigger)</f>
        <v>45485</v>
      </c>
      <c r="AA906" s="172">
        <v>9.5670974051368339E-3</v>
      </c>
      <c r="AB906" s="169">
        <v>9.5025578497143215E-3</v>
      </c>
    </row>
    <row r="907" spans="20:28" x14ac:dyDescent="0.2">
      <c r="T907" s="130"/>
      <c r="U907" s="151"/>
      <c r="X907" s="170" t="str">
        <f t="shared" si="22"/>
        <v>1w</v>
      </c>
      <c r="Y907" s="168">
        <f>_xll.qlCalendarAdvance(LiborCalendar,Y906,X907,"f",FALSE)</f>
        <v>45490</v>
      </c>
      <c r="Z907" s="171">
        <f>_xll.qlInterestRateIndexValueDate(IborIndex,Y907,Trigger)</f>
        <v>45492</v>
      </c>
      <c r="AA907" s="172">
        <v>9.5750302201646799E-3</v>
      </c>
      <c r="AB907" s="169">
        <v>9.5110692817268472E-3</v>
      </c>
    </row>
    <row r="908" spans="20:28" x14ac:dyDescent="0.2">
      <c r="T908" s="130"/>
      <c r="U908" s="151"/>
      <c r="X908" s="170" t="str">
        <f t="shared" si="22"/>
        <v>1w</v>
      </c>
      <c r="Y908" s="168">
        <f>_xll.qlCalendarAdvance(LiborCalendar,Y907,X908,"f",FALSE)</f>
        <v>45497</v>
      </c>
      <c r="Z908" s="171">
        <f>_xll.qlInterestRateIndexValueDate(IborIndex,Y908,Trigger)</f>
        <v>45499</v>
      </c>
      <c r="AA908" s="172">
        <v>9.5828708648275675E-3</v>
      </c>
      <c r="AB908" s="169">
        <v>9.5194887503957659E-3</v>
      </c>
    </row>
    <row r="909" spans="20:28" x14ac:dyDescent="0.2">
      <c r="T909" s="130"/>
      <c r="U909" s="151"/>
      <c r="X909" s="170" t="str">
        <f t="shared" si="22"/>
        <v>1w</v>
      </c>
      <c r="Y909" s="168">
        <f>_xll.qlCalendarAdvance(LiborCalendar,Y908,X909,"f",FALSE)</f>
        <v>45504</v>
      </c>
      <c r="Z909" s="171">
        <f>_xll.qlInterestRateIndexValueDate(IborIndex,Y909,Trigger)</f>
        <v>45506</v>
      </c>
      <c r="AA909" s="172">
        <v>9.5906193385599942E-3</v>
      </c>
      <c r="AB909" s="169">
        <v>9.527816255667787E-3</v>
      </c>
    </row>
    <row r="910" spans="20:28" x14ac:dyDescent="0.2">
      <c r="T910" s="130"/>
      <c r="U910" s="151"/>
      <c r="X910" s="170" t="str">
        <f t="shared" si="22"/>
        <v>1w</v>
      </c>
      <c r="Y910" s="168">
        <f>_xll.qlCalendarAdvance(LiborCalendar,Y909,X910,"f",FALSE)</f>
        <v>45511</v>
      </c>
      <c r="Z910" s="171">
        <f>_xll.qlInterestRateIndexValueDate(IborIndex,Y910,Trigger)</f>
        <v>45513</v>
      </c>
      <c r="AA910" s="172">
        <v>9.5982756408049558E-3</v>
      </c>
      <c r="AB910" s="169">
        <v>9.5360517975962011E-3</v>
      </c>
    </row>
    <row r="911" spans="20:28" x14ac:dyDescent="0.2">
      <c r="T911" s="130"/>
      <c r="U911" s="151"/>
      <c r="X911" s="170" t="str">
        <f t="shared" si="22"/>
        <v>1w</v>
      </c>
      <c r="Y911" s="168">
        <f>_xll.qlCalendarAdvance(LiborCalendar,Y910,X911,"f",FALSE)</f>
        <v>45518</v>
      </c>
      <c r="Z911" s="171">
        <f>_xll.qlInterestRateIndexValueDate(IborIndex,Y911,Trigger)</f>
        <v>45520</v>
      </c>
      <c r="AA911" s="172">
        <v>9.6058397710088537E-3</v>
      </c>
      <c r="AB911" s="169">
        <v>9.5441953760744269E-3</v>
      </c>
    </row>
    <row r="912" spans="20:28" x14ac:dyDescent="0.2">
      <c r="T912" s="130"/>
      <c r="U912" s="151"/>
      <c r="X912" s="170" t="str">
        <f t="shared" si="22"/>
        <v>1w</v>
      </c>
      <c r="Y912" s="168">
        <f>_xll.qlCalendarAdvance(LiborCalendar,Y911,X912,"f",FALSE)</f>
        <v>45525</v>
      </c>
      <c r="Z912" s="171">
        <f>_xll.qlInterestRateIndexValueDate(IborIndex,Y912,Trigger)</f>
        <v>45527</v>
      </c>
      <c r="AA912" s="172">
        <v>9.6133117286291443E-3</v>
      </c>
      <c r="AB912" s="169">
        <v>9.5529447827402691E-3</v>
      </c>
    </row>
    <row r="913" spans="20:28" x14ac:dyDescent="0.2">
      <c r="T913" s="130"/>
      <c r="U913" s="151"/>
      <c r="X913" s="170" t="str">
        <f t="shared" si="22"/>
        <v>1w</v>
      </c>
      <c r="Y913" s="168">
        <f>_xll.qlCalendarAdvance(LiborCalendar,Y912,X913,"f",FALSE)</f>
        <v>45532</v>
      </c>
      <c r="Z913" s="171">
        <f>_xll.qlInterestRateIndexValueDate(IborIndex,Y913,Trigger)</f>
        <v>45534</v>
      </c>
      <c r="AA913" s="172">
        <v>9.618776195362104E-3</v>
      </c>
      <c r="AB913" s="169">
        <v>9.5602066427602495E-3</v>
      </c>
    </row>
    <row r="914" spans="20:28" x14ac:dyDescent="0.2">
      <c r="T914" s="130"/>
      <c r="U914" s="151"/>
      <c r="X914" s="170" t="str">
        <f t="shared" si="22"/>
        <v>1w</v>
      </c>
      <c r="Y914" s="168">
        <f>_xll.qlCalendarAdvance(LiborCalendar,Y913,X914,"f",FALSE)</f>
        <v>45539</v>
      </c>
      <c r="Z914" s="171">
        <f>_xll.qlInterestRateIndexValueDate(IborIndex,Y914,Trigger)</f>
        <v>45541</v>
      </c>
      <c r="AA914" s="172">
        <v>9.6260829726095305E-3</v>
      </c>
      <c r="AB914" s="169">
        <v>9.5680743308879102E-3</v>
      </c>
    </row>
    <row r="915" spans="20:28" x14ac:dyDescent="0.2">
      <c r="T915" s="130"/>
      <c r="U915" s="151"/>
      <c r="X915" s="170" t="str">
        <f t="shared" si="22"/>
        <v>1w</v>
      </c>
      <c r="Y915" s="168">
        <f>_xll.qlCalendarAdvance(LiborCalendar,Y914,X915,"f",FALSE)</f>
        <v>45546</v>
      </c>
      <c r="Z915" s="171">
        <f>_xll.qlInterestRateIndexValueDate(IborIndex,Y915,Trigger)</f>
        <v>45548</v>
      </c>
      <c r="AA915" s="172">
        <v>9.633297582734672E-3</v>
      </c>
      <c r="AB915" s="169">
        <v>9.5758500555653825E-3</v>
      </c>
    </row>
    <row r="916" spans="20:28" x14ac:dyDescent="0.2">
      <c r="T916" s="130"/>
      <c r="U916" s="151"/>
      <c r="X916" s="170" t="str">
        <f t="shared" si="22"/>
        <v>1w</v>
      </c>
      <c r="Y916" s="168">
        <f>_xll.qlCalendarAdvance(LiborCalendar,Y915,X916,"f",FALSE)</f>
        <v>45553</v>
      </c>
      <c r="Z916" s="171">
        <f>_xll.qlInterestRateIndexValueDate(IborIndex,Y916,Trigger)</f>
        <v>45555</v>
      </c>
      <c r="AA916" s="172">
        <v>9.6404200252350712E-3</v>
      </c>
      <c r="AB916" s="169">
        <v>9.5835338167127304E-3</v>
      </c>
    </row>
    <row r="917" spans="20:28" x14ac:dyDescent="0.2">
      <c r="T917" s="130"/>
      <c r="U917" s="151"/>
      <c r="X917" s="170" t="str">
        <f t="shared" ref="X917:X980" si="23">X916</f>
        <v>1w</v>
      </c>
      <c r="Y917" s="168">
        <f>_xll.qlCalendarAdvance(LiborCalendar,Y916,X917,"f",FALSE)</f>
        <v>45560</v>
      </c>
      <c r="Z917" s="171">
        <f>_xll.qlInterestRateIndexValueDate(IborIndex,Y917,Trigger)</f>
        <v>45562</v>
      </c>
      <c r="AA917" s="172">
        <v>9.6474502996126681E-3</v>
      </c>
      <c r="AB917" s="169">
        <v>9.5911256143565993E-3</v>
      </c>
    </row>
    <row r="918" spans="20:28" x14ac:dyDescent="0.2">
      <c r="T918" s="130"/>
      <c r="U918" s="151"/>
      <c r="X918" s="170" t="str">
        <f t="shared" si="23"/>
        <v>1w</v>
      </c>
      <c r="Y918" s="168">
        <f>_xll.qlCalendarAdvance(LiborCalendar,Y917,X918,"f",FALSE)</f>
        <v>45567</v>
      </c>
      <c r="Z918" s="171">
        <f>_xll.qlInterestRateIndexValueDate(IborIndex,Y918,Trigger)</f>
        <v>45569</v>
      </c>
      <c r="AA918" s="172">
        <v>9.6562078203963186E-3</v>
      </c>
      <c r="AB918" s="169">
        <v>9.5986254484703437E-3</v>
      </c>
    </row>
    <row r="919" spans="20:28" x14ac:dyDescent="0.2">
      <c r="T919" s="130"/>
      <c r="U919" s="151"/>
      <c r="X919" s="170" t="str">
        <f t="shared" si="23"/>
        <v>1w</v>
      </c>
      <c r="Y919" s="168">
        <f>_xll.qlCalendarAdvance(LiborCalendar,Y918,X919,"f",FALSE)</f>
        <v>45574</v>
      </c>
      <c r="Z919" s="171">
        <f>_xll.qlInterestRateIndexValueDate(IborIndex,Y919,Trigger)</f>
        <v>45576</v>
      </c>
      <c r="AA919" s="172">
        <v>9.6630345552256684E-3</v>
      </c>
      <c r="AB919" s="169">
        <v>9.6060333190273184E-3</v>
      </c>
    </row>
    <row r="920" spans="20:28" x14ac:dyDescent="0.2">
      <c r="T920" s="130"/>
      <c r="U920" s="151"/>
      <c r="X920" s="170" t="str">
        <f t="shared" si="23"/>
        <v>1w</v>
      </c>
      <c r="Y920" s="168">
        <f>_xll.qlCalendarAdvance(LiborCalendar,Y919,X920,"f",FALSE)</f>
        <v>45581</v>
      </c>
      <c r="Z920" s="171">
        <f>_xll.qlInterestRateIndexValueDate(IborIndex,Y920,Trigger)</f>
        <v>45583</v>
      </c>
      <c r="AA920" s="172">
        <v>9.6697691133504522E-3</v>
      </c>
      <c r="AB920" s="169">
        <v>9.6133492259742326E-3</v>
      </c>
    </row>
    <row r="921" spans="20:28" x14ac:dyDescent="0.2">
      <c r="T921" s="130"/>
      <c r="U921" s="151"/>
      <c r="X921" s="170" t="str">
        <f t="shared" si="23"/>
        <v>1w</v>
      </c>
      <c r="Y921" s="168">
        <f>_xll.qlCalendarAdvance(LiborCalendar,Y920,X921,"f",FALSE)</f>
        <v>45588</v>
      </c>
      <c r="Z921" s="171">
        <f>_xll.qlInterestRateIndexValueDate(IborIndex,Y921,Trigger)</f>
        <v>45590</v>
      </c>
      <c r="AA921" s="172">
        <v>9.6764114942868001E-3</v>
      </c>
      <c r="AB921" s="169">
        <v>9.6205731693910224E-3</v>
      </c>
    </row>
    <row r="922" spans="20:28" x14ac:dyDescent="0.2">
      <c r="T922" s="130"/>
      <c r="U922" s="151"/>
      <c r="X922" s="170" t="str">
        <f t="shared" si="23"/>
        <v>1w</v>
      </c>
      <c r="Y922" s="168">
        <f>_xll.qlCalendarAdvance(LiborCalendar,Y921,X922,"f",FALSE)</f>
        <v>45595</v>
      </c>
      <c r="Z922" s="171">
        <f>_xll.qlInterestRateIndexValueDate(IborIndex,Y922,Trigger)</f>
        <v>45597</v>
      </c>
      <c r="AA922" s="172">
        <v>9.6829616975542456E-3</v>
      </c>
      <c r="AB922" s="169">
        <v>9.6277051491711063E-3</v>
      </c>
    </row>
    <row r="923" spans="20:28" x14ac:dyDescent="0.2">
      <c r="T923" s="130"/>
      <c r="U923" s="151"/>
      <c r="X923" s="170" t="str">
        <f t="shared" si="23"/>
        <v>1w</v>
      </c>
      <c r="Y923" s="168">
        <f>_xll.qlCalendarAdvance(LiborCalendar,Y922,X923,"f",FALSE)</f>
        <v>45602</v>
      </c>
      <c r="Z923" s="171">
        <f>_xll.qlInterestRateIndexValueDate(IborIndex,Y923,Trigger)</f>
        <v>45604</v>
      </c>
      <c r="AA923" s="172">
        <v>9.6894197226825261E-3</v>
      </c>
      <c r="AB923" s="169">
        <v>9.6347451653411298E-3</v>
      </c>
    </row>
    <row r="924" spans="20:28" x14ac:dyDescent="0.2">
      <c r="T924" s="130"/>
      <c r="U924" s="151"/>
      <c r="X924" s="170" t="str">
        <f t="shared" si="23"/>
        <v>1w</v>
      </c>
      <c r="Y924" s="168">
        <f>_xll.qlCalendarAdvance(LiborCalendar,Y923,X924,"f",FALSE)</f>
        <v>45609</v>
      </c>
      <c r="Z924" s="171">
        <f>_xll.qlInterestRateIndexValueDate(IborIndex,Y924,Trigger)</f>
        <v>45611</v>
      </c>
      <c r="AA924" s="172">
        <v>9.6957855692056324E-3</v>
      </c>
      <c r="AB924" s="169">
        <v>9.6416932178478021E-3</v>
      </c>
    </row>
    <row r="925" spans="20:28" x14ac:dyDescent="0.2">
      <c r="T925" s="130"/>
      <c r="U925" s="151"/>
      <c r="X925" s="170" t="str">
        <f t="shared" si="23"/>
        <v>1w</v>
      </c>
      <c r="Y925" s="168">
        <f>_xll.qlCalendarAdvance(LiborCalendar,Y924,X925,"f",FALSE)</f>
        <v>45616</v>
      </c>
      <c r="Z925" s="171">
        <f>_xll.qlInterestRateIndexValueDate(IborIndex,Y925,Trigger)</f>
        <v>45618</v>
      </c>
      <c r="AA925" s="172">
        <v>9.702059236665209E-3</v>
      </c>
      <c r="AB925" s="169">
        <v>9.6485493067444139E-3</v>
      </c>
    </row>
    <row r="926" spans="20:28" x14ac:dyDescent="0.2">
      <c r="T926" s="130"/>
      <c r="U926" s="151"/>
      <c r="X926" s="170" t="str">
        <f t="shared" si="23"/>
        <v>1w</v>
      </c>
      <c r="Y926" s="168">
        <f>_xll.qlCalendarAdvance(LiborCalendar,Y925,X926,"f",FALSE)</f>
        <v>45623</v>
      </c>
      <c r="Z926" s="171">
        <f>_xll.qlInterestRateIndexValueDate(IborIndex,Y926,Trigger)</f>
        <v>45625</v>
      </c>
      <c r="AA926" s="172">
        <v>9.7065751247724184E-3</v>
      </c>
      <c r="AB926" s="169">
        <v>9.6553134319510292E-3</v>
      </c>
    </row>
    <row r="927" spans="20:28" x14ac:dyDescent="0.2">
      <c r="T927" s="130"/>
      <c r="U927" s="151"/>
      <c r="X927" s="170" t="str">
        <f t="shared" si="23"/>
        <v>1w</v>
      </c>
      <c r="Y927" s="168">
        <f>_xll.qlCalendarAdvance(LiborCalendar,Y926,X927,"f",FALSE)</f>
        <v>45630</v>
      </c>
      <c r="Z927" s="171">
        <f>_xll.qlInterestRateIndexValueDate(IborIndex,Y927,Trigger)</f>
        <v>45632</v>
      </c>
      <c r="AA927" s="172">
        <v>9.712133707526327E-3</v>
      </c>
      <c r="AB927" s="169">
        <v>9.661985593467648E-3</v>
      </c>
    </row>
    <row r="928" spans="20:28" x14ac:dyDescent="0.2">
      <c r="T928" s="130"/>
      <c r="U928" s="151"/>
      <c r="X928" s="170" t="str">
        <f t="shared" si="23"/>
        <v>1w</v>
      </c>
      <c r="Y928" s="168">
        <f>_xll.qlCalendarAdvance(LiborCalendar,Y927,X928,"f",FALSE)</f>
        <v>45637</v>
      </c>
      <c r="Z928" s="171">
        <f>_xll.qlInterestRateIndexValueDate(IborIndex,Y928,Trigger)</f>
        <v>45639</v>
      </c>
      <c r="AA928" s="172">
        <v>9.7181565231165834E-3</v>
      </c>
      <c r="AB928" s="169">
        <v>9.6685657912942702E-3</v>
      </c>
    </row>
    <row r="929" spans="20:28" x14ac:dyDescent="0.2">
      <c r="T929" s="130"/>
      <c r="U929" s="151"/>
      <c r="X929" s="170" t="str">
        <f t="shared" si="23"/>
        <v>1w</v>
      </c>
      <c r="Y929" s="168">
        <f>_xll.qlCalendarAdvance(LiborCalendar,Y928,X929,"f",FALSE)</f>
        <v>45644</v>
      </c>
      <c r="Z929" s="171">
        <f>_xll.qlInterestRateIndexValueDate(IborIndex,Y929,Trigger)</f>
        <v>45646</v>
      </c>
      <c r="AA929" s="172">
        <v>9.7240871675428053E-3</v>
      </c>
      <c r="AB929" s="169">
        <v>9.6750540254042505E-3</v>
      </c>
    </row>
    <row r="930" spans="20:28" x14ac:dyDescent="0.2">
      <c r="T930" s="130"/>
      <c r="U930" s="151"/>
      <c r="X930" s="170" t="str">
        <f t="shared" si="23"/>
        <v>1w</v>
      </c>
      <c r="Y930" s="168">
        <f>_xll.qlCalendarAdvance(LiborCalendar,Y929,X930,"f",FALSE)</f>
        <v>45653</v>
      </c>
      <c r="Z930" s="171">
        <f>_xll.qlInterestRateIndexValueDate(IborIndex,Y930,Trigger)</f>
        <v>45657</v>
      </c>
      <c r="AA930" s="172">
        <v>9.7332205272859795E-3</v>
      </c>
      <c r="AB930" s="169">
        <v>9.6844840739196414E-3</v>
      </c>
    </row>
    <row r="931" spans="20:28" x14ac:dyDescent="0.2">
      <c r="T931" s="130"/>
      <c r="U931" s="151"/>
      <c r="X931" s="170" t="str">
        <f t="shared" si="23"/>
        <v>1w</v>
      </c>
      <c r="Y931" s="168">
        <f>_xll.qlCalendarAdvance(LiborCalendar,Y930,X931,"f",FALSE)</f>
        <v>45660</v>
      </c>
      <c r="Z931" s="171">
        <f>_xll.qlInterestRateIndexValueDate(IborIndex,Y931,Trigger)</f>
        <v>45664</v>
      </c>
      <c r="AA931" s="172">
        <v>9.738914158281986E-3</v>
      </c>
      <c r="AB931" s="169">
        <v>9.6901680876193552E-3</v>
      </c>
    </row>
    <row r="932" spans="20:28" x14ac:dyDescent="0.2">
      <c r="T932" s="130"/>
      <c r="U932" s="151"/>
      <c r="X932" s="170" t="str">
        <f t="shared" si="23"/>
        <v>1w</v>
      </c>
      <c r="Y932" s="168">
        <f>_xll.qlCalendarAdvance(LiborCalendar,Y931,X932,"f",FALSE)</f>
        <v>45667</v>
      </c>
      <c r="Z932" s="171">
        <f>_xll.qlInterestRateIndexValueDate(IborIndex,Y932,Trigger)</f>
        <v>45671</v>
      </c>
      <c r="AA932" s="172">
        <v>9.7445156166822144E-3</v>
      </c>
      <c r="AB932" s="169">
        <v>9.6963406850125722E-3</v>
      </c>
    </row>
    <row r="933" spans="20:28" x14ac:dyDescent="0.2">
      <c r="T933" s="130"/>
      <c r="U933" s="151"/>
      <c r="X933" s="170" t="str">
        <f t="shared" si="23"/>
        <v>1w</v>
      </c>
      <c r="Y933" s="168">
        <f>_xll.qlCalendarAdvance(LiborCalendar,Y932,X933,"f",FALSE)</f>
        <v>45674</v>
      </c>
      <c r="Z933" s="171">
        <f>_xll.qlInterestRateIndexValueDate(IborIndex,Y933,Trigger)</f>
        <v>45678</v>
      </c>
      <c r="AA933" s="172">
        <v>9.7505326438916008E-3</v>
      </c>
      <c r="AB933" s="169">
        <v>9.7024213234853107E-3</v>
      </c>
    </row>
    <row r="934" spans="20:28" x14ac:dyDescent="0.2">
      <c r="T934" s="130"/>
      <c r="U934" s="151"/>
      <c r="X934" s="170" t="str">
        <f t="shared" si="23"/>
        <v>1w</v>
      </c>
      <c r="Y934" s="168">
        <f>_xll.qlCalendarAdvance(LiborCalendar,Y933,X934,"f",FALSE)</f>
        <v>45681</v>
      </c>
      <c r="Z934" s="171">
        <f>_xll.qlInterestRateIndexValueDate(IborIndex,Y934,Trigger)</f>
        <v>45685</v>
      </c>
      <c r="AA934" s="172">
        <v>9.7554420141561238E-3</v>
      </c>
      <c r="AB934" s="169">
        <v>9.7084100027977627E-3</v>
      </c>
    </row>
    <row r="935" spans="20:28" x14ac:dyDescent="0.2">
      <c r="T935" s="130"/>
      <c r="U935" s="151"/>
      <c r="X935" s="170" t="str">
        <f t="shared" si="23"/>
        <v>1w</v>
      </c>
      <c r="Y935" s="168">
        <f>_xll.qlCalendarAdvance(LiborCalendar,Y934,X935,"f",FALSE)</f>
        <v>45688</v>
      </c>
      <c r="Z935" s="171">
        <f>_xll.qlInterestRateIndexValueDate(IborIndex,Y935,Trigger)</f>
        <v>45692</v>
      </c>
      <c r="AA935" s="172">
        <v>9.7612618169449009E-3</v>
      </c>
      <c r="AB935" s="169">
        <v>9.7143067231897362E-3</v>
      </c>
    </row>
    <row r="936" spans="20:28" x14ac:dyDescent="0.2">
      <c r="T936" s="130"/>
      <c r="U936" s="151"/>
      <c r="X936" s="170" t="str">
        <f t="shared" si="23"/>
        <v>1w</v>
      </c>
      <c r="Y936" s="168">
        <f>_xll.qlCalendarAdvance(LiborCalendar,Y935,X936,"f",FALSE)</f>
        <v>45695</v>
      </c>
      <c r="Z936" s="171">
        <f>_xll.qlInterestRateIndexValueDate(IborIndex,Y936,Trigger)</f>
        <v>45699</v>
      </c>
      <c r="AA936" s="172">
        <v>9.7659997166905654E-3</v>
      </c>
      <c r="AB936" s="169">
        <v>9.7201114843414871E-3</v>
      </c>
    </row>
    <row r="937" spans="20:28" x14ac:dyDescent="0.2">
      <c r="T937" s="130"/>
      <c r="U937" s="151"/>
      <c r="X937" s="170" t="str">
        <f t="shared" si="23"/>
        <v>1w</v>
      </c>
      <c r="Y937" s="168">
        <f>_xll.qlCalendarAdvance(LiborCalendar,Y936,X937,"f",FALSE)</f>
        <v>45702</v>
      </c>
      <c r="Z937" s="171">
        <f>_xll.qlInterestRateIndexValueDate(IborIndex,Y937,Trigger)</f>
        <v>45706</v>
      </c>
      <c r="AA937" s="172">
        <v>9.7711403870173186E-3</v>
      </c>
      <c r="AB937" s="169">
        <v>9.7258242865727595E-3</v>
      </c>
    </row>
    <row r="938" spans="20:28" x14ac:dyDescent="0.2">
      <c r="T938" s="130"/>
      <c r="U938" s="151"/>
      <c r="X938" s="170" t="str">
        <f t="shared" si="23"/>
        <v>1w</v>
      </c>
      <c r="Y938" s="168">
        <f>_xll.qlCalendarAdvance(LiborCalendar,Y937,X938,"f",FALSE)</f>
        <v>45709</v>
      </c>
      <c r="Z938" s="171">
        <f>_xll.qlInterestRateIndexValueDate(IborIndex,Y938,Trigger)</f>
        <v>45713</v>
      </c>
      <c r="AA938" s="172">
        <v>9.776666403184477E-3</v>
      </c>
      <c r="AB938" s="169">
        <v>9.7314451297236815E-3</v>
      </c>
    </row>
    <row r="939" spans="20:28" x14ac:dyDescent="0.2">
      <c r="T939" s="130"/>
      <c r="U939" s="151"/>
      <c r="X939" s="170" t="str">
        <f t="shared" si="23"/>
        <v>1w</v>
      </c>
      <c r="Y939" s="168">
        <f>_xll.qlCalendarAdvance(LiborCalendar,Y938,X939,"f",FALSE)</f>
        <v>45716</v>
      </c>
      <c r="Z939" s="171">
        <f>_xll.qlInterestRateIndexValueDate(IborIndex,Y939,Trigger)</f>
        <v>45720</v>
      </c>
      <c r="AA939" s="172">
        <v>9.7820923690452796E-3</v>
      </c>
      <c r="AB939" s="169">
        <v>9.7369740137942529E-3</v>
      </c>
    </row>
    <row r="940" spans="20:28" x14ac:dyDescent="0.2">
      <c r="T940" s="130"/>
      <c r="U940" s="151"/>
      <c r="X940" s="170" t="str">
        <f t="shared" si="23"/>
        <v>1w</v>
      </c>
      <c r="Y940" s="168">
        <f>_xll.qlCalendarAdvance(LiborCalendar,Y939,X940,"f",FALSE)</f>
        <v>45723</v>
      </c>
      <c r="Z940" s="171">
        <f>_xll.qlInterestRateIndexValueDate(IborIndex,Y940,Trigger)</f>
        <v>45727</v>
      </c>
      <c r="AA940" s="172">
        <v>9.7869579183843588E-3</v>
      </c>
      <c r="AB940" s="169">
        <v>9.7424109388644098E-3</v>
      </c>
    </row>
    <row r="941" spans="20:28" x14ac:dyDescent="0.2">
      <c r="T941" s="130"/>
      <c r="U941" s="151"/>
      <c r="X941" s="170" t="str">
        <f t="shared" si="23"/>
        <v>1w</v>
      </c>
      <c r="Y941" s="168">
        <f>_xll.qlCalendarAdvance(LiborCalendar,Y940,X941,"f",FALSE)</f>
        <v>45730</v>
      </c>
      <c r="Z941" s="171">
        <f>_xll.qlInterestRateIndexValueDate(IborIndex,Y941,Trigger)</f>
        <v>45734</v>
      </c>
      <c r="AA941" s="172">
        <v>9.791741064063891E-3</v>
      </c>
      <c r="AB941" s="169">
        <v>9.7477559047742801E-3</v>
      </c>
    </row>
    <row r="942" spans="20:28" x14ac:dyDescent="0.2">
      <c r="T942" s="130"/>
      <c r="U942" s="151"/>
      <c r="X942" s="170" t="str">
        <f t="shared" si="23"/>
        <v>1w</v>
      </c>
      <c r="Y942" s="168">
        <f>_xll.qlCalendarAdvance(LiborCalendar,Y941,X942,"f",FALSE)</f>
        <v>45737</v>
      </c>
      <c r="Z942" s="171">
        <f>_xll.qlInterestRateIndexValueDate(IborIndex,Y942,Trigger)</f>
        <v>45741</v>
      </c>
      <c r="AA942" s="172">
        <v>9.7964443405808357E-3</v>
      </c>
      <c r="AB942" s="169">
        <v>9.753008911683736E-3</v>
      </c>
    </row>
    <row r="943" spans="20:28" x14ac:dyDescent="0.2">
      <c r="T943" s="130"/>
      <c r="U943" s="151"/>
      <c r="X943" s="170" t="str">
        <f t="shared" si="23"/>
        <v>1w</v>
      </c>
      <c r="Y943" s="168">
        <f>_xll.qlCalendarAdvance(LiborCalendar,Y942,X943,"f",FALSE)</f>
        <v>45744</v>
      </c>
      <c r="Z943" s="171">
        <f>_xll.qlInterestRateIndexValueDate(IborIndex,Y943,Trigger)</f>
        <v>45748</v>
      </c>
      <c r="AA943" s="172">
        <v>9.8006206976164589E-3</v>
      </c>
      <c r="AB943" s="169">
        <v>9.7581699595128413E-3</v>
      </c>
    </row>
    <row r="944" spans="20:28" x14ac:dyDescent="0.2">
      <c r="T944" s="130"/>
      <c r="U944" s="151"/>
      <c r="X944" s="170" t="str">
        <f t="shared" si="23"/>
        <v>1w</v>
      </c>
      <c r="Y944" s="168">
        <f>_xll.qlCalendarAdvance(LiborCalendar,Y943,X944,"f",FALSE)</f>
        <v>45751</v>
      </c>
      <c r="Z944" s="171">
        <f>_xll.qlInterestRateIndexValueDate(IborIndex,Y944,Trigger)</f>
        <v>45755</v>
      </c>
      <c r="AA944" s="172">
        <v>9.8051763876623229E-3</v>
      </c>
      <c r="AB944" s="169">
        <v>9.7632390482615961E-3</v>
      </c>
    </row>
    <row r="945" spans="20:28" x14ac:dyDescent="0.2">
      <c r="T945" s="130"/>
      <c r="U945" s="151"/>
      <c r="X945" s="170" t="str">
        <f t="shared" si="23"/>
        <v>1w</v>
      </c>
      <c r="Y945" s="168">
        <f>_xll.qlCalendarAdvance(LiborCalendar,Y944,X945,"f",FALSE)</f>
        <v>45758</v>
      </c>
      <c r="Z945" s="171">
        <f>_xll.qlInterestRateIndexValueDate(IborIndex,Y945,Trigger)</f>
        <v>45762</v>
      </c>
      <c r="AA945" s="172">
        <v>9.80965966683792E-3</v>
      </c>
      <c r="AB945" s="169">
        <v>9.7682161778500642E-3</v>
      </c>
    </row>
    <row r="946" spans="20:28" x14ac:dyDescent="0.2">
      <c r="T946" s="130"/>
      <c r="U946" s="151"/>
      <c r="X946" s="170" t="str">
        <f t="shared" si="23"/>
        <v>1w</v>
      </c>
      <c r="Y946" s="168">
        <f>_xll.qlCalendarAdvance(LiborCalendar,Y945,X946,"f",FALSE)</f>
        <v>45769</v>
      </c>
      <c r="Z946" s="171">
        <f>_xll.qlInterestRateIndexValueDate(IborIndex,Y946,Trigger)</f>
        <v>45771</v>
      </c>
      <c r="AA946" s="172">
        <v>9.8153216069458878E-3</v>
      </c>
      <c r="AB946" s="169">
        <v>9.7744802209742687E-3</v>
      </c>
    </row>
    <row r="947" spans="20:28" x14ac:dyDescent="0.2">
      <c r="T947" s="130"/>
      <c r="U947" s="151"/>
      <c r="X947" s="170" t="str">
        <f t="shared" si="23"/>
        <v>1w</v>
      </c>
      <c r="Y947" s="168">
        <f>_xll.qlCalendarAdvance(LiborCalendar,Y946,X947,"f",FALSE)</f>
        <v>45776</v>
      </c>
      <c r="Z947" s="171">
        <f>_xll.qlInterestRateIndexValueDate(IborIndex,Y947,Trigger)</f>
        <v>45779</v>
      </c>
      <c r="AA947" s="172">
        <v>9.8215518892634367E-3</v>
      </c>
      <c r="AB947" s="169">
        <v>9.7813247947819981E-3</v>
      </c>
    </row>
    <row r="948" spans="20:28" x14ac:dyDescent="0.2">
      <c r="T948" s="130"/>
      <c r="U948" s="151"/>
      <c r="X948" s="170" t="str">
        <f t="shared" si="23"/>
        <v>1w</v>
      </c>
      <c r="Y948" s="168">
        <f>_xll.qlCalendarAdvance(LiborCalendar,Y947,X948,"f",FALSE)</f>
        <v>45783</v>
      </c>
      <c r="Z948" s="171">
        <f>_xll.qlInterestRateIndexValueDate(IborIndex,Y948,Trigger)</f>
        <v>45785</v>
      </c>
      <c r="AA948" s="172">
        <v>9.8243392413266406E-3</v>
      </c>
      <c r="AB948" s="169">
        <v>9.7839221367035378E-3</v>
      </c>
    </row>
    <row r="949" spans="20:28" x14ac:dyDescent="0.2">
      <c r="T949" s="130"/>
      <c r="U949" s="151"/>
      <c r="X949" s="170" t="str">
        <f t="shared" si="23"/>
        <v>1w</v>
      </c>
      <c r="Y949" s="168">
        <f>_xll.qlCalendarAdvance(LiborCalendar,Y948,X949,"f",FALSE)</f>
        <v>45790</v>
      </c>
      <c r="Z949" s="171">
        <f>_xll.qlInterestRateIndexValueDate(IborIndex,Y949,Trigger)</f>
        <v>45792</v>
      </c>
      <c r="AA949" s="172">
        <v>9.8285371159571571E-3</v>
      </c>
      <c r="AB949" s="169">
        <v>9.7885052689772323E-3</v>
      </c>
    </row>
    <row r="950" spans="20:28" x14ac:dyDescent="0.2">
      <c r="T950" s="130"/>
      <c r="U950" s="151"/>
      <c r="X950" s="170" t="str">
        <f t="shared" si="23"/>
        <v>1w</v>
      </c>
      <c r="Y950" s="168">
        <f>_xll.qlCalendarAdvance(LiborCalendar,Y949,X950,"f",FALSE)</f>
        <v>45797</v>
      </c>
      <c r="Z950" s="171">
        <f>_xll.qlInterestRateIndexValueDate(IborIndex,Y950,Trigger)</f>
        <v>45799</v>
      </c>
      <c r="AA950" s="172">
        <v>9.8326756997015596E-3</v>
      </c>
      <c r="AB950" s="169">
        <v>9.7930153189107472E-3</v>
      </c>
    </row>
    <row r="951" spans="20:28" x14ac:dyDescent="0.2">
      <c r="T951" s="130"/>
      <c r="U951" s="151"/>
      <c r="X951" s="170" t="str">
        <f t="shared" si="23"/>
        <v>1w</v>
      </c>
      <c r="Y951" s="168">
        <f>_xll.qlCalendarAdvance(LiborCalendar,Y950,X951,"f",FALSE)</f>
        <v>45804</v>
      </c>
      <c r="Z951" s="171">
        <f>_xll.qlInterestRateIndexValueDate(IborIndex,Y951,Trigger)</f>
        <v>45807</v>
      </c>
      <c r="AA951" s="172">
        <v>9.8369194460138452E-3</v>
      </c>
      <c r="AB951" s="169">
        <v>9.7989939734421938E-3</v>
      </c>
    </row>
    <row r="952" spans="20:28" x14ac:dyDescent="0.2">
      <c r="T952" s="130"/>
      <c r="U952" s="151"/>
      <c r="X952" s="170" t="str">
        <f t="shared" si="23"/>
        <v>1w</v>
      </c>
      <c r="Y952" s="168">
        <f>_xll.qlCalendarAdvance(LiborCalendar,Y951,X952,"f",FALSE)</f>
        <v>45811</v>
      </c>
      <c r="Z952" s="171">
        <f>_xll.qlInterestRateIndexValueDate(IborIndex,Y952,Trigger)</f>
        <v>45813</v>
      </c>
      <c r="AA952" s="172">
        <v>9.8407762611927106E-3</v>
      </c>
      <c r="AB952" s="169">
        <v>9.8018592381876601E-3</v>
      </c>
    </row>
    <row r="953" spans="20:28" x14ac:dyDescent="0.2">
      <c r="T953" s="130"/>
      <c r="U953" s="151"/>
      <c r="X953" s="170" t="str">
        <f t="shared" si="23"/>
        <v>1w</v>
      </c>
      <c r="Y953" s="168">
        <f>_xll.qlCalendarAdvance(LiborCalendar,Y952,X953,"f",FALSE)</f>
        <v>45818</v>
      </c>
      <c r="Z953" s="171">
        <f>_xll.qlInterestRateIndexValueDate(IborIndex,Y953,Trigger)</f>
        <v>45820</v>
      </c>
      <c r="AA953" s="172">
        <v>9.8447382385771429E-3</v>
      </c>
      <c r="AB953" s="169">
        <v>9.8061931075310582E-3</v>
      </c>
    </row>
    <row r="954" spans="20:28" x14ac:dyDescent="0.2">
      <c r="T954" s="130"/>
      <c r="U954" s="151"/>
      <c r="X954" s="170" t="str">
        <f t="shared" si="23"/>
        <v>1w</v>
      </c>
      <c r="Y954" s="168">
        <f>_xll.qlCalendarAdvance(LiborCalendar,Y953,X954,"f",FALSE)</f>
        <v>45825</v>
      </c>
      <c r="Z954" s="171">
        <f>_xll.qlInterestRateIndexValueDate(IborIndex,Y954,Trigger)</f>
        <v>45827</v>
      </c>
      <c r="AA954" s="172">
        <v>9.8486413468137565E-3</v>
      </c>
      <c r="AB954" s="169">
        <v>9.810468249931148E-3</v>
      </c>
    </row>
    <row r="955" spans="20:28" x14ac:dyDescent="0.2">
      <c r="T955" s="130"/>
      <c r="U955" s="151"/>
      <c r="X955" s="170" t="str">
        <f t="shared" si="23"/>
        <v>1w</v>
      </c>
      <c r="Y955" s="168">
        <f>_xll.qlCalendarAdvance(LiborCalendar,Y954,X955,"f",FALSE)</f>
        <v>45832</v>
      </c>
      <c r="Z955" s="171">
        <f>_xll.qlInterestRateIndexValueDate(IborIndex,Y955,Trigger)</f>
        <v>45834</v>
      </c>
      <c r="AA955" s="172">
        <v>9.8524855857270409E-3</v>
      </c>
      <c r="AB955" s="169">
        <v>9.8146846653879294E-3</v>
      </c>
    </row>
    <row r="956" spans="20:28" x14ac:dyDescent="0.2">
      <c r="T956" s="130"/>
      <c r="U956" s="151"/>
      <c r="X956" s="170" t="str">
        <f t="shared" si="23"/>
        <v>1w</v>
      </c>
      <c r="Y956" s="168">
        <f>_xll.qlCalendarAdvance(LiborCalendar,Y955,X956,"f",FALSE)</f>
        <v>45839</v>
      </c>
      <c r="Z956" s="171">
        <f>_xll.qlInterestRateIndexValueDate(IborIndex,Y956,Trigger)</f>
        <v>45841</v>
      </c>
      <c r="AA956" s="172">
        <v>9.8562709551458291E-3</v>
      </c>
      <c r="AB956" s="169">
        <v>9.8188423540612746E-3</v>
      </c>
    </row>
    <row r="957" spans="20:28" x14ac:dyDescent="0.2">
      <c r="T957" s="130"/>
      <c r="U957" s="151"/>
      <c r="X957" s="170" t="str">
        <f t="shared" si="23"/>
        <v>1w</v>
      </c>
      <c r="Y957" s="168">
        <f>_xll.qlCalendarAdvance(LiborCalendar,Y956,X957,"f",FALSE)</f>
        <v>45846</v>
      </c>
      <c r="Z957" s="171">
        <f>_xll.qlInterestRateIndexValueDate(IborIndex,Y957,Trigger)</f>
        <v>45848</v>
      </c>
      <c r="AA957" s="172">
        <v>9.8599974548972142E-3</v>
      </c>
      <c r="AB957" s="169">
        <v>9.8229413157913115E-3</v>
      </c>
    </row>
    <row r="958" spans="20:28" x14ac:dyDescent="0.2">
      <c r="T958" s="130"/>
      <c r="U958" s="151"/>
      <c r="X958" s="170" t="str">
        <f t="shared" si="23"/>
        <v>1w</v>
      </c>
      <c r="Y958" s="168">
        <f>_xll.qlCalendarAdvance(LiborCalendar,Y957,X958,"f",FALSE)</f>
        <v>45853</v>
      </c>
      <c r="Z958" s="171">
        <f>_xll.qlInterestRateIndexValueDate(IborIndex,Y958,Trigger)</f>
        <v>45855</v>
      </c>
      <c r="AA958" s="172">
        <v>9.863665084815244E-3</v>
      </c>
      <c r="AB958" s="169">
        <v>9.82698155057804E-3</v>
      </c>
    </row>
    <row r="959" spans="20:28" x14ac:dyDescent="0.2">
      <c r="T959" s="130"/>
      <c r="U959" s="151"/>
      <c r="X959" s="170" t="str">
        <f t="shared" si="23"/>
        <v>1w</v>
      </c>
      <c r="Y959" s="168">
        <f>_xll.qlCalendarAdvance(LiborCalendar,Y958,X959,"f",FALSE)</f>
        <v>45860</v>
      </c>
      <c r="Z959" s="171">
        <f>_xll.qlInterestRateIndexValueDate(IborIndex,Y959,Trigger)</f>
        <v>45862</v>
      </c>
      <c r="AA959" s="172">
        <v>9.8672738447348335E-3</v>
      </c>
      <c r="AB959" s="169">
        <v>9.8309630585013963E-3</v>
      </c>
    </row>
    <row r="960" spans="20:28" x14ac:dyDescent="0.2">
      <c r="T960" s="130"/>
      <c r="U960" s="151"/>
      <c r="X960" s="170" t="str">
        <f t="shared" si="23"/>
        <v>1w</v>
      </c>
      <c r="Y960" s="168">
        <f>_xll.qlCalendarAdvance(LiborCalendar,Y959,X960,"f",FALSE)</f>
        <v>45867</v>
      </c>
      <c r="Z960" s="171">
        <f>_xll.qlInterestRateIndexValueDate(IborIndex,Y960,Trigger)</f>
        <v>45869</v>
      </c>
      <c r="AA960" s="172">
        <v>9.8708237344917651E-3</v>
      </c>
      <c r="AB960" s="169">
        <v>9.8348858395613803E-3</v>
      </c>
    </row>
    <row r="961" spans="20:28" x14ac:dyDescent="0.2">
      <c r="T961" s="130"/>
      <c r="U961" s="151"/>
      <c r="X961" s="170" t="str">
        <f t="shared" si="23"/>
        <v>1w</v>
      </c>
      <c r="Y961" s="168">
        <f>_xll.qlCalendarAdvance(LiborCalendar,Y960,X961,"f",FALSE)</f>
        <v>45874</v>
      </c>
      <c r="Z961" s="171">
        <f>_xll.qlInterestRateIndexValueDate(IborIndex,Y961,Trigger)</f>
        <v>45876</v>
      </c>
      <c r="AA961" s="172">
        <v>9.8743147539279031E-3</v>
      </c>
      <c r="AB961" s="169">
        <v>9.838749893678056E-3</v>
      </c>
    </row>
    <row r="962" spans="20:28" x14ac:dyDescent="0.2">
      <c r="T962" s="130"/>
      <c r="U962" s="151"/>
      <c r="X962" s="170" t="str">
        <f t="shared" si="23"/>
        <v>1w</v>
      </c>
      <c r="Y962" s="168">
        <f>_xll.qlCalendarAdvance(LiborCalendar,Y961,X962,"f",FALSE)</f>
        <v>45881</v>
      </c>
      <c r="Z962" s="171">
        <f>_xll.qlInterestRateIndexValueDate(IborIndex,Y962,Trigger)</f>
        <v>45883</v>
      </c>
      <c r="AA962" s="172">
        <v>9.8777469028851171E-3</v>
      </c>
      <c r="AB962" s="169">
        <v>9.8425552208514233E-3</v>
      </c>
    </row>
    <row r="963" spans="20:28" x14ac:dyDescent="0.2">
      <c r="T963" s="130"/>
      <c r="U963" s="151"/>
      <c r="X963" s="170" t="str">
        <f t="shared" si="23"/>
        <v>1w</v>
      </c>
      <c r="Y963" s="168">
        <f>_xll.qlCalendarAdvance(LiborCalendar,Y962,X963,"f",FALSE)</f>
        <v>45888</v>
      </c>
      <c r="Z963" s="171">
        <f>_xll.qlInterestRateIndexValueDate(IborIndex,Y963,Trigger)</f>
        <v>45890</v>
      </c>
      <c r="AA963" s="172">
        <v>9.8811201812096117E-3</v>
      </c>
      <c r="AB963" s="169">
        <v>9.8463018211614184E-3</v>
      </c>
    </row>
    <row r="964" spans="20:28" x14ac:dyDescent="0.2">
      <c r="T964" s="130"/>
      <c r="U964" s="151"/>
      <c r="X964" s="170" t="str">
        <f t="shared" si="23"/>
        <v>1w</v>
      </c>
      <c r="Y964" s="168">
        <f>_xll.qlCalendarAdvance(LiborCalendar,Y963,X964,"f",FALSE)</f>
        <v>45895</v>
      </c>
      <c r="Z964" s="171">
        <f>_xll.qlInterestRateIndexValueDate(IborIndex,Y964,Trigger)</f>
        <v>45897</v>
      </c>
      <c r="AA964" s="172">
        <v>9.8844345887484711E-3</v>
      </c>
      <c r="AB964" s="169">
        <v>9.8499896945281051E-3</v>
      </c>
    </row>
    <row r="965" spans="20:28" x14ac:dyDescent="0.2">
      <c r="T965" s="130"/>
      <c r="U965" s="151"/>
      <c r="X965" s="170" t="str">
        <f t="shared" si="23"/>
        <v>1w</v>
      </c>
      <c r="Y965" s="168">
        <f>_xll.qlCalendarAdvance(LiborCalendar,Y964,X965,"f",FALSE)</f>
        <v>45902</v>
      </c>
      <c r="Z965" s="171">
        <f>_xll.qlInterestRateIndexValueDate(IborIndex,Y965,Trigger)</f>
        <v>45904</v>
      </c>
      <c r="AA965" s="172">
        <v>9.8873330357061185E-3</v>
      </c>
      <c r="AB965" s="169">
        <v>9.8536188409514835E-3</v>
      </c>
    </row>
    <row r="966" spans="20:28" x14ac:dyDescent="0.2">
      <c r="T966" s="130"/>
      <c r="U966" s="151"/>
      <c r="X966" s="170" t="str">
        <f t="shared" si="23"/>
        <v>1w</v>
      </c>
      <c r="Y966" s="168">
        <f>_xll.qlCalendarAdvance(LiborCalendar,Y965,X966,"f",FALSE)</f>
        <v>45909</v>
      </c>
      <c r="Z966" s="171">
        <f>_xll.qlInterestRateIndexValueDate(IborIndex,Y966,Trigger)</f>
        <v>45911</v>
      </c>
      <c r="AA966" s="172">
        <v>9.8905338185044846E-3</v>
      </c>
      <c r="AB966" s="169">
        <v>9.8571892605114897E-3</v>
      </c>
    </row>
    <row r="967" spans="20:28" x14ac:dyDescent="0.2">
      <c r="T967" s="130"/>
      <c r="U967" s="151"/>
      <c r="X967" s="170" t="str">
        <f t="shared" si="23"/>
        <v>1w</v>
      </c>
      <c r="Y967" s="168">
        <f>_xll.qlCalendarAdvance(LiborCalendar,Y966,X967,"f",FALSE)</f>
        <v>45916</v>
      </c>
      <c r="Z967" s="171">
        <f>_xll.qlInterestRateIndexValueDate(IborIndex,Y967,Trigger)</f>
        <v>45918</v>
      </c>
      <c r="AA967" s="172">
        <v>9.8936757316771956E-3</v>
      </c>
      <c r="AB967" s="169">
        <v>9.8607009532081236E-3</v>
      </c>
    </row>
    <row r="968" spans="20:28" x14ac:dyDescent="0.2">
      <c r="T968" s="130"/>
      <c r="U968" s="151"/>
      <c r="X968" s="170" t="str">
        <f t="shared" si="23"/>
        <v>1w</v>
      </c>
      <c r="Y968" s="168">
        <f>_xll.qlCalendarAdvance(LiborCalendar,Y967,X968,"f",FALSE)</f>
        <v>45923</v>
      </c>
      <c r="Z968" s="171">
        <f>_xll.qlInterestRateIndexValueDate(IborIndex,Y968,Trigger)</f>
        <v>45925</v>
      </c>
      <c r="AA968" s="172">
        <v>9.8981353877868033E-3</v>
      </c>
      <c r="AB968" s="169">
        <v>9.8641539188815131E-3</v>
      </c>
    </row>
    <row r="969" spans="20:28" x14ac:dyDescent="0.2">
      <c r="T969" s="130"/>
      <c r="U969" s="151"/>
      <c r="X969" s="170" t="str">
        <f t="shared" si="23"/>
        <v>1w</v>
      </c>
      <c r="Y969" s="168">
        <f>_xll.qlCalendarAdvance(LiborCalendar,Y968,X969,"f",FALSE)</f>
        <v>45930</v>
      </c>
      <c r="Z969" s="171">
        <f>_xll.qlInterestRateIndexValueDate(IborIndex,Y969,Trigger)</f>
        <v>45932</v>
      </c>
      <c r="AA969" s="172">
        <v>9.9011430716454043E-3</v>
      </c>
      <c r="AB969" s="169">
        <v>9.8675481576915303E-3</v>
      </c>
    </row>
    <row r="970" spans="20:28" x14ac:dyDescent="0.2">
      <c r="T970" s="130"/>
      <c r="U970" s="151"/>
      <c r="X970" s="170" t="str">
        <f t="shared" si="23"/>
        <v>1w</v>
      </c>
      <c r="Y970" s="168">
        <f>_xll.qlCalendarAdvance(LiborCalendar,Y969,X970,"f",FALSE)</f>
        <v>45937</v>
      </c>
      <c r="Z970" s="171">
        <f>_xll.qlInterestRateIndexValueDate(IborIndex,Y970,Trigger)</f>
        <v>45939</v>
      </c>
      <c r="AA970" s="172">
        <v>9.903084739328015E-3</v>
      </c>
      <c r="AB970" s="169">
        <v>9.8708836695582391E-3</v>
      </c>
    </row>
    <row r="971" spans="20:28" x14ac:dyDescent="0.2">
      <c r="T971" s="130"/>
      <c r="U971" s="151"/>
      <c r="X971" s="170" t="str">
        <f t="shared" si="23"/>
        <v>1w</v>
      </c>
      <c r="Y971" s="168">
        <f>_xll.qlCalendarAdvance(LiborCalendar,Y970,X971,"f",FALSE)</f>
        <v>45944</v>
      </c>
      <c r="Z971" s="171">
        <f>_xll.qlInterestRateIndexValueDate(IborIndex,Y971,Trigger)</f>
        <v>45946</v>
      </c>
      <c r="AA971" s="172">
        <v>9.9059870473428013E-3</v>
      </c>
      <c r="AB971" s="169">
        <v>9.8741604544816397E-3</v>
      </c>
    </row>
    <row r="972" spans="20:28" x14ac:dyDescent="0.2">
      <c r="T972" s="130"/>
      <c r="U972" s="151"/>
      <c r="X972" s="170" t="str">
        <f t="shared" si="23"/>
        <v>1w</v>
      </c>
      <c r="Y972" s="168">
        <f>_xll.qlCalendarAdvance(LiborCalendar,Y971,X972,"f",FALSE)</f>
        <v>45951</v>
      </c>
      <c r="Z972" s="171">
        <f>_xll.qlInterestRateIndexValueDate(IborIndex,Y972,Trigger)</f>
        <v>45953</v>
      </c>
      <c r="AA972" s="172">
        <v>9.9088304834528476E-3</v>
      </c>
      <c r="AB972" s="169">
        <v>9.877378512541668E-3</v>
      </c>
    </row>
    <row r="973" spans="20:28" x14ac:dyDescent="0.2">
      <c r="T973" s="130"/>
      <c r="U973" s="151"/>
      <c r="X973" s="170" t="str">
        <f t="shared" si="23"/>
        <v>1w</v>
      </c>
      <c r="Y973" s="168">
        <f>_xll.qlCalendarAdvance(LiborCalendar,Y972,X973,"f",FALSE)</f>
        <v>45958</v>
      </c>
      <c r="Z973" s="171">
        <f>_xll.qlInterestRateIndexValueDate(IborIndex,Y973,Trigger)</f>
        <v>45960</v>
      </c>
      <c r="AA973" s="172">
        <v>9.9116150475304261E-3</v>
      </c>
      <c r="AB973" s="169">
        <v>9.8805378436583879E-3</v>
      </c>
    </row>
    <row r="974" spans="20:28" x14ac:dyDescent="0.2">
      <c r="T974" s="130"/>
      <c r="U974" s="151"/>
      <c r="X974" s="170" t="str">
        <f t="shared" si="23"/>
        <v>1w</v>
      </c>
      <c r="Y974" s="168">
        <f>_xll.qlCalendarAdvance(LiborCalendar,Y973,X974,"f",FALSE)</f>
        <v>45965</v>
      </c>
      <c r="Z974" s="171">
        <f>_xll.qlInterestRateIndexValueDate(IborIndex,Y974,Trigger)</f>
        <v>45967</v>
      </c>
      <c r="AA974" s="172">
        <v>9.9143407394504217E-3</v>
      </c>
      <c r="AB974" s="169">
        <v>9.8836384478317996E-3</v>
      </c>
    </row>
    <row r="975" spans="20:28" x14ac:dyDescent="0.2">
      <c r="T975" s="130"/>
      <c r="U975" s="151"/>
      <c r="X975" s="170" t="str">
        <f t="shared" si="23"/>
        <v>1w</v>
      </c>
      <c r="Y975" s="168">
        <f>_xll.qlCalendarAdvance(LiborCalendar,Y974,X975,"f",FALSE)</f>
        <v>45972</v>
      </c>
      <c r="Z975" s="171">
        <f>_xll.qlInterestRateIndexValueDate(IborIndex,Y975,Trigger)</f>
        <v>45974</v>
      </c>
      <c r="AA975" s="172">
        <v>9.9170075590894538E-3</v>
      </c>
      <c r="AB975" s="169">
        <v>9.8866803250619029E-3</v>
      </c>
    </row>
    <row r="976" spans="20:28" x14ac:dyDescent="0.2">
      <c r="T976" s="130"/>
      <c r="U976" s="151"/>
      <c r="X976" s="170" t="str">
        <f t="shared" si="23"/>
        <v>1w</v>
      </c>
      <c r="Y976" s="168">
        <f>_xll.qlCalendarAdvance(LiborCalendar,Y975,X976,"f",FALSE)</f>
        <v>45979</v>
      </c>
      <c r="Z976" s="171">
        <f>_xll.qlInterestRateIndexValueDate(IborIndex,Y976,Trigger)</f>
        <v>45981</v>
      </c>
      <c r="AA976" s="172">
        <v>9.9196155063276184E-3</v>
      </c>
      <c r="AB976" s="169">
        <v>9.8896634753486978E-3</v>
      </c>
    </row>
    <row r="977" spans="20:28" x14ac:dyDescent="0.2">
      <c r="T977" s="130"/>
      <c r="U977" s="151"/>
      <c r="X977" s="170" t="str">
        <f t="shared" si="23"/>
        <v>1w</v>
      </c>
      <c r="Y977" s="168">
        <f>_xll.qlCalendarAdvance(LiborCalendar,Y976,X977,"f",FALSE)</f>
        <v>45986</v>
      </c>
      <c r="Z977" s="171">
        <f>_xll.qlInterestRateIndexValueDate(IborIndex,Y977,Trigger)</f>
        <v>45988</v>
      </c>
      <c r="AA977" s="172">
        <v>9.9221645810476187E-3</v>
      </c>
      <c r="AB977" s="169">
        <v>9.8925878987721205E-3</v>
      </c>
    </row>
    <row r="978" spans="20:28" x14ac:dyDescent="0.2">
      <c r="T978" s="130"/>
      <c r="U978" s="151"/>
      <c r="X978" s="170" t="str">
        <f t="shared" si="23"/>
        <v>1w</v>
      </c>
      <c r="Y978" s="168">
        <f>_xll.qlCalendarAdvance(LiborCalendar,Y977,X978,"f",FALSE)</f>
        <v>45993</v>
      </c>
      <c r="Z978" s="171">
        <f>_xll.qlInterestRateIndexValueDate(IborIndex,Y978,Trigger)</f>
        <v>45995</v>
      </c>
      <c r="AA978" s="172">
        <v>9.9240475141515461E-3</v>
      </c>
      <c r="AB978" s="169">
        <v>9.8954535951722988E-3</v>
      </c>
    </row>
    <row r="979" spans="20:28" x14ac:dyDescent="0.2">
      <c r="T979" s="130"/>
      <c r="U979" s="151"/>
      <c r="X979" s="170" t="str">
        <f t="shared" si="23"/>
        <v>1w</v>
      </c>
      <c r="Y979" s="168">
        <f>_xll.qlCalendarAdvance(LiborCalendar,Y978,X979,"f",FALSE)</f>
        <v>46000</v>
      </c>
      <c r="Z979" s="171">
        <f>_xll.qlInterestRateIndexValueDate(IborIndex,Y979,Trigger)</f>
        <v>46002</v>
      </c>
      <c r="AA979" s="172">
        <v>9.9264871195465787E-3</v>
      </c>
      <c r="AB979" s="169">
        <v>9.8982605647091049E-3</v>
      </c>
    </row>
    <row r="980" spans="20:28" x14ac:dyDescent="0.2">
      <c r="T980" s="130"/>
      <c r="U980" s="151"/>
      <c r="X980" s="170" t="str">
        <f t="shared" si="23"/>
        <v>1w</v>
      </c>
      <c r="Y980" s="168">
        <f>_xll.qlCalendarAdvance(LiborCalendar,Y979,X980,"f",FALSE)</f>
        <v>46007</v>
      </c>
      <c r="Z980" s="171">
        <f>_xll.qlInterestRateIndexValueDate(IborIndex,Y980,Trigger)</f>
        <v>46009</v>
      </c>
      <c r="AA980" s="172">
        <v>9.9288678553124399E-3</v>
      </c>
      <c r="AB980" s="169">
        <v>9.9010088072226665E-3</v>
      </c>
    </row>
    <row r="981" spans="20:28" x14ac:dyDescent="0.2">
      <c r="T981" s="130"/>
      <c r="U981" s="151"/>
      <c r="X981" s="170" t="str">
        <f t="shared" ref="X981:X1044" si="24">X980</f>
        <v>1w</v>
      </c>
      <c r="Y981" s="168">
        <f>_xll.qlCalendarAdvance(LiborCalendar,Y980,X981,"f",FALSE)</f>
        <v>46014</v>
      </c>
      <c r="Z981" s="171">
        <f>_xll.qlInterestRateIndexValueDate(IborIndex,Y981,Trigger)</f>
        <v>46020</v>
      </c>
      <c r="AA981" s="172">
        <v>9.9327791138042361E-3</v>
      </c>
      <c r="AB981" s="169">
        <v>9.9052088217987944E-3</v>
      </c>
    </row>
    <row r="982" spans="20:28" x14ac:dyDescent="0.2">
      <c r="T982" s="130"/>
      <c r="U982" s="151"/>
      <c r="X982" s="170" t="str">
        <f t="shared" si="24"/>
        <v>1w</v>
      </c>
      <c r="Y982" s="168">
        <f>_xll.qlCalendarAdvance(LiborCalendar,Y981,X982,"f",FALSE)</f>
        <v>46021</v>
      </c>
      <c r="Z982" s="171">
        <f>_xll.qlInterestRateIndexValueDate(IborIndex,Y982,Trigger)</f>
        <v>46027</v>
      </c>
      <c r="AA982" s="172">
        <v>9.9352888360860134E-3</v>
      </c>
      <c r="AB982" s="169">
        <v>9.9078060521495814E-3</v>
      </c>
    </row>
    <row r="983" spans="20:28" x14ac:dyDescent="0.2">
      <c r="T983" s="130"/>
      <c r="U983" s="151"/>
      <c r="X983" s="170" t="str">
        <f t="shared" si="24"/>
        <v>1w</v>
      </c>
      <c r="Y983" s="168">
        <f>_xll.qlCalendarAdvance(LiborCalendar,Y982,X983,"f",FALSE)</f>
        <v>46028</v>
      </c>
      <c r="Z983" s="171">
        <f>_xll.qlInterestRateIndexValueDate(IborIndex,Y983,Trigger)</f>
        <v>46030</v>
      </c>
      <c r="AA983" s="172">
        <v>9.9356568438002668E-3</v>
      </c>
      <c r="AB983" s="169">
        <v>9.9089011733433097E-3</v>
      </c>
    </row>
    <row r="984" spans="20:28" x14ac:dyDescent="0.2">
      <c r="T984" s="130"/>
      <c r="U984" s="151"/>
      <c r="X984" s="170" t="str">
        <f t="shared" si="24"/>
        <v>1w</v>
      </c>
      <c r="Y984" s="168">
        <f>_xll.qlCalendarAdvance(LiborCalendar,Y983,X984,"f",FALSE)</f>
        <v>46035</v>
      </c>
      <c r="Z984" s="171">
        <f>_xll.qlInterestRateIndexValueDate(IborIndex,Y984,Trigger)</f>
        <v>46037</v>
      </c>
      <c r="AA984" s="172">
        <v>9.937802100028037E-3</v>
      </c>
      <c r="AB984" s="169">
        <v>9.9114145081635741E-3</v>
      </c>
    </row>
    <row r="985" spans="20:28" x14ac:dyDescent="0.2">
      <c r="T985" s="130"/>
      <c r="U985" s="151"/>
      <c r="X985" s="170" t="str">
        <f t="shared" si="24"/>
        <v>1w</v>
      </c>
      <c r="Y985" s="168">
        <f>_xll.qlCalendarAdvance(LiborCalendar,Y984,X985,"f",FALSE)</f>
        <v>46042</v>
      </c>
      <c r="Z985" s="171">
        <f>_xll.qlInterestRateIndexValueDate(IborIndex,Y985,Trigger)</f>
        <v>46044</v>
      </c>
      <c r="AA985" s="172">
        <v>9.9398884861283676E-3</v>
      </c>
      <c r="AB985" s="169">
        <v>9.9138691159605941E-3</v>
      </c>
    </row>
    <row r="986" spans="20:28" x14ac:dyDescent="0.2">
      <c r="T986" s="130"/>
      <c r="U986" s="151"/>
      <c r="X986" s="170" t="str">
        <f t="shared" si="24"/>
        <v>1w</v>
      </c>
      <c r="Y986" s="168">
        <f>_xll.qlCalendarAdvance(LiborCalendar,Y985,X986,"f",FALSE)</f>
        <v>46049</v>
      </c>
      <c r="Z986" s="171">
        <f>_xll.qlInterestRateIndexValueDate(IborIndex,Y986,Trigger)</f>
        <v>46051</v>
      </c>
      <c r="AA986" s="172">
        <v>9.9419160020097763E-3</v>
      </c>
      <c r="AB986" s="169">
        <v>9.9162649968942418E-3</v>
      </c>
    </row>
    <row r="987" spans="20:28" x14ac:dyDescent="0.2">
      <c r="T987" s="130"/>
      <c r="U987" s="151"/>
      <c r="X987" s="170" t="str">
        <f t="shared" si="24"/>
        <v>1w</v>
      </c>
      <c r="Y987" s="168">
        <f>_xll.qlCalendarAdvance(LiborCalendar,Y986,X987,"f",FALSE)</f>
        <v>46056</v>
      </c>
      <c r="Z987" s="171">
        <f>_xll.qlInterestRateIndexValueDate(IborIndex,Y987,Trigger)</f>
        <v>46058</v>
      </c>
      <c r="AA987" s="172">
        <v>9.9436177272320351E-3</v>
      </c>
      <c r="AB987" s="169">
        <v>9.9186021509645173E-3</v>
      </c>
    </row>
    <row r="988" spans="20:28" x14ac:dyDescent="0.2">
      <c r="T988" s="130"/>
      <c r="U988" s="151"/>
      <c r="X988" s="170" t="str">
        <f t="shared" si="24"/>
        <v>1w</v>
      </c>
      <c r="Y988" s="168">
        <f>_xll.qlCalendarAdvance(LiborCalendar,Y987,X988,"f",FALSE)</f>
        <v>46063</v>
      </c>
      <c r="Z988" s="171">
        <f>_xll.qlInterestRateIndexValueDate(IborIndex,Y988,Trigger)</f>
        <v>46065</v>
      </c>
      <c r="AA988" s="172">
        <v>9.9455316546387083E-3</v>
      </c>
      <c r="AB988" s="169">
        <v>9.9208805779316123E-3</v>
      </c>
    </row>
    <row r="989" spans="20:28" x14ac:dyDescent="0.2">
      <c r="T989" s="130"/>
      <c r="U989" s="151"/>
      <c r="X989" s="170" t="str">
        <f t="shared" si="24"/>
        <v>1w</v>
      </c>
      <c r="Y989" s="168">
        <f>_xll.qlCalendarAdvance(LiborCalendar,Y988,X989,"f",FALSE)</f>
        <v>46070</v>
      </c>
      <c r="Z989" s="171">
        <f>_xll.qlInterestRateIndexValueDate(IborIndex,Y989,Trigger)</f>
        <v>46072</v>
      </c>
      <c r="AA989" s="172">
        <v>9.9473870454792248E-3</v>
      </c>
      <c r="AB989" s="169">
        <v>9.923100278035335E-3</v>
      </c>
    </row>
    <row r="990" spans="20:28" x14ac:dyDescent="0.2">
      <c r="T990" s="130"/>
      <c r="U990" s="151"/>
      <c r="X990" s="170" t="str">
        <f t="shared" si="24"/>
        <v>1w</v>
      </c>
      <c r="Y990" s="168">
        <f>_xll.qlCalendarAdvance(LiborCalendar,Y989,X990,"f",FALSE)</f>
        <v>46077</v>
      </c>
      <c r="Z990" s="171">
        <f>_xll.qlInterestRateIndexValueDate(IborIndex,Y990,Trigger)</f>
        <v>46079</v>
      </c>
      <c r="AA990" s="172">
        <v>9.94918981344739E-3</v>
      </c>
      <c r="AB990" s="169">
        <v>9.9252612511158134E-3</v>
      </c>
    </row>
    <row r="991" spans="20:28" x14ac:dyDescent="0.2">
      <c r="T991" s="130"/>
      <c r="U991" s="151"/>
      <c r="X991" s="170" t="str">
        <f t="shared" si="24"/>
        <v>1w</v>
      </c>
      <c r="Y991" s="168">
        <f>_xll.qlCalendarAdvance(LiborCalendar,Y990,X991,"f",FALSE)</f>
        <v>46084</v>
      </c>
      <c r="Z991" s="171">
        <f>_xll.qlInterestRateIndexValueDate(IborIndex,Y991,Trigger)</f>
        <v>46086</v>
      </c>
      <c r="AA991" s="172">
        <v>9.9517164730193921E-3</v>
      </c>
      <c r="AB991" s="169">
        <v>9.9273634973329195E-3</v>
      </c>
    </row>
    <row r="992" spans="20:28" x14ac:dyDescent="0.2">
      <c r="T992" s="130"/>
      <c r="U992" s="151"/>
      <c r="X992" s="170" t="str">
        <f t="shared" si="24"/>
        <v>1w</v>
      </c>
      <c r="Y992" s="168">
        <f>_xll.qlCalendarAdvance(LiborCalendar,Y991,X992,"f",FALSE)</f>
        <v>46091</v>
      </c>
      <c r="Z992" s="171">
        <f>_xll.qlInterestRateIndexValueDate(IborIndex,Y992,Trigger)</f>
        <v>46093</v>
      </c>
      <c r="AA992" s="172">
        <v>9.9534461969973554E-3</v>
      </c>
      <c r="AB992" s="169">
        <v>9.9294070165267811E-3</v>
      </c>
    </row>
    <row r="993" spans="20:28" x14ac:dyDescent="0.2">
      <c r="T993" s="130"/>
      <c r="U993" s="151"/>
      <c r="X993" s="170" t="str">
        <f t="shared" si="24"/>
        <v>1w</v>
      </c>
      <c r="Y993" s="168">
        <f>_xll.qlCalendarAdvance(LiborCalendar,Y992,X993,"f",FALSE)</f>
        <v>46098</v>
      </c>
      <c r="Z993" s="171">
        <f>_xll.qlInterestRateIndexValueDate(IborIndex,Y993,Trigger)</f>
        <v>46100</v>
      </c>
      <c r="AA993" s="172">
        <v>9.955158397904498E-3</v>
      </c>
      <c r="AB993" s="169">
        <v>9.9313918088572706E-3</v>
      </c>
    </row>
    <row r="994" spans="20:28" x14ac:dyDescent="0.2">
      <c r="T994" s="130"/>
      <c r="U994" s="151"/>
      <c r="X994" s="170" t="str">
        <f t="shared" si="24"/>
        <v>1w</v>
      </c>
      <c r="Y994" s="168">
        <f>_xll.qlCalendarAdvance(LiborCalendar,Y993,X994,"f",FALSE)</f>
        <v>46105</v>
      </c>
      <c r="Z994" s="171">
        <f>_xll.qlInterestRateIndexValueDate(IborIndex,Y994,Trigger)</f>
        <v>46107</v>
      </c>
      <c r="AA994" s="172">
        <v>9.9568634134515072E-3</v>
      </c>
      <c r="AB994" s="169">
        <v>9.9333178741645156E-3</v>
      </c>
    </row>
    <row r="995" spans="20:28" x14ac:dyDescent="0.2">
      <c r="T995" s="130"/>
      <c r="U995" s="151"/>
      <c r="X995" s="170" t="str">
        <f t="shared" si="24"/>
        <v>1w</v>
      </c>
      <c r="Y995" s="168">
        <f>_xll.qlCalendarAdvance(LiborCalendar,Y994,X995,"f",FALSE)</f>
        <v>46112</v>
      </c>
      <c r="Z995" s="171">
        <f>_xll.qlInterestRateIndexValueDate(IborIndex,Y995,Trigger)</f>
        <v>46114</v>
      </c>
      <c r="AA995" s="172">
        <v>9.958309350049311E-3</v>
      </c>
      <c r="AB995" s="169">
        <v>9.9362552026729389E-3</v>
      </c>
    </row>
    <row r="996" spans="20:28" x14ac:dyDescent="0.2">
      <c r="T996" s="130"/>
      <c r="U996" s="151"/>
      <c r="X996" s="170" t="str">
        <f t="shared" si="24"/>
        <v>1w</v>
      </c>
      <c r="Y996" s="168">
        <f>_xll.qlCalendarAdvance(LiborCalendar,Y995,X996,"f",FALSE)</f>
        <v>46119</v>
      </c>
      <c r="Z996" s="171">
        <f>_xll.qlInterestRateIndexValueDate(IborIndex,Y996,Trigger)</f>
        <v>46121</v>
      </c>
      <c r="AA996" s="172">
        <v>9.9600272744577532E-3</v>
      </c>
      <c r="AB996" s="169">
        <v>9.9369938239490807E-3</v>
      </c>
    </row>
    <row r="997" spans="20:28" x14ac:dyDescent="0.2">
      <c r="T997" s="130"/>
      <c r="U997" s="151"/>
      <c r="X997" s="170" t="str">
        <f t="shared" si="24"/>
        <v>1w</v>
      </c>
      <c r="Y997" s="168">
        <f>_xll.qlCalendarAdvance(LiborCalendar,Y996,X997,"f",FALSE)</f>
        <v>46126</v>
      </c>
      <c r="Z997" s="171">
        <f>_xll.qlInterestRateIndexValueDate(IborIndex,Y997,Trigger)</f>
        <v>46128</v>
      </c>
      <c r="AA997" s="172">
        <v>9.9617684418526319E-3</v>
      </c>
      <c r="AB997" s="169">
        <v>9.9387437084264008E-3</v>
      </c>
    </row>
    <row r="998" spans="20:28" x14ac:dyDescent="0.2">
      <c r="T998" s="130"/>
      <c r="U998" s="151"/>
      <c r="X998" s="170" t="str">
        <f t="shared" si="24"/>
        <v>1w</v>
      </c>
      <c r="Y998" s="168">
        <f>_xll.qlCalendarAdvance(LiborCalendar,Y997,X998,"f",FALSE)</f>
        <v>46133</v>
      </c>
      <c r="Z998" s="171">
        <f>_xll.qlInterestRateIndexValueDate(IborIndex,Y998,Trigger)</f>
        <v>46135</v>
      </c>
      <c r="AA998" s="172">
        <v>9.9635433033297624E-3</v>
      </c>
      <c r="AB998" s="169">
        <v>9.9404348659604125E-3</v>
      </c>
    </row>
    <row r="999" spans="20:28" x14ac:dyDescent="0.2">
      <c r="T999" s="130"/>
      <c r="U999" s="151"/>
      <c r="X999" s="170" t="str">
        <f t="shared" si="24"/>
        <v>1w</v>
      </c>
      <c r="Y999" s="168">
        <f>_xll.qlCalendarAdvance(LiborCalendar,Y998,X999,"f",FALSE)</f>
        <v>46140</v>
      </c>
      <c r="Z999" s="171">
        <f>_xll.qlInterestRateIndexValueDate(IborIndex,Y999,Trigger)</f>
        <v>46142</v>
      </c>
      <c r="AA999" s="172">
        <v>9.9656425319054522E-3</v>
      </c>
      <c r="AB999" s="169">
        <v>9.9420672964711798E-3</v>
      </c>
    </row>
    <row r="1000" spans="20:28" x14ac:dyDescent="0.2">
      <c r="T1000" s="130"/>
      <c r="U1000" s="151"/>
      <c r="X1000" s="170" t="str">
        <f t="shared" si="24"/>
        <v>1w</v>
      </c>
      <c r="Y1000" s="168">
        <f>_xll.qlCalendarAdvance(LiborCalendar,Y999,X1000,"f",FALSE)</f>
        <v>46147</v>
      </c>
      <c r="Z1000" s="171">
        <f>_xll.qlInterestRateIndexValueDate(IborIndex,Y1000,Trigger)</f>
        <v>46149</v>
      </c>
      <c r="AA1000" s="172">
        <v>9.9675215282248597E-3</v>
      </c>
      <c r="AB1000" s="169">
        <v>9.9436410001185749E-3</v>
      </c>
    </row>
    <row r="1001" spans="20:28" x14ac:dyDescent="0.2">
      <c r="T1001" s="130"/>
      <c r="U1001" s="151"/>
      <c r="X1001" s="170" t="str">
        <f t="shared" si="24"/>
        <v>1w</v>
      </c>
      <c r="Y1001" s="168">
        <f>_xll.qlCalendarAdvance(LiborCalendar,Y1000,X1001,"f",FALSE)</f>
        <v>46154</v>
      </c>
      <c r="Z1001" s="171">
        <f>_xll.qlInterestRateIndexValueDate(IborIndex,Y1001,Trigger)</f>
        <v>46157</v>
      </c>
      <c r="AA1001" s="172">
        <v>9.9703348383613829E-3</v>
      </c>
      <c r="AB1001" s="169">
        <v>9.9458565551380218E-3</v>
      </c>
    </row>
    <row r="1002" spans="20:28" x14ac:dyDescent="0.2">
      <c r="T1002" s="130"/>
      <c r="U1002" s="151"/>
      <c r="X1002" s="170" t="str">
        <f t="shared" si="24"/>
        <v>1w</v>
      </c>
      <c r="Y1002" s="168">
        <f>_xll.qlCalendarAdvance(LiborCalendar,Y1001,X1002,"f",FALSE)</f>
        <v>46161</v>
      </c>
      <c r="Z1002" s="171">
        <f>_xll.qlInterestRateIndexValueDate(IborIndex,Y1002,Trigger)</f>
        <v>46163</v>
      </c>
      <c r="AA1002" s="172">
        <v>9.9714843111136497E-3</v>
      </c>
      <c r="AB1002" s="169">
        <v>9.9466707699935597E-3</v>
      </c>
    </row>
    <row r="1003" spans="20:28" x14ac:dyDescent="0.2">
      <c r="T1003" s="130"/>
      <c r="U1003" s="151"/>
      <c r="X1003" s="170" t="str">
        <f t="shared" si="24"/>
        <v>1w</v>
      </c>
      <c r="Y1003" s="168">
        <f>_xll.qlCalendarAdvance(LiborCalendar,Y1002,X1003,"f",FALSE)</f>
        <v>46168</v>
      </c>
      <c r="Z1003" s="171">
        <f>_xll.qlInterestRateIndexValueDate(IborIndex,Y1003,Trigger)</f>
        <v>46170</v>
      </c>
      <c r="AA1003" s="172">
        <v>9.9735799074700936E-3</v>
      </c>
      <c r="AB1003" s="169">
        <v>9.9482619016200147E-3</v>
      </c>
    </row>
    <row r="1004" spans="20:28" x14ac:dyDescent="0.2">
      <c r="T1004" s="130"/>
      <c r="U1004" s="151"/>
      <c r="X1004" s="170" t="str">
        <f t="shared" si="24"/>
        <v>1w</v>
      </c>
      <c r="Y1004" s="168">
        <f>_xll.qlCalendarAdvance(LiborCalendar,Y1003,X1004,"f",FALSE)</f>
        <v>46175</v>
      </c>
      <c r="Z1004" s="171">
        <f>_xll.qlInterestRateIndexValueDate(IborIndex,Y1004,Trigger)</f>
        <v>46177</v>
      </c>
      <c r="AA1004" s="172">
        <v>9.9757524978898362E-3</v>
      </c>
      <c r="AB1004" s="169">
        <v>9.9499298326133356E-3</v>
      </c>
    </row>
    <row r="1005" spans="20:28" x14ac:dyDescent="0.2">
      <c r="T1005" s="130"/>
      <c r="U1005" s="151"/>
      <c r="X1005" s="170" t="str">
        <f t="shared" si="24"/>
        <v>1w</v>
      </c>
      <c r="Y1005" s="168">
        <f>_xll.qlCalendarAdvance(LiborCalendar,Y1004,X1005,"f",FALSE)</f>
        <v>46182</v>
      </c>
      <c r="Z1005" s="171">
        <f>_xll.qlInterestRateIndexValueDate(IborIndex,Y1005,Trigger)</f>
        <v>46184</v>
      </c>
      <c r="AA1005" s="172">
        <v>9.9780020825023397E-3</v>
      </c>
      <c r="AB1005" s="169">
        <v>9.9516745628136505E-3</v>
      </c>
    </row>
    <row r="1006" spans="20:28" x14ac:dyDescent="0.2">
      <c r="T1006" s="130"/>
      <c r="U1006" s="151"/>
      <c r="X1006" s="170" t="str">
        <f t="shared" si="24"/>
        <v>1w</v>
      </c>
      <c r="Y1006" s="168">
        <f>_xll.qlCalendarAdvance(LiborCalendar,Y1005,X1006,"f",FALSE)</f>
        <v>46189</v>
      </c>
      <c r="Z1006" s="171">
        <f>_xll.qlInterestRateIndexValueDate(IborIndex,Y1006,Trigger)</f>
        <v>46191</v>
      </c>
      <c r="AA1006" s="172">
        <v>9.9803286614405396E-3</v>
      </c>
      <c r="AB1006" s="169">
        <v>9.9534960923808313E-3</v>
      </c>
    </row>
    <row r="1007" spans="20:28" x14ac:dyDescent="0.2">
      <c r="T1007" s="130"/>
      <c r="U1007" s="151"/>
      <c r="X1007" s="170" t="str">
        <f t="shared" si="24"/>
        <v>1w</v>
      </c>
      <c r="Y1007" s="168">
        <f>_xll.qlCalendarAdvance(LiborCalendar,Y1006,X1007,"f",FALSE)</f>
        <v>46196</v>
      </c>
      <c r="Z1007" s="171">
        <f>_xll.qlInterestRateIndexValueDate(IborIndex,Y1007,Trigger)</f>
        <v>46198</v>
      </c>
      <c r="AA1007" s="172">
        <v>9.9827322348391145E-3</v>
      </c>
      <c r="AB1007" s="169">
        <v>9.9553944211550061E-3</v>
      </c>
    </row>
    <row r="1008" spans="20:28" x14ac:dyDescent="0.2">
      <c r="T1008" s="130"/>
      <c r="U1008" s="151"/>
      <c r="X1008" s="170" t="str">
        <f t="shared" si="24"/>
        <v>1w</v>
      </c>
      <c r="Y1008" s="168">
        <f>_xll.qlCalendarAdvance(LiborCalendar,Y1007,X1008,"f",FALSE)</f>
        <v>46203</v>
      </c>
      <c r="Z1008" s="171">
        <f>_xll.qlInterestRateIndexValueDate(IborIndex,Y1008,Trigger)</f>
        <v>46205</v>
      </c>
      <c r="AA1008" s="172">
        <v>9.9852128028414238E-3</v>
      </c>
      <c r="AB1008" s="169">
        <v>9.9573695492161107E-3</v>
      </c>
    </row>
    <row r="1009" spans="20:28" x14ac:dyDescent="0.2">
      <c r="T1009" s="130"/>
      <c r="U1009" s="151"/>
      <c r="X1009" s="170" t="str">
        <f t="shared" si="24"/>
        <v>1w</v>
      </c>
      <c r="Y1009" s="168">
        <f>_xll.qlCalendarAdvance(LiborCalendar,Y1008,X1009,"f",FALSE)</f>
        <v>46210</v>
      </c>
      <c r="Z1009" s="171">
        <f>_xll.qlInterestRateIndexValueDate(IborIndex,Y1009,Trigger)</f>
        <v>46212</v>
      </c>
      <c r="AA1009" s="172">
        <v>9.9877703655934392E-3</v>
      </c>
      <c r="AB1009" s="169">
        <v>9.9594214766440814E-3</v>
      </c>
    </row>
    <row r="1010" spans="20:28" x14ac:dyDescent="0.2">
      <c r="T1010" s="130"/>
      <c r="U1010" s="151"/>
      <c r="X1010" s="170" t="str">
        <f t="shared" si="24"/>
        <v>1w</v>
      </c>
      <c r="Y1010" s="168">
        <f>_xll.qlCalendarAdvance(LiborCalendar,Y1009,X1010,"f",FALSE)</f>
        <v>46217</v>
      </c>
      <c r="Z1010" s="171">
        <f>_xll.qlInterestRateIndexValueDate(IborIndex,Y1010,Trigger)</f>
        <v>46219</v>
      </c>
      <c r="AA1010" s="172">
        <v>9.9904049232446088E-3</v>
      </c>
      <c r="AB1010" s="169">
        <v>9.961550203358982E-3</v>
      </c>
    </row>
    <row r="1011" spans="20:28" x14ac:dyDescent="0.2">
      <c r="T1011" s="130"/>
      <c r="U1011" s="151"/>
      <c r="X1011" s="170" t="str">
        <f t="shared" si="24"/>
        <v>1w</v>
      </c>
      <c r="Y1011" s="168">
        <f>_xll.qlCalendarAdvance(LiborCalendar,Y1010,X1011,"f",FALSE)</f>
        <v>46224</v>
      </c>
      <c r="Z1011" s="171">
        <f>_xll.qlInterestRateIndexValueDate(IborIndex,Y1011,Trigger)</f>
        <v>46226</v>
      </c>
      <c r="AA1011" s="172">
        <v>9.993116475951325E-3</v>
      </c>
      <c r="AB1011" s="169">
        <v>9.9637557293608126E-3</v>
      </c>
    </row>
    <row r="1012" spans="20:28" x14ac:dyDescent="0.2">
      <c r="T1012" s="130"/>
      <c r="U1012" s="151"/>
      <c r="X1012" s="170" t="str">
        <f t="shared" si="24"/>
        <v>1w</v>
      </c>
      <c r="Y1012" s="168">
        <f>_xll.qlCalendarAdvance(LiborCalendar,Y1011,X1012,"f",FALSE)</f>
        <v>46231</v>
      </c>
      <c r="Z1012" s="171">
        <f>_xll.qlInterestRateIndexValueDate(IborIndex,Y1012,Trigger)</f>
        <v>46233</v>
      </c>
      <c r="AA1012" s="172">
        <v>9.9959050238734633E-3</v>
      </c>
      <c r="AB1012" s="169">
        <v>9.9660380547295091E-3</v>
      </c>
    </row>
    <row r="1013" spans="20:28" x14ac:dyDescent="0.2">
      <c r="T1013" s="130"/>
      <c r="U1013" s="151"/>
      <c r="X1013" s="170" t="str">
        <f t="shared" si="24"/>
        <v>1w</v>
      </c>
      <c r="Y1013" s="168">
        <f>_xll.qlCalendarAdvance(LiborCalendar,Y1012,X1013,"f",FALSE)</f>
        <v>46238</v>
      </c>
      <c r="Z1013" s="171">
        <f>_xll.qlInterestRateIndexValueDate(IborIndex,Y1013,Trigger)</f>
        <v>46240</v>
      </c>
      <c r="AA1013" s="172">
        <v>9.9987705671734997E-3</v>
      </c>
      <c r="AB1013" s="169">
        <v>9.9683971793051995E-3</v>
      </c>
    </row>
    <row r="1014" spans="20:28" x14ac:dyDescent="0.2">
      <c r="T1014" s="130"/>
      <c r="U1014" s="151"/>
      <c r="X1014" s="170" t="str">
        <f t="shared" si="24"/>
        <v>1w</v>
      </c>
      <c r="Y1014" s="168">
        <f>_xll.qlCalendarAdvance(LiborCalendar,Y1013,X1014,"f",FALSE)</f>
        <v>46245</v>
      </c>
      <c r="Z1014" s="171">
        <f>_xll.qlInterestRateIndexValueDate(IborIndex,Y1014,Trigger)</f>
        <v>46247</v>
      </c>
      <c r="AA1014" s="172">
        <v>1.0001713106021735E-2</v>
      </c>
      <c r="AB1014" s="169">
        <v>9.970833103247756E-3</v>
      </c>
    </row>
    <row r="1015" spans="20:28" x14ac:dyDescent="0.2">
      <c r="T1015" s="130"/>
      <c r="U1015" s="151"/>
      <c r="X1015" s="170" t="str">
        <f t="shared" si="24"/>
        <v>1w</v>
      </c>
      <c r="Y1015" s="168">
        <f>_xll.qlCalendarAdvance(LiborCalendar,Y1014,X1015,"f",FALSE)</f>
        <v>46252</v>
      </c>
      <c r="Z1015" s="171">
        <f>_xll.qlInterestRateIndexValueDate(IborIndex,Y1015,Trigger)</f>
        <v>46254</v>
      </c>
      <c r="AA1015" s="172">
        <v>1.0004732640591074E-2</v>
      </c>
      <c r="AB1015" s="169">
        <v>9.9733458264772423E-3</v>
      </c>
    </row>
    <row r="1016" spans="20:28" x14ac:dyDescent="0.2">
      <c r="T1016" s="130"/>
      <c r="U1016" s="151"/>
      <c r="X1016" s="170" t="str">
        <f t="shared" si="24"/>
        <v>1w</v>
      </c>
      <c r="Y1016" s="168">
        <f>_xll.qlCalendarAdvance(LiborCalendar,Y1015,X1016,"f",FALSE)</f>
        <v>46259</v>
      </c>
      <c r="Z1016" s="171">
        <f>_xll.qlInterestRateIndexValueDate(IborIndex,Y1016,Trigger)</f>
        <v>46261</v>
      </c>
      <c r="AA1016" s="172">
        <v>1.0007829171057895E-2</v>
      </c>
      <c r="AB1016" s="169">
        <v>9.9759353489936586E-3</v>
      </c>
    </row>
    <row r="1017" spans="20:28" x14ac:dyDescent="0.2">
      <c r="T1017" s="130"/>
      <c r="U1017" s="151"/>
      <c r="X1017" s="170" t="str">
        <f t="shared" si="24"/>
        <v>1w</v>
      </c>
      <c r="Y1017" s="168">
        <f>_xll.qlCalendarAdvance(LiborCalendar,Y1016,X1017,"f",FALSE)</f>
        <v>46266</v>
      </c>
      <c r="Z1017" s="171">
        <f>_xll.qlInterestRateIndexValueDate(IborIndex,Y1017,Trigger)</f>
        <v>46268</v>
      </c>
      <c r="AA1017" s="172">
        <v>1.0010622414392996E-2</v>
      </c>
      <c r="AB1017" s="169">
        <v>9.9786016707970049E-3</v>
      </c>
    </row>
    <row r="1018" spans="20:28" x14ac:dyDescent="0.2">
      <c r="T1018" s="130"/>
      <c r="U1018" s="151"/>
      <c r="X1018" s="170" t="str">
        <f t="shared" si="24"/>
        <v>1w</v>
      </c>
      <c r="Y1018" s="168">
        <f>_xll.qlCalendarAdvance(LiborCalendar,Y1017,X1018,"f",FALSE)</f>
        <v>46273</v>
      </c>
      <c r="Z1018" s="171">
        <f>_xll.qlInterestRateIndexValueDate(IborIndex,Y1018,Trigger)</f>
        <v>46275</v>
      </c>
      <c r="AA1018" s="172">
        <v>1.0013867347324583E-2</v>
      </c>
      <c r="AB1018" s="169">
        <v>9.9813447919672171E-3</v>
      </c>
    </row>
    <row r="1019" spans="20:28" x14ac:dyDescent="0.2">
      <c r="T1019" s="130"/>
      <c r="U1019" s="151"/>
      <c r="X1019" s="170" t="str">
        <f t="shared" si="24"/>
        <v>1w</v>
      </c>
      <c r="Y1019" s="168">
        <f>_xll.qlCalendarAdvance(LiborCalendar,Y1018,X1019,"f",FALSE)</f>
        <v>46280</v>
      </c>
      <c r="Z1019" s="171">
        <f>_xll.qlInterestRateIndexValueDate(IborIndex,Y1019,Trigger)</f>
        <v>46282</v>
      </c>
      <c r="AA1019" s="172">
        <v>1.001718927453262E-2</v>
      </c>
      <c r="AB1019" s="169">
        <v>9.9841647124243593E-3</v>
      </c>
    </row>
    <row r="1020" spans="20:28" x14ac:dyDescent="0.2">
      <c r="T1020" s="130"/>
      <c r="U1020" s="151"/>
      <c r="X1020" s="170" t="str">
        <f t="shared" si="24"/>
        <v>1w</v>
      </c>
      <c r="Y1020" s="168">
        <f>_xll.qlCalendarAdvance(LiborCalendar,Y1019,X1020,"f",FALSE)</f>
        <v>46287</v>
      </c>
      <c r="Z1020" s="171">
        <f>_xll.qlInterestRateIndexValueDate(IborIndex,Y1020,Trigger)</f>
        <v>46289</v>
      </c>
      <c r="AA1020" s="172">
        <v>1.0020588196210357E-2</v>
      </c>
      <c r="AB1020" s="169">
        <v>9.9870614322483675E-3</v>
      </c>
    </row>
    <row r="1021" spans="20:28" x14ac:dyDescent="0.2">
      <c r="T1021" s="130"/>
      <c r="U1021" s="151"/>
      <c r="X1021" s="170" t="str">
        <f t="shared" si="24"/>
        <v>1w</v>
      </c>
      <c r="Y1021" s="168">
        <f>_xll.qlCalendarAdvance(LiborCalendar,Y1020,X1021,"f",FALSE)</f>
        <v>46294</v>
      </c>
      <c r="Z1021" s="171">
        <f>_xll.qlInterestRateIndexValueDate(IborIndex,Y1021,Trigger)</f>
        <v>46296</v>
      </c>
      <c r="AA1021" s="172">
        <v>1.0025677982328111E-2</v>
      </c>
      <c r="AB1021" s="169">
        <v>9.9900349512793696E-3</v>
      </c>
    </row>
    <row r="1022" spans="20:28" x14ac:dyDescent="0.2">
      <c r="T1022" s="130"/>
      <c r="U1022" s="151"/>
      <c r="X1022" s="170" t="str">
        <f t="shared" si="24"/>
        <v>1w</v>
      </c>
      <c r="Y1022" s="168">
        <f>_xll.qlCalendarAdvance(LiborCalendar,Y1021,X1022,"f",FALSE)</f>
        <v>46301</v>
      </c>
      <c r="Z1022" s="171">
        <f>_xll.qlInterestRateIndexValueDate(IborIndex,Y1022,Trigger)</f>
        <v>46303</v>
      </c>
      <c r="AA1022" s="172">
        <v>1.0028025278261025E-2</v>
      </c>
      <c r="AB1022" s="169">
        <v>9.9930852697571737E-3</v>
      </c>
    </row>
    <row r="1023" spans="20:28" x14ac:dyDescent="0.2">
      <c r="T1023" s="130"/>
      <c r="U1023" s="151"/>
      <c r="X1023" s="170" t="str">
        <f t="shared" si="24"/>
        <v>1w</v>
      </c>
      <c r="Y1023" s="168">
        <f>_xll.qlCalendarAdvance(LiborCalendar,Y1022,X1023,"f",FALSE)</f>
        <v>46308</v>
      </c>
      <c r="Z1023" s="171">
        <f>_xll.qlInterestRateIndexValueDate(IborIndex,Y1023,Trigger)</f>
        <v>46310</v>
      </c>
      <c r="AA1023" s="172">
        <v>1.0031660785378115E-2</v>
      </c>
      <c r="AB1023" s="169">
        <v>9.9962123874419717E-3</v>
      </c>
    </row>
    <row r="1024" spans="20:28" x14ac:dyDescent="0.2">
      <c r="T1024" s="130"/>
      <c r="U1024" s="151"/>
      <c r="X1024" s="170" t="str">
        <f t="shared" si="24"/>
        <v>1w</v>
      </c>
      <c r="Y1024" s="168">
        <f>_xll.qlCalendarAdvance(LiborCalendar,Y1023,X1024,"f",FALSE)</f>
        <v>46315</v>
      </c>
      <c r="Z1024" s="171">
        <f>_xll.qlInterestRateIndexValueDate(IborIndex,Y1024,Trigger)</f>
        <v>46317</v>
      </c>
      <c r="AA1024" s="172">
        <v>1.0035373289979244E-2</v>
      </c>
      <c r="AB1024" s="169">
        <v>9.9994163044936357E-3</v>
      </c>
    </row>
    <row r="1025" spans="20:28" x14ac:dyDescent="0.2">
      <c r="T1025" s="130"/>
      <c r="U1025" s="151"/>
      <c r="X1025" s="170" t="str">
        <f t="shared" si="24"/>
        <v>1w</v>
      </c>
      <c r="Y1025" s="168">
        <f>_xll.qlCalendarAdvance(LiborCalendar,Y1024,X1025,"f",FALSE)</f>
        <v>46322</v>
      </c>
      <c r="Z1025" s="171">
        <f>_xll.qlInterestRateIndexValueDate(IborIndex,Y1025,Trigger)</f>
        <v>46324</v>
      </c>
      <c r="AA1025" s="172">
        <v>1.003916279228337E-2</v>
      </c>
      <c r="AB1025" s="169">
        <v>1.0002697020912166E-2</v>
      </c>
    </row>
    <row r="1026" spans="20:28" x14ac:dyDescent="0.2">
      <c r="T1026" s="130"/>
      <c r="U1026" s="151"/>
      <c r="X1026" s="170" t="str">
        <f t="shared" si="24"/>
        <v>1w</v>
      </c>
      <c r="Y1026" s="168">
        <f>_xll.qlCalendarAdvance(LiborCalendar,Y1025,X1026,"f",FALSE)</f>
        <v>46329</v>
      </c>
      <c r="Z1026" s="171">
        <f>_xll.qlInterestRateIndexValueDate(IborIndex,Y1026,Trigger)</f>
        <v>46331</v>
      </c>
      <c r="AA1026" s="172">
        <v>1.0043029292512055E-2</v>
      </c>
      <c r="AB1026" s="169">
        <v>1.0006054536617626E-2</v>
      </c>
    </row>
    <row r="1027" spans="20:28" x14ac:dyDescent="0.2">
      <c r="T1027" s="130"/>
      <c r="U1027" s="151"/>
      <c r="X1027" s="170" t="str">
        <f t="shared" si="24"/>
        <v>1w</v>
      </c>
      <c r="Y1027" s="168">
        <f>_xll.qlCalendarAdvance(LiborCalendar,Y1026,X1027,"f",FALSE)</f>
        <v>46336</v>
      </c>
      <c r="Z1027" s="171">
        <f>_xll.qlInterestRateIndexValueDate(IborIndex,Y1027,Trigger)</f>
        <v>46338</v>
      </c>
      <c r="AA1027" s="172">
        <v>1.0046972790895546E-2</v>
      </c>
      <c r="AB1027" s="169">
        <v>1.0009488851610016E-2</v>
      </c>
    </row>
    <row r="1028" spans="20:28" x14ac:dyDescent="0.2">
      <c r="T1028" s="130"/>
      <c r="U1028" s="151"/>
      <c r="X1028" s="170" t="str">
        <f t="shared" si="24"/>
        <v>1w</v>
      </c>
      <c r="Y1028" s="168">
        <f>_xll.qlCalendarAdvance(LiborCalendar,Y1027,X1028,"f",FALSE)</f>
        <v>46343</v>
      </c>
      <c r="Z1028" s="171">
        <f>_xll.qlInterestRateIndexValueDate(IborIndex,Y1028,Trigger)</f>
        <v>46345</v>
      </c>
      <c r="AA1028" s="172">
        <v>1.00509932876641E-2</v>
      </c>
      <c r="AB1028" s="169">
        <v>1.0012999966049208E-2</v>
      </c>
    </row>
    <row r="1029" spans="20:28" x14ac:dyDescent="0.2">
      <c r="T1029" s="130"/>
      <c r="U1029" s="151"/>
      <c r="X1029" s="170" t="str">
        <f t="shared" si="24"/>
        <v>1w</v>
      </c>
      <c r="Y1029" s="168">
        <f>_xll.qlCalendarAdvance(LiborCalendar,Y1028,X1029,"f",FALSE)</f>
        <v>46350</v>
      </c>
      <c r="Z1029" s="171">
        <f>_xll.qlInterestRateIndexValueDate(IborIndex,Y1029,Trigger)</f>
        <v>46352</v>
      </c>
      <c r="AA1029" s="172">
        <v>1.0055090783054912E-2</v>
      </c>
      <c r="AB1029" s="169">
        <v>1.0016587879695393E-2</v>
      </c>
    </row>
    <row r="1030" spans="20:28" x14ac:dyDescent="0.2">
      <c r="T1030" s="130"/>
      <c r="U1030" s="151"/>
      <c r="X1030" s="170" t="str">
        <f t="shared" si="24"/>
        <v>1w</v>
      </c>
      <c r="Y1030" s="168">
        <f>_xll.qlCalendarAdvance(LiborCalendar,Y1029,X1030,"f",FALSE)</f>
        <v>46357</v>
      </c>
      <c r="Z1030" s="171">
        <f>_xll.qlInterestRateIndexValueDate(IborIndex,Y1030,Trigger)</f>
        <v>46359</v>
      </c>
      <c r="AA1030" s="172">
        <v>1.0058359575708664E-2</v>
      </c>
      <c r="AB1030" s="169">
        <v>1.0020252592708445E-2</v>
      </c>
    </row>
    <row r="1031" spans="20:28" x14ac:dyDescent="0.2">
      <c r="T1031" s="130"/>
      <c r="U1031" s="151"/>
      <c r="X1031" s="170" t="str">
        <f t="shared" si="24"/>
        <v>1w</v>
      </c>
      <c r="Y1031" s="168">
        <f>_xll.qlCalendarAdvance(LiborCalendar,Y1030,X1031,"f",FALSE)</f>
        <v>46364</v>
      </c>
      <c r="Z1031" s="171">
        <f>_xll.qlInterestRateIndexValueDate(IborIndex,Y1031,Trigger)</f>
        <v>46366</v>
      </c>
      <c r="AA1031" s="172">
        <v>1.0062599832456165E-2</v>
      </c>
      <c r="AB1031" s="169">
        <v>1.0023994105088363E-2</v>
      </c>
    </row>
    <row r="1032" spans="20:28" x14ac:dyDescent="0.2">
      <c r="T1032" s="130"/>
      <c r="U1032" s="151"/>
      <c r="X1032" s="170" t="str">
        <f t="shared" si="24"/>
        <v>1w</v>
      </c>
      <c r="Y1032" s="168">
        <f>_xll.qlCalendarAdvance(LiborCalendar,Y1031,X1032,"f",FALSE)</f>
        <v>46371</v>
      </c>
      <c r="Z1032" s="171">
        <f>_xll.qlInterestRateIndexValueDate(IborIndex,Y1032,Trigger)</f>
        <v>46373</v>
      </c>
      <c r="AA1032" s="172">
        <v>1.0066917084125215E-2</v>
      </c>
      <c r="AB1032" s="169">
        <v>1.0027812416835147E-2</v>
      </c>
    </row>
    <row r="1033" spans="20:28" x14ac:dyDescent="0.2">
      <c r="T1033" s="130"/>
      <c r="U1033" s="151"/>
      <c r="X1033" s="170" t="str">
        <f t="shared" si="24"/>
        <v>1w</v>
      </c>
      <c r="Y1033" s="168">
        <f>_xll.qlCalendarAdvance(LiborCalendar,Y1032,X1033,"f",FALSE)</f>
        <v>46378</v>
      </c>
      <c r="Z1033" s="171">
        <f>_xll.qlInterestRateIndexValueDate(IborIndex,Y1033,Trigger)</f>
        <v>46380</v>
      </c>
      <c r="AA1033" s="172">
        <v>1.0071311330966282E-2</v>
      </c>
      <c r="AB1033" s="169">
        <v>1.003339531568237E-2</v>
      </c>
    </row>
    <row r="1034" spans="20:28" x14ac:dyDescent="0.2">
      <c r="T1034" s="130"/>
      <c r="U1034" s="151"/>
      <c r="X1034" s="170" t="str">
        <f t="shared" si="24"/>
        <v>1w</v>
      </c>
      <c r="Y1034" s="168">
        <f>_xll.qlCalendarAdvance(LiborCalendar,Y1033,X1034,"f",FALSE)</f>
        <v>46385</v>
      </c>
      <c r="Z1034" s="171">
        <f>_xll.qlInterestRateIndexValueDate(IborIndex,Y1034,Trigger)</f>
        <v>46387</v>
      </c>
      <c r="AA1034" s="172">
        <v>1.0075782573232495E-2</v>
      </c>
      <c r="AB1034" s="169">
        <v>1.0036961258459431E-2</v>
      </c>
    </row>
    <row r="1035" spans="20:28" x14ac:dyDescent="0.2">
      <c r="T1035" s="130"/>
      <c r="U1035" s="151"/>
      <c r="X1035" s="170" t="str">
        <f t="shared" si="24"/>
        <v>1w</v>
      </c>
      <c r="Y1035" s="168">
        <f>_xll.qlCalendarAdvance(LiborCalendar,Y1034,X1035,"f",FALSE)</f>
        <v>46392</v>
      </c>
      <c r="Z1035" s="171">
        <f>_xll.qlInterestRateIndexValueDate(IborIndex,Y1035,Trigger)</f>
        <v>46394</v>
      </c>
      <c r="AA1035" s="172">
        <v>1.0080330811180538E-2</v>
      </c>
      <c r="AB1035" s="169">
        <v>1.0039728148036886E-2</v>
      </c>
    </row>
    <row r="1036" spans="20:28" x14ac:dyDescent="0.2">
      <c r="T1036" s="130"/>
      <c r="U1036" s="151"/>
      <c r="X1036" s="170" t="str">
        <f t="shared" si="24"/>
        <v>1w</v>
      </c>
      <c r="Y1036" s="168">
        <f>_xll.qlCalendarAdvance(LiborCalendar,Y1035,X1036,"f",FALSE)</f>
        <v>46399</v>
      </c>
      <c r="Z1036" s="171">
        <f>_xll.qlInterestRateIndexValueDate(IborIndex,Y1036,Trigger)</f>
        <v>46401</v>
      </c>
      <c r="AA1036" s="172">
        <v>1.0084956045072424E-2</v>
      </c>
      <c r="AB1036" s="169">
        <v>1.0043853657171198E-2</v>
      </c>
    </row>
    <row r="1037" spans="20:28" x14ac:dyDescent="0.2">
      <c r="T1037" s="130"/>
      <c r="U1037" s="151"/>
      <c r="X1037" s="170" t="str">
        <f t="shared" si="24"/>
        <v>1w</v>
      </c>
      <c r="Y1037" s="168">
        <f>_xll.qlCalendarAdvance(LiborCalendar,Y1036,X1037,"f",FALSE)</f>
        <v>46406</v>
      </c>
      <c r="Z1037" s="171">
        <f>_xll.qlInterestRateIndexValueDate(IborIndex,Y1037,Trigger)</f>
        <v>46408</v>
      </c>
      <c r="AA1037" s="172">
        <v>1.0089658275173718E-2</v>
      </c>
      <c r="AB1037" s="169">
        <v>1.004805596559244E-2</v>
      </c>
    </row>
    <row r="1038" spans="20:28" x14ac:dyDescent="0.2">
      <c r="T1038" s="130"/>
      <c r="U1038" s="151"/>
      <c r="X1038" s="170" t="str">
        <f t="shared" si="24"/>
        <v>1w</v>
      </c>
      <c r="Y1038" s="168">
        <f>_xll.qlCalendarAdvance(LiborCalendar,Y1037,X1038,"f",FALSE)</f>
        <v>46413</v>
      </c>
      <c r="Z1038" s="171">
        <f>_xll.qlInterestRateIndexValueDate(IborIndex,Y1038,Trigger)</f>
        <v>46415</v>
      </c>
      <c r="AA1038" s="172">
        <v>1.009443750175798E-2</v>
      </c>
      <c r="AB1038" s="169">
        <v>1.0052335073460483E-2</v>
      </c>
    </row>
    <row r="1039" spans="20:28" x14ac:dyDescent="0.2">
      <c r="T1039" s="130"/>
      <c r="U1039" s="151"/>
      <c r="X1039" s="170" t="str">
        <f t="shared" si="24"/>
        <v>1w</v>
      </c>
      <c r="Y1039" s="168">
        <f>_xll.qlCalendarAdvance(LiborCalendar,Y1038,X1039,"f",FALSE)</f>
        <v>46420</v>
      </c>
      <c r="Z1039" s="171">
        <f>_xll.qlInterestRateIndexValueDate(IborIndex,Y1039,Trigger)</f>
        <v>46422</v>
      </c>
      <c r="AA1039" s="172">
        <v>1.0098791049428141E-2</v>
      </c>
      <c r="AB1039" s="169">
        <v>1.0056690980535521E-2</v>
      </c>
    </row>
    <row r="1040" spans="20:28" x14ac:dyDescent="0.2">
      <c r="T1040" s="130"/>
      <c r="U1040" s="151"/>
      <c r="X1040" s="170" t="str">
        <f t="shared" si="24"/>
        <v>1w</v>
      </c>
      <c r="Y1040" s="168">
        <f>_xll.qlCalendarAdvance(LiborCalendar,Y1039,X1040,"f",FALSE)</f>
        <v>46427</v>
      </c>
      <c r="Z1040" s="171">
        <f>_xll.qlInterestRateIndexValueDate(IborIndex,Y1040,Trigger)</f>
        <v>46429</v>
      </c>
      <c r="AA1040" s="172">
        <v>1.0103718631900536E-2</v>
      </c>
      <c r="AB1040" s="169">
        <v>1.0061123687137297E-2</v>
      </c>
    </row>
    <row r="1041" spans="20:28" x14ac:dyDescent="0.2">
      <c r="T1041" s="130"/>
      <c r="U1041" s="151"/>
      <c r="X1041" s="170" t="str">
        <f t="shared" si="24"/>
        <v>1w</v>
      </c>
      <c r="Y1041" s="168">
        <f>_xll.qlCalendarAdvance(LiborCalendar,Y1040,X1041,"f",FALSE)</f>
        <v>46434</v>
      </c>
      <c r="Z1041" s="171">
        <f>_xll.qlInterestRateIndexValueDate(IborIndex,Y1041,Trigger)</f>
        <v>46436</v>
      </c>
      <c r="AA1041" s="172">
        <v>1.0108723204987265E-2</v>
      </c>
      <c r="AB1041" s="169">
        <v>1.0065633193026002E-2</v>
      </c>
    </row>
    <row r="1042" spans="20:28" x14ac:dyDescent="0.2">
      <c r="T1042" s="130"/>
      <c r="U1042" s="151"/>
      <c r="X1042" s="170" t="str">
        <f t="shared" si="24"/>
        <v>1w</v>
      </c>
      <c r="Y1042" s="168">
        <f>_xll.qlCalendarAdvance(LiborCalendar,Y1041,X1042,"f",FALSE)</f>
        <v>46441</v>
      </c>
      <c r="Z1042" s="171">
        <f>_xll.qlInterestRateIndexValueDate(IborIndex,Y1042,Trigger)</f>
        <v>46443</v>
      </c>
      <c r="AA1042" s="172">
        <v>1.0113802500037442E-2</v>
      </c>
      <c r="AB1042" s="169">
        <v>1.0070219498281574E-2</v>
      </c>
    </row>
    <row r="1043" spans="20:28" x14ac:dyDescent="0.2">
      <c r="T1043" s="130"/>
      <c r="U1043" s="151"/>
      <c r="X1043" s="170" t="str">
        <f t="shared" si="24"/>
        <v>1w</v>
      </c>
      <c r="Y1043" s="168">
        <f>_xll.qlCalendarAdvance(LiborCalendar,Y1042,X1043,"f",FALSE)</f>
        <v>46448</v>
      </c>
      <c r="Z1043" s="171">
        <f>_xll.qlInterestRateIndexValueDate(IborIndex,Y1043,Trigger)</f>
        <v>46450</v>
      </c>
      <c r="AA1043" s="172">
        <v>1.0120515565848887E-2</v>
      </c>
      <c r="AB1043" s="169">
        <v>1.0074882602904012E-2</v>
      </c>
    </row>
    <row r="1044" spans="20:28" x14ac:dyDescent="0.2">
      <c r="T1044" s="130"/>
      <c r="U1044" s="151"/>
      <c r="X1044" s="170" t="str">
        <f t="shared" si="24"/>
        <v>1w</v>
      </c>
      <c r="Y1044" s="168">
        <f>_xll.qlCalendarAdvance(LiborCalendar,Y1043,X1044,"f",FALSE)</f>
        <v>46455</v>
      </c>
      <c r="Z1044" s="171">
        <f>_xll.qlInterestRateIndexValueDate(IborIndex,Y1044,Trigger)</f>
        <v>46457</v>
      </c>
      <c r="AA1044" s="172">
        <v>1.0125725838170301E-2</v>
      </c>
      <c r="AB1044" s="169">
        <v>1.0079622506893315E-2</v>
      </c>
    </row>
    <row r="1045" spans="20:28" x14ac:dyDescent="0.2">
      <c r="T1045" s="130"/>
      <c r="U1045" s="151"/>
      <c r="X1045" s="170" t="str">
        <f t="shared" ref="X1045:X1108" si="25">X1044</f>
        <v>1w</v>
      </c>
      <c r="Y1045" s="168">
        <f>_xll.qlCalendarAdvance(LiborCalendar,Y1044,X1045,"f",FALSE)</f>
        <v>46462</v>
      </c>
      <c r="Z1045" s="171">
        <f>_xll.qlInterestRateIndexValueDate(IborIndex,Y1045,Trigger)</f>
        <v>46464</v>
      </c>
      <c r="AA1045" s="172">
        <v>1.0130981415323774E-2</v>
      </c>
      <c r="AB1045" s="169">
        <v>1.0084439210249485E-2</v>
      </c>
    </row>
    <row r="1046" spans="20:28" x14ac:dyDescent="0.2">
      <c r="T1046" s="130"/>
      <c r="U1046" s="151"/>
      <c r="X1046" s="170" t="str">
        <f t="shared" si="25"/>
        <v>1w</v>
      </c>
      <c r="Y1046" s="168">
        <f>_xll.qlCalendarAdvance(LiborCalendar,Y1045,X1046,"f",FALSE)</f>
        <v>46469</v>
      </c>
      <c r="Z1046" s="171">
        <f>_xll.qlInterestRateIndexValueDate(IborIndex,Y1046,Trigger)</f>
        <v>46471</v>
      </c>
      <c r="AA1046" s="172">
        <v>1.0136273422016633E-2</v>
      </c>
      <c r="AB1046" s="169">
        <v>1.0091312230130711E-2</v>
      </c>
    </row>
    <row r="1047" spans="20:28" x14ac:dyDescent="0.2">
      <c r="T1047" s="130"/>
      <c r="U1047" s="151"/>
      <c r="X1047" s="170" t="str">
        <f t="shared" si="25"/>
        <v>1w</v>
      </c>
      <c r="Y1047" s="168">
        <f>_xll.qlCalendarAdvance(LiborCalendar,Y1046,X1047,"f",FALSE)</f>
        <v>46476</v>
      </c>
      <c r="Z1047" s="171">
        <f>_xll.qlInterestRateIndexValueDate(IborIndex,Y1047,Trigger)</f>
        <v>46478</v>
      </c>
      <c r="AA1047" s="172">
        <v>1.0141066520908971E-2</v>
      </c>
      <c r="AB1047" s="169">
        <v>1.0094303015142359E-2</v>
      </c>
    </row>
    <row r="1048" spans="20:28" x14ac:dyDescent="0.2">
      <c r="T1048" s="130"/>
      <c r="U1048" s="151"/>
      <c r="X1048" s="170" t="str">
        <f t="shared" si="25"/>
        <v>1w</v>
      </c>
      <c r="Y1048" s="168">
        <f>_xll.qlCalendarAdvance(LiborCalendar,Y1047,X1048,"f",FALSE)</f>
        <v>46483</v>
      </c>
      <c r="Z1048" s="171">
        <f>_xll.qlInterestRateIndexValueDate(IborIndex,Y1048,Trigger)</f>
        <v>46485</v>
      </c>
      <c r="AA1048" s="172">
        <v>1.0146405640502882E-2</v>
      </c>
      <c r="AB1048" s="169">
        <v>1.0099350116758998E-2</v>
      </c>
    </row>
    <row r="1049" spans="20:28" x14ac:dyDescent="0.2">
      <c r="T1049" s="130"/>
      <c r="U1049" s="151"/>
      <c r="X1049" s="170" t="str">
        <f t="shared" si="25"/>
        <v>1w</v>
      </c>
      <c r="Y1049" s="168">
        <f>_xll.qlCalendarAdvance(LiborCalendar,Y1048,X1049,"f",FALSE)</f>
        <v>46490</v>
      </c>
      <c r="Z1049" s="171">
        <f>_xll.qlInterestRateIndexValueDate(IborIndex,Y1049,Trigger)</f>
        <v>46492</v>
      </c>
      <c r="AA1049" s="172">
        <v>1.0151755106506238E-2</v>
      </c>
      <c r="AB1049" s="169">
        <v>1.0104474017582632E-2</v>
      </c>
    </row>
    <row r="1050" spans="20:28" x14ac:dyDescent="0.2">
      <c r="T1050" s="130"/>
      <c r="U1050" s="151"/>
      <c r="X1050" s="170" t="str">
        <f t="shared" si="25"/>
        <v>1w</v>
      </c>
      <c r="Y1050" s="168">
        <f>_xll.qlCalendarAdvance(LiborCalendar,Y1049,X1050,"f",FALSE)</f>
        <v>46497</v>
      </c>
      <c r="Z1050" s="171">
        <f>_xll.qlInterestRateIndexValueDate(IborIndex,Y1050,Trigger)</f>
        <v>46499</v>
      </c>
      <c r="AA1050" s="172">
        <v>1.015710594615892E-2</v>
      </c>
      <c r="AB1050" s="169">
        <v>1.0109674717933004E-2</v>
      </c>
    </row>
    <row r="1051" spans="20:28" x14ac:dyDescent="0.2">
      <c r="T1051" s="130"/>
      <c r="U1051" s="151"/>
      <c r="X1051" s="170" t="str">
        <f t="shared" si="25"/>
        <v>1w</v>
      </c>
      <c r="Y1051" s="168">
        <f>_xll.qlCalendarAdvance(LiborCalendar,Y1050,X1051,"f",FALSE)</f>
        <v>46504</v>
      </c>
      <c r="Z1051" s="171">
        <f>_xll.qlInterestRateIndexValueDate(IborIndex,Y1051,Trigger)</f>
        <v>46506</v>
      </c>
      <c r="AA1051" s="172">
        <v>1.0162449186652496E-2</v>
      </c>
      <c r="AB1051" s="169">
        <v>1.0114952217650242E-2</v>
      </c>
    </row>
    <row r="1052" spans="20:28" x14ac:dyDescent="0.2">
      <c r="T1052" s="130"/>
      <c r="U1052" s="151"/>
      <c r="X1052" s="170" t="str">
        <f t="shared" si="25"/>
        <v>1w</v>
      </c>
      <c r="Y1052" s="168">
        <f>_xll.qlCalendarAdvance(LiborCalendar,Y1051,X1052,"f",FALSE)</f>
        <v>46511</v>
      </c>
      <c r="Z1052" s="171">
        <f>_xll.qlInterestRateIndexValueDate(IborIndex,Y1052,Trigger)</f>
        <v>46514</v>
      </c>
      <c r="AA1052" s="172">
        <v>1.017008590972244E-2</v>
      </c>
      <c r="AB1052" s="169">
        <v>1.0122135536123622E-2</v>
      </c>
    </row>
    <row r="1053" spans="20:28" x14ac:dyDescent="0.2">
      <c r="T1053" s="130"/>
      <c r="U1053" s="151"/>
      <c r="X1053" s="170" t="str">
        <f t="shared" si="25"/>
        <v>1w</v>
      </c>
      <c r="Y1053" s="168">
        <f>_xll.qlCalendarAdvance(LiborCalendar,Y1052,X1053,"f",FALSE)</f>
        <v>46518</v>
      </c>
      <c r="Z1053" s="171">
        <f>_xll.qlInterestRateIndexValueDate(IborIndex,Y1053,Trigger)</f>
        <v>46520</v>
      </c>
      <c r="AA1053" s="172">
        <v>1.0173591961470073E-2</v>
      </c>
      <c r="AB1053" s="169">
        <v>1.0125737615185315E-2</v>
      </c>
    </row>
    <row r="1054" spans="20:28" x14ac:dyDescent="0.2">
      <c r="T1054" s="130"/>
      <c r="U1054" s="151"/>
      <c r="X1054" s="170" t="str">
        <f t="shared" si="25"/>
        <v>1w</v>
      </c>
      <c r="Y1054" s="168">
        <f>_xll.qlCalendarAdvance(LiborCalendar,Y1053,X1054,"f",FALSE)</f>
        <v>46525</v>
      </c>
      <c r="Z1054" s="171">
        <f>_xll.qlInterestRateIndexValueDate(IborIndex,Y1054,Trigger)</f>
        <v>46527</v>
      </c>
      <c r="AA1054" s="172">
        <v>1.0178856004693999E-2</v>
      </c>
      <c r="AB1054" s="169">
        <v>1.0131230870316088E-2</v>
      </c>
    </row>
    <row r="1055" spans="20:28" x14ac:dyDescent="0.2">
      <c r="T1055" s="130"/>
      <c r="U1055" s="151"/>
      <c r="X1055" s="170" t="str">
        <f t="shared" si="25"/>
        <v>1w</v>
      </c>
      <c r="Y1055" s="168">
        <f>_xll.qlCalendarAdvance(LiborCalendar,Y1054,X1055,"f",FALSE)</f>
        <v>46532</v>
      </c>
      <c r="Z1055" s="171">
        <f>_xll.qlInterestRateIndexValueDate(IborIndex,Y1055,Trigger)</f>
        <v>46534</v>
      </c>
      <c r="AA1055" s="172">
        <v>1.0184080677517074E-2</v>
      </c>
      <c r="AB1055" s="169">
        <v>1.0136699216651834E-2</v>
      </c>
    </row>
    <row r="1056" spans="20:28" x14ac:dyDescent="0.2">
      <c r="T1056" s="130"/>
      <c r="U1056" s="151"/>
      <c r="X1056" s="170" t="str">
        <f t="shared" si="25"/>
        <v>1w</v>
      </c>
      <c r="Y1056" s="168">
        <f>_xll.qlCalendarAdvance(LiborCalendar,Y1055,X1056,"f",FALSE)</f>
        <v>46539</v>
      </c>
      <c r="Z1056" s="171">
        <f>_xll.qlInterestRateIndexValueDate(IborIndex,Y1056,Trigger)</f>
        <v>46541</v>
      </c>
      <c r="AA1056" s="172">
        <v>1.0189265703766298E-2</v>
      </c>
      <c r="AB1056" s="169">
        <v>1.0142128011425555E-2</v>
      </c>
    </row>
    <row r="1057" spans="20:28" x14ac:dyDescent="0.2">
      <c r="T1057" s="130"/>
      <c r="U1057" s="151"/>
      <c r="X1057" s="170" t="str">
        <f t="shared" si="25"/>
        <v>1w</v>
      </c>
      <c r="Y1057" s="168">
        <f>_xll.qlCalendarAdvance(LiborCalendar,Y1056,X1057,"f",FALSE)</f>
        <v>46546</v>
      </c>
      <c r="Z1057" s="171">
        <f>_xll.qlInterestRateIndexValueDate(IborIndex,Y1057,Trigger)</f>
        <v>46548</v>
      </c>
      <c r="AA1057" s="172">
        <v>1.0194411083285275E-2</v>
      </c>
      <c r="AB1057" s="169">
        <v>1.0147517254557314E-2</v>
      </c>
    </row>
    <row r="1058" spans="20:28" x14ac:dyDescent="0.2">
      <c r="T1058" s="130"/>
      <c r="U1058" s="151"/>
      <c r="X1058" s="170" t="str">
        <f t="shared" si="25"/>
        <v>1w</v>
      </c>
      <c r="Y1058" s="168">
        <f>_xll.qlCalendarAdvance(LiborCalendar,Y1057,X1058,"f",FALSE)</f>
        <v>46553</v>
      </c>
      <c r="Z1058" s="171">
        <f>_xll.qlInterestRateIndexValueDate(IborIndex,Y1058,Trigger)</f>
        <v>46555</v>
      </c>
      <c r="AA1058" s="172">
        <v>1.0199516815916741E-2</v>
      </c>
      <c r="AB1058" s="169">
        <v>1.0152866946206984E-2</v>
      </c>
    </row>
    <row r="1059" spans="20:28" x14ac:dyDescent="0.2">
      <c r="T1059" s="130"/>
      <c r="U1059" s="151"/>
      <c r="X1059" s="170" t="str">
        <f t="shared" si="25"/>
        <v>1w</v>
      </c>
      <c r="Y1059" s="168">
        <f>_xll.qlCalendarAdvance(LiborCalendar,Y1058,X1059,"f",FALSE)</f>
        <v>46560</v>
      </c>
      <c r="Z1059" s="171">
        <f>_xll.qlInterestRateIndexValueDate(IborIndex,Y1059,Trigger)</f>
        <v>46562</v>
      </c>
      <c r="AA1059" s="172">
        <v>1.0204582901506904E-2</v>
      </c>
      <c r="AB1059" s="169">
        <v>1.0158177086214693E-2</v>
      </c>
    </row>
    <row r="1060" spans="20:28" x14ac:dyDescent="0.2">
      <c r="T1060" s="130"/>
      <c r="U1060" s="151"/>
      <c r="X1060" s="170" t="str">
        <f t="shared" si="25"/>
        <v>1w</v>
      </c>
      <c r="Y1060" s="168">
        <f>_xll.qlCalendarAdvance(LiborCalendar,Y1059,X1060,"f",FALSE)</f>
        <v>46567</v>
      </c>
      <c r="Z1060" s="171">
        <f>_xll.qlInterestRateIndexValueDate(IborIndex,Y1060,Trigger)</f>
        <v>46569</v>
      </c>
      <c r="AA1060" s="172">
        <v>1.0209609339902845E-2</v>
      </c>
      <c r="AB1060" s="169">
        <v>1.0163447674660375E-2</v>
      </c>
    </row>
    <row r="1061" spans="20:28" x14ac:dyDescent="0.2">
      <c r="T1061" s="130"/>
      <c r="U1061" s="151"/>
      <c r="X1061" s="170" t="str">
        <f t="shared" si="25"/>
        <v>1w</v>
      </c>
      <c r="Y1061" s="168">
        <f>_xll.qlCalendarAdvance(LiborCalendar,Y1060,X1061,"f",FALSE)</f>
        <v>46574</v>
      </c>
      <c r="Z1061" s="171">
        <f>_xll.qlInterestRateIndexValueDate(IborIndex,Y1061,Trigger)</f>
        <v>46576</v>
      </c>
      <c r="AA1061" s="172">
        <v>1.021459613095164E-2</v>
      </c>
      <c r="AB1061" s="169">
        <v>1.0168678711464096E-2</v>
      </c>
    </row>
    <row r="1062" spans="20:28" x14ac:dyDescent="0.2">
      <c r="T1062" s="130"/>
      <c r="U1062" s="151"/>
      <c r="X1062" s="170" t="str">
        <f t="shared" si="25"/>
        <v>1w</v>
      </c>
      <c r="Y1062" s="168">
        <f>_xll.qlCalendarAdvance(LiborCalendar,Y1061,X1062,"f",FALSE)</f>
        <v>46581</v>
      </c>
      <c r="Z1062" s="171">
        <f>_xll.qlInterestRateIndexValueDate(IborIndex,Y1062,Trigger)</f>
        <v>46583</v>
      </c>
      <c r="AA1062" s="172">
        <v>1.0219543274501239E-2</v>
      </c>
      <c r="AB1062" s="169">
        <v>1.0173870196785728E-2</v>
      </c>
    </row>
    <row r="1063" spans="20:28" x14ac:dyDescent="0.2">
      <c r="T1063" s="130"/>
      <c r="U1063" s="151"/>
      <c r="X1063" s="170" t="str">
        <f t="shared" si="25"/>
        <v>1w</v>
      </c>
      <c r="Y1063" s="168">
        <f>_xll.qlCalendarAdvance(LiborCalendar,Y1062,X1063,"f",FALSE)</f>
        <v>46588</v>
      </c>
      <c r="Z1063" s="171">
        <f>_xll.qlInterestRateIndexValueDate(IborIndex,Y1063,Trigger)</f>
        <v>46590</v>
      </c>
      <c r="AA1063" s="172">
        <v>1.0224450770402195E-2</v>
      </c>
      <c r="AB1063" s="169">
        <v>1.0179022130465398E-2</v>
      </c>
    </row>
    <row r="1064" spans="20:28" x14ac:dyDescent="0.2">
      <c r="T1064" s="130"/>
      <c r="U1064" s="151"/>
      <c r="X1064" s="170" t="str">
        <f t="shared" si="25"/>
        <v>1w</v>
      </c>
      <c r="Y1064" s="168">
        <f>_xll.qlCalendarAdvance(LiborCalendar,Y1063,X1064,"f",FALSE)</f>
        <v>46595</v>
      </c>
      <c r="Z1064" s="171">
        <f>_xll.qlInterestRateIndexValueDate(IborIndex,Y1064,Trigger)</f>
        <v>46597</v>
      </c>
      <c r="AA1064" s="172">
        <v>1.0229318618505064E-2</v>
      </c>
      <c r="AB1064" s="169">
        <v>1.0184134512503107E-2</v>
      </c>
    </row>
    <row r="1065" spans="20:28" x14ac:dyDescent="0.2">
      <c r="T1065" s="130"/>
      <c r="U1065" s="151"/>
      <c r="X1065" s="170" t="str">
        <f t="shared" si="25"/>
        <v>1w</v>
      </c>
      <c r="Y1065" s="168">
        <f>_xll.qlCalendarAdvance(LiborCalendar,Y1064,X1065,"f",FALSE)</f>
        <v>46602</v>
      </c>
      <c r="Z1065" s="171">
        <f>_xll.qlInterestRateIndexValueDate(IborIndex,Y1065,Trigger)</f>
        <v>46604</v>
      </c>
      <c r="AA1065" s="172">
        <v>1.0234146818664743E-2</v>
      </c>
      <c r="AB1065" s="169">
        <v>1.0189207343058726E-2</v>
      </c>
    </row>
    <row r="1066" spans="20:28" x14ac:dyDescent="0.2">
      <c r="T1066" s="130"/>
      <c r="U1066" s="151"/>
      <c r="X1066" s="170" t="str">
        <f t="shared" si="25"/>
        <v>1w</v>
      </c>
      <c r="Y1066" s="168">
        <f>_xll.qlCalendarAdvance(LiborCalendar,Y1065,X1066,"f",FALSE)</f>
        <v>46609</v>
      </c>
      <c r="Z1066" s="171">
        <f>_xll.qlInterestRateIndexValueDate(IborIndex,Y1066,Trigger)</f>
        <v>46611</v>
      </c>
      <c r="AA1066" s="172">
        <v>1.0238935370731787E-2</v>
      </c>
      <c r="AB1066" s="169">
        <v>1.0194240621972384E-2</v>
      </c>
    </row>
    <row r="1067" spans="20:28" x14ac:dyDescent="0.2">
      <c r="T1067" s="130"/>
      <c r="U1067" s="151"/>
      <c r="X1067" s="170" t="str">
        <f t="shared" si="25"/>
        <v>1w</v>
      </c>
      <c r="Y1067" s="168">
        <f>_xll.qlCalendarAdvance(LiborCalendar,Y1066,X1067,"f",FALSE)</f>
        <v>46616</v>
      </c>
      <c r="Z1067" s="171">
        <f>_xll.qlInterestRateIndexValueDate(IborIndex,Y1067,Trigger)</f>
        <v>46618</v>
      </c>
      <c r="AA1067" s="172">
        <v>1.0243684274561963E-2</v>
      </c>
      <c r="AB1067" s="169">
        <v>1.019923434924408E-2</v>
      </c>
    </row>
    <row r="1068" spans="20:28" x14ac:dyDescent="0.2">
      <c r="T1068" s="130"/>
      <c r="U1068" s="151"/>
      <c r="X1068" s="170" t="str">
        <f t="shared" si="25"/>
        <v>1w</v>
      </c>
      <c r="Y1068" s="168">
        <f>_xll.qlCalendarAdvance(LiborCalendar,Y1067,X1068,"f",FALSE)</f>
        <v>46623</v>
      </c>
      <c r="Z1068" s="171">
        <f>_xll.qlInterestRateIndexValueDate(IborIndex,Y1068,Trigger)</f>
        <v>46625</v>
      </c>
      <c r="AA1068" s="172">
        <v>1.0248393530011907E-2</v>
      </c>
      <c r="AB1068" s="169">
        <v>1.020418852495375E-2</v>
      </c>
    </row>
    <row r="1069" spans="20:28" x14ac:dyDescent="0.2">
      <c r="T1069" s="130"/>
      <c r="U1069" s="151"/>
      <c r="X1069" s="170" t="str">
        <f t="shared" si="25"/>
        <v>1w</v>
      </c>
      <c r="Y1069" s="168">
        <f>_xll.qlCalendarAdvance(LiborCalendar,Y1068,X1069,"f",FALSE)</f>
        <v>46630</v>
      </c>
      <c r="Z1069" s="171">
        <f>_xll.qlInterestRateIndexValueDate(IborIndex,Y1069,Trigger)</f>
        <v>46632</v>
      </c>
      <c r="AA1069" s="172">
        <v>1.0252591209788008E-2</v>
      </c>
      <c r="AB1069" s="169">
        <v>1.0209103149101395E-2</v>
      </c>
    </row>
    <row r="1070" spans="20:28" x14ac:dyDescent="0.2">
      <c r="T1070" s="130"/>
      <c r="U1070" s="151"/>
      <c r="X1070" s="170" t="str">
        <f t="shared" si="25"/>
        <v>1w</v>
      </c>
      <c r="Y1070" s="168">
        <f>_xll.qlCalendarAdvance(LiborCalendar,Y1069,X1070,"f",FALSE)</f>
        <v>46637</v>
      </c>
      <c r="Z1070" s="171">
        <f>_xll.qlInterestRateIndexValueDate(IborIndex,Y1070,Trigger)</f>
        <v>46639</v>
      </c>
      <c r="AA1070" s="172">
        <v>1.0257223868312935E-2</v>
      </c>
      <c r="AB1070" s="169">
        <v>1.0213978221607078E-2</v>
      </c>
    </row>
    <row r="1071" spans="20:28" x14ac:dyDescent="0.2">
      <c r="T1071" s="130"/>
      <c r="U1071" s="151"/>
      <c r="X1071" s="170" t="str">
        <f t="shared" si="25"/>
        <v>1w</v>
      </c>
      <c r="Y1071" s="168">
        <f>_xll.qlCalendarAdvance(LiborCalendar,Y1070,X1071,"f",FALSE)</f>
        <v>46644</v>
      </c>
      <c r="Z1071" s="171">
        <f>_xll.qlInterestRateIndexValueDate(IborIndex,Y1071,Trigger)</f>
        <v>46646</v>
      </c>
      <c r="AA1071" s="172">
        <v>1.0261816879111001E-2</v>
      </c>
      <c r="AB1071" s="169">
        <v>1.0218813742550736E-2</v>
      </c>
    </row>
    <row r="1072" spans="20:28" x14ac:dyDescent="0.2">
      <c r="T1072" s="130"/>
      <c r="U1072" s="151"/>
      <c r="X1072" s="170" t="str">
        <f t="shared" si="25"/>
        <v>1w</v>
      </c>
      <c r="Y1072" s="168">
        <f>_xll.qlCalendarAdvance(LiborCalendar,Y1071,X1072,"f",FALSE)</f>
        <v>46651</v>
      </c>
      <c r="Z1072" s="171">
        <f>_xll.qlInterestRateIndexValueDate(IborIndex,Y1072,Trigger)</f>
        <v>46653</v>
      </c>
      <c r="AA1072" s="172">
        <v>1.0266370242046054E-2</v>
      </c>
      <c r="AB1072" s="169">
        <v>1.0223609711852433E-2</v>
      </c>
    </row>
    <row r="1073" spans="20:28" x14ac:dyDescent="0.2">
      <c r="T1073" s="130"/>
      <c r="U1073" s="151"/>
      <c r="X1073" s="170" t="str">
        <f t="shared" si="25"/>
        <v>1w</v>
      </c>
      <c r="Y1073" s="168">
        <f>_xll.qlCalendarAdvance(LiborCalendar,Y1072,X1073,"f",FALSE)</f>
        <v>46658</v>
      </c>
      <c r="Z1073" s="171">
        <f>_xll.qlInterestRateIndexValueDate(IborIndex,Y1073,Trigger)</f>
        <v>46660</v>
      </c>
      <c r="AA1073" s="172">
        <v>1.0271345076597787E-2</v>
      </c>
      <c r="AB1073" s="169">
        <v>1.0228366129512168E-2</v>
      </c>
    </row>
    <row r="1074" spans="20:28" x14ac:dyDescent="0.2">
      <c r="T1074" s="130"/>
      <c r="U1074" s="151"/>
      <c r="X1074" s="170" t="str">
        <f t="shared" si="25"/>
        <v>1w</v>
      </c>
      <c r="Y1074" s="168">
        <f>_xll.qlCalendarAdvance(LiborCalendar,Y1073,X1074,"f",FALSE)</f>
        <v>46665</v>
      </c>
      <c r="Z1074" s="171">
        <f>_xll.qlInterestRateIndexValueDate(IborIndex,Y1074,Trigger)</f>
        <v>46667</v>
      </c>
      <c r="AA1074" s="172">
        <v>1.027581643880871E-2</v>
      </c>
      <c r="AB1074" s="169">
        <v>1.0233082995689813E-2</v>
      </c>
    </row>
    <row r="1075" spans="20:28" x14ac:dyDescent="0.2">
      <c r="T1075" s="130"/>
      <c r="U1075" s="151"/>
      <c r="X1075" s="170" t="str">
        <f t="shared" si="25"/>
        <v>1w</v>
      </c>
      <c r="Y1075" s="168">
        <f>_xll.qlCalendarAdvance(LiborCalendar,Y1074,X1075,"f",FALSE)</f>
        <v>46672</v>
      </c>
      <c r="Z1075" s="171">
        <f>_xll.qlInterestRateIndexValueDate(IborIndex,Y1075,Trigger)</f>
        <v>46674</v>
      </c>
      <c r="AA1075" s="172">
        <v>1.0280248151663663E-2</v>
      </c>
      <c r="AB1075" s="169">
        <v>1.0237760310145561E-2</v>
      </c>
    </row>
    <row r="1076" spans="20:28" x14ac:dyDescent="0.2">
      <c r="T1076" s="130"/>
      <c r="U1076" s="151"/>
      <c r="X1076" s="170" t="str">
        <f t="shared" si="25"/>
        <v>1w</v>
      </c>
      <c r="Y1076" s="168">
        <f>_xll.qlCalendarAdvance(LiborCalendar,Y1075,X1076,"f",FALSE)</f>
        <v>46679</v>
      </c>
      <c r="Z1076" s="171">
        <f>_xll.qlInterestRateIndexValueDate(IborIndex,Y1076,Trigger)</f>
        <v>46681</v>
      </c>
      <c r="AA1076" s="172">
        <v>1.0284640215029705E-2</v>
      </c>
      <c r="AB1076" s="169">
        <v>1.0242398073039283E-2</v>
      </c>
    </row>
    <row r="1077" spans="20:28" x14ac:dyDescent="0.2">
      <c r="T1077" s="130"/>
      <c r="U1077" s="151"/>
      <c r="X1077" s="170" t="str">
        <f t="shared" si="25"/>
        <v>1w</v>
      </c>
      <c r="Y1077" s="168">
        <f>_xll.qlCalendarAdvance(LiborCalendar,Y1076,X1077,"f",FALSE)</f>
        <v>46686</v>
      </c>
      <c r="Z1077" s="171">
        <f>_xll.qlInterestRateIndexValueDate(IborIndex,Y1077,Trigger)</f>
        <v>46688</v>
      </c>
      <c r="AA1077" s="172">
        <v>1.028899262877303E-2</v>
      </c>
      <c r="AB1077" s="169">
        <v>1.0246996284291043E-2</v>
      </c>
    </row>
    <row r="1078" spans="20:28" x14ac:dyDescent="0.2">
      <c r="T1078" s="130"/>
      <c r="U1078" s="151"/>
      <c r="X1078" s="170" t="str">
        <f t="shared" si="25"/>
        <v>1w</v>
      </c>
      <c r="Y1078" s="168">
        <f>_xll.qlCalendarAdvance(LiborCalendar,Y1077,X1078,"f",FALSE)</f>
        <v>46693</v>
      </c>
      <c r="Z1078" s="171">
        <f>_xll.qlInterestRateIndexValueDate(IborIndex,Y1078,Trigger)</f>
        <v>46695</v>
      </c>
      <c r="AA1078" s="172">
        <v>1.0293305392762443E-2</v>
      </c>
      <c r="AB1078" s="169">
        <v>1.0251554943980778E-2</v>
      </c>
    </row>
    <row r="1079" spans="20:28" x14ac:dyDescent="0.2">
      <c r="T1079" s="130"/>
      <c r="U1079" s="151"/>
      <c r="X1079" s="170" t="str">
        <f t="shared" si="25"/>
        <v>1w</v>
      </c>
      <c r="Y1079" s="168">
        <f>_xll.qlCalendarAdvance(LiborCalendar,Y1078,X1079,"f",FALSE)</f>
        <v>46700</v>
      </c>
      <c r="Z1079" s="171">
        <f>_xll.qlInterestRateIndexValueDate(IborIndex,Y1079,Trigger)</f>
        <v>46702</v>
      </c>
      <c r="AA1079" s="172">
        <v>1.0297578506866741E-2</v>
      </c>
      <c r="AB1079" s="169">
        <v>1.0256074052028552E-2</v>
      </c>
    </row>
    <row r="1080" spans="20:28" x14ac:dyDescent="0.2">
      <c r="T1080" s="130"/>
      <c r="U1080" s="151"/>
      <c r="X1080" s="170" t="str">
        <f t="shared" si="25"/>
        <v>1w</v>
      </c>
      <c r="Y1080" s="168">
        <f>_xll.qlCalendarAdvance(LiborCalendar,Y1079,X1080,"f",FALSE)</f>
        <v>46707</v>
      </c>
      <c r="Z1080" s="171">
        <f>_xll.qlInterestRateIndexValueDate(IborIndex,Y1080,Trigger)</f>
        <v>46709</v>
      </c>
      <c r="AA1080" s="172">
        <v>1.0301811970955593E-2</v>
      </c>
      <c r="AB1080" s="169">
        <v>1.0260553608434364E-2</v>
      </c>
    </row>
    <row r="1081" spans="20:28" x14ac:dyDescent="0.2">
      <c r="T1081" s="130"/>
      <c r="U1081" s="151"/>
      <c r="X1081" s="170" t="str">
        <f t="shared" si="25"/>
        <v>1w</v>
      </c>
      <c r="Y1081" s="168">
        <f>_xll.qlCalendarAdvance(LiborCalendar,Y1080,X1081,"f",FALSE)</f>
        <v>46714</v>
      </c>
      <c r="Z1081" s="171">
        <f>_xll.qlInterestRateIndexValueDate(IborIndex,Y1081,Trigger)</f>
        <v>46716</v>
      </c>
      <c r="AA1081" s="172">
        <v>1.0306005784903016E-2</v>
      </c>
      <c r="AB1081" s="169">
        <v>1.0264993613278151E-2</v>
      </c>
    </row>
    <row r="1082" spans="20:28" x14ac:dyDescent="0.2">
      <c r="T1082" s="130"/>
      <c r="U1082" s="151"/>
      <c r="X1082" s="170" t="str">
        <f t="shared" si="25"/>
        <v>1w</v>
      </c>
      <c r="Y1082" s="168">
        <f>_xll.qlCalendarAdvance(LiborCalendar,Y1081,X1082,"f",FALSE)</f>
        <v>46721</v>
      </c>
      <c r="Z1082" s="171">
        <f>_xll.qlInterestRateIndexValueDate(IborIndex,Y1082,Trigger)</f>
        <v>46723</v>
      </c>
      <c r="AA1082" s="172">
        <v>1.0309723209422941E-2</v>
      </c>
      <c r="AB1082" s="169">
        <v>1.0269394066479975E-2</v>
      </c>
    </row>
    <row r="1083" spans="20:28" x14ac:dyDescent="0.2">
      <c r="T1083" s="130"/>
      <c r="U1083" s="151"/>
      <c r="X1083" s="170" t="str">
        <f t="shared" si="25"/>
        <v>1w</v>
      </c>
      <c r="Y1083" s="168">
        <f>_xll.qlCalendarAdvance(LiborCalendar,Y1082,X1083,"f",FALSE)</f>
        <v>46728</v>
      </c>
      <c r="Z1083" s="171">
        <f>_xll.qlInterestRateIndexValueDate(IborIndex,Y1083,Trigger)</f>
        <v>46730</v>
      </c>
      <c r="AA1083" s="172">
        <v>1.0313840437103488E-2</v>
      </c>
      <c r="AB1083" s="169">
        <v>1.0273754968039839E-2</v>
      </c>
    </row>
    <row r="1084" spans="20:28" x14ac:dyDescent="0.2">
      <c r="T1084" s="130"/>
      <c r="U1084" s="151"/>
      <c r="X1084" s="170" t="str">
        <f t="shared" si="25"/>
        <v>1w</v>
      </c>
      <c r="Y1084" s="168">
        <f>_xll.qlCalendarAdvance(LiborCalendar,Y1083,X1084,"f",FALSE)</f>
        <v>46735</v>
      </c>
      <c r="Z1084" s="171">
        <f>_xll.qlInterestRateIndexValueDate(IborIndex,Y1084,Trigger)</f>
        <v>46737</v>
      </c>
      <c r="AA1084" s="172">
        <v>1.0317918015360071E-2</v>
      </c>
      <c r="AB1084" s="169">
        <v>1.0278076318037677E-2</v>
      </c>
    </row>
    <row r="1085" spans="20:28" x14ac:dyDescent="0.2">
      <c r="T1085" s="130"/>
      <c r="U1085" s="151"/>
      <c r="X1085" s="170" t="str">
        <f t="shared" si="25"/>
        <v>1w</v>
      </c>
      <c r="Y1085" s="168">
        <f>_xll.qlCalendarAdvance(LiborCalendar,Y1084,X1085,"f",FALSE)</f>
        <v>46742</v>
      </c>
      <c r="Z1085" s="171">
        <f>_xll.qlInterestRateIndexValueDate(IborIndex,Y1085,Trigger)</f>
        <v>46744</v>
      </c>
      <c r="AA1085" s="172">
        <v>1.0321955944069712E-2</v>
      </c>
      <c r="AB1085" s="169">
        <v>1.0282358116393553E-2</v>
      </c>
    </row>
    <row r="1086" spans="20:28" x14ac:dyDescent="0.2">
      <c r="T1086" s="130"/>
      <c r="U1086" s="151"/>
      <c r="X1086" s="170" t="str">
        <f t="shared" si="25"/>
        <v>1w</v>
      </c>
      <c r="Y1086" s="168">
        <f>_xll.qlCalendarAdvance(LiborCalendar,Y1085,X1086,"f",FALSE)</f>
        <v>46750</v>
      </c>
      <c r="Z1086" s="171">
        <f>_xll.qlInterestRateIndexValueDate(IborIndex,Y1086,Trigger)</f>
        <v>46752</v>
      </c>
      <c r="AA1086" s="172">
        <v>1.0326522169117018E-2</v>
      </c>
      <c r="AB1086" s="169">
        <v>1.0288546391186149E-2</v>
      </c>
    </row>
    <row r="1087" spans="20:28" x14ac:dyDescent="0.2">
      <c r="T1087" s="130"/>
      <c r="U1087" s="151"/>
      <c r="X1087" s="170" t="str">
        <f t="shared" si="25"/>
        <v>1w</v>
      </c>
      <c r="Y1087" s="168">
        <f>_xll.qlCalendarAdvance(LiborCalendar,Y1086,X1087,"f",FALSE)</f>
        <v>46757</v>
      </c>
      <c r="Z1087" s="171">
        <f>_xll.qlInterestRateIndexValueDate(IborIndex,Y1087,Trigger)</f>
        <v>46759</v>
      </c>
      <c r="AA1087" s="172">
        <v>1.0330475134107083E-2</v>
      </c>
      <c r="AB1087" s="169">
        <v>1.029229053397529E-2</v>
      </c>
    </row>
    <row r="1088" spans="20:28" x14ac:dyDescent="0.2">
      <c r="T1088" s="130"/>
      <c r="U1088" s="151"/>
      <c r="X1088" s="170" t="str">
        <f t="shared" si="25"/>
        <v>1w</v>
      </c>
      <c r="Y1088" s="168">
        <f>_xll.qlCalendarAdvance(LiborCalendar,Y1087,X1088,"f",FALSE)</f>
        <v>46764</v>
      </c>
      <c r="Z1088" s="171">
        <f>_xll.qlInterestRateIndexValueDate(IborIndex,Y1088,Trigger)</f>
        <v>46766</v>
      </c>
      <c r="AA1088" s="172">
        <v>1.0336067131624617E-2</v>
      </c>
      <c r="AB1088" s="169">
        <v>1.0296442614414758E-2</v>
      </c>
    </row>
    <row r="1089" spans="20:28" x14ac:dyDescent="0.2">
      <c r="T1089" s="130"/>
      <c r="U1089" s="151"/>
      <c r="X1089" s="170" t="str">
        <f t="shared" si="25"/>
        <v>1w</v>
      </c>
      <c r="Y1089" s="168">
        <f>_xll.qlCalendarAdvance(LiborCalendar,Y1088,X1089,"f",FALSE)</f>
        <v>46771</v>
      </c>
      <c r="Z1089" s="171">
        <f>_xll.qlInterestRateIndexValueDate(IborIndex,Y1089,Trigger)</f>
        <v>46773</v>
      </c>
      <c r="AA1089" s="172">
        <v>1.0338262114199031E-2</v>
      </c>
      <c r="AB1089" s="169">
        <v>1.0300555141080636E-2</v>
      </c>
    </row>
    <row r="1090" spans="20:28" x14ac:dyDescent="0.2">
      <c r="T1090" s="130"/>
      <c r="U1090" s="151"/>
      <c r="X1090" s="170" t="str">
        <f t="shared" si="25"/>
        <v>1w</v>
      </c>
      <c r="Y1090" s="168">
        <f>_xll.qlCalendarAdvance(LiborCalendar,Y1089,X1090,"f",FALSE)</f>
        <v>46778</v>
      </c>
      <c r="Z1090" s="171">
        <f>_xll.qlInterestRateIndexValueDate(IborIndex,Y1090,Trigger)</f>
        <v>46780</v>
      </c>
      <c r="AA1090" s="172">
        <v>1.0342096129069013E-2</v>
      </c>
      <c r="AB1090" s="169">
        <v>1.0304628113919634E-2</v>
      </c>
    </row>
    <row r="1091" spans="20:28" x14ac:dyDescent="0.2">
      <c r="T1091" s="130"/>
      <c r="U1091" s="151"/>
      <c r="X1091" s="170" t="str">
        <f t="shared" si="25"/>
        <v>1w</v>
      </c>
      <c r="Y1091" s="168">
        <f>_xll.qlCalendarAdvance(LiborCalendar,Y1090,X1091,"f",FALSE)</f>
        <v>46785</v>
      </c>
      <c r="Z1091" s="171">
        <f>_xll.qlInterestRateIndexValueDate(IborIndex,Y1091,Trigger)</f>
        <v>46787</v>
      </c>
      <c r="AA1091" s="172">
        <v>1.0345478361052152E-2</v>
      </c>
      <c r="AB1091" s="169">
        <v>1.0308661532958396E-2</v>
      </c>
    </row>
    <row r="1092" spans="20:28" x14ac:dyDescent="0.2">
      <c r="T1092" s="130"/>
      <c r="U1092" s="151"/>
      <c r="X1092" s="170" t="str">
        <f t="shared" si="25"/>
        <v>1w</v>
      </c>
      <c r="Y1092" s="168">
        <f>_xll.qlCalendarAdvance(LiborCalendar,Y1091,X1092,"f",FALSE)</f>
        <v>46792</v>
      </c>
      <c r="Z1092" s="171">
        <f>_xll.qlInterestRateIndexValueDate(IborIndex,Y1092,Trigger)</f>
        <v>46794</v>
      </c>
      <c r="AA1092" s="172">
        <v>1.0349235799583134E-2</v>
      </c>
      <c r="AB1092" s="169">
        <v>1.0312655398196924E-2</v>
      </c>
    </row>
    <row r="1093" spans="20:28" x14ac:dyDescent="0.2">
      <c r="T1093" s="130"/>
      <c r="U1093" s="151"/>
      <c r="X1093" s="170" t="str">
        <f t="shared" si="25"/>
        <v>1w</v>
      </c>
      <c r="Y1093" s="168">
        <f>_xll.qlCalendarAdvance(LiborCalendar,Y1092,X1093,"f",FALSE)</f>
        <v>46799</v>
      </c>
      <c r="Z1093" s="171">
        <f>_xll.qlInterestRateIndexValueDate(IborIndex,Y1093,Trigger)</f>
        <v>46801</v>
      </c>
      <c r="AA1093" s="172">
        <v>1.0352953588724567E-2</v>
      </c>
      <c r="AB1093" s="169">
        <v>1.0316609709608571E-2</v>
      </c>
    </row>
    <row r="1094" spans="20:28" x14ac:dyDescent="0.2">
      <c r="T1094" s="130"/>
      <c r="U1094" s="151"/>
      <c r="X1094" s="170" t="str">
        <f t="shared" si="25"/>
        <v>1w</v>
      </c>
      <c r="Y1094" s="168">
        <f>_xll.qlCalendarAdvance(LiborCalendar,Y1093,X1094,"f",FALSE)</f>
        <v>46806</v>
      </c>
      <c r="Z1094" s="171">
        <f>_xll.qlInterestRateIndexValueDate(IborIndex,Y1094,Trigger)</f>
        <v>46808</v>
      </c>
      <c r="AA1094" s="172">
        <v>1.0357035684698526E-2</v>
      </c>
      <c r="AB1094" s="169">
        <v>1.0320524467219983E-2</v>
      </c>
    </row>
    <row r="1095" spans="20:28" x14ac:dyDescent="0.2">
      <c r="T1095" s="130"/>
      <c r="U1095" s="151"/>
      <c r="X1095" s="170" t="str">
        <f t="shared" si="25"/>
        <v>1w</v>
      </c>
      <c r="Y1095" s="168">
        <f>_xll.qlCalendarAdvance(LiborCalendar,Y1094,X1095,"f",FALSE)</f>
        <v>46813</v>
      </c>
      <c r="Z1095" s="171">
        <f>_xll.qlInterestRateIndexValueDate(IborIndex,Y1095,Trigger)</f>
        <v>46815</v>
      </c>
      <c r="AA1095" s="172">
        <v>1.0362273837708994E-2</v>
      </c>
      <c r="AB1095" s="169">
        <v>1.0324399671031159E-2</v>
      </c>
    </row>
    <row r="1096" spans="20:28" x14ac:dyDescent="0.2">
      <c r="T1096" s="130"/>
      <c r="U1096" s="151"/>
      <c r="X1096" s="170" t="str">
        <f t="shared" si="25"/>
        <v>1w</v>
      </c>
      <c r="Y1096" s="168">
        <f>_xll.qlCalendarAdvance(LiborCalendar,Y1095,X1096,"f",FALSE)</f>
        <v>46820</v>
      </c>
      <c r="Z1096" s="171">
        <f>_xll.qlInterestRateIndexValueDate(IborIndex,Y1096,Trigger)</f>
        <v>46822</v>
      </c>
      <c r="AA1096" s="172">
        <v>1.0365461543070741E-2</v>
      </c>
      <c r="AB1096" s="169">
        <v>1.0328235320962165E-2</v>
      </c>
    </row>
    <row r="1097" spans="20:28" x14ac:dyDescent="0.2">
      <c r="T1097" s="130"/>
      <c r="U1097" s="151"/>
      <c r="X1097" s="170" t="str">
        <f t="shared" si="25"/>
        <v>1w</v>
      </c>
      <c r="Y1097" s="168">
        <f>_xll.qlCalendarAdvance(LiborCalendar,Y1096,X1097,"f",FALSE)</f>
        <v>46827</v>
      </c>
      <c r="Z1097" s="171">
        <f>_xll.qlInterestRateIndexValueDate(IborIndex,Y1097,Trigger)</f>
        <v>46829</v>
      </c>
      <c r="AA1097" s="172">
        <v>1.036900981315105E-2</v>
      </c>
      <c r="AB1097" s="169">
        <v>1.033203141711958E-2</v>
      </c>
    </row>
    <row r="1098" spans="20:28" x14ac:dyDescent="0.2">
      <c r="T1098" s="130"/>
      <c r="U1098" s="151"/>
      <c r="X1098" s="170" t="str">
        <f t="shared" si="25"/>
        <v>1w</v>
      </c>
      <c r="Y1098" s="168">
        <f>_xll.qlCalendarAdvance(LiborCalendar,Y1097,X1098,"f",FALSE)</f>
        <v>46834</v>
      </c>
      <c r="Z1098" s="171">
        <f>_xll.qlInterestRateIndexValueDate(IborIndex,Y1098,Trigger)</f>
        <v>46836</v>
      </c>
      <c r="AA1098" s="172">
        <v>1.0372518428848601E-2</v>
      </c>
      <c r="AB1098" s="169">
        <v>1.033578795942347E-2</v>
      </c>
    </row>
    <row r="1099" spans="20:28" x14ac:dyDescent="0.2">
      <c r="T1099" s="130"/>
      <c r="U1099" s="151"/>
      <c r="X1099" s="170" t="str">
        <f t="shared" si="25"/>
        <v>1w</v>
      </c>
      <c r="Y1099" s="168">
        <f>_xll.qlCalendarAdvance(LiborCalendar,Y1098,X1099,"f",FALSE)</f>
        <v>46841</v>
      </c>
      <c r="Z1099" s="171">
        <f>_xll.qlInterestRateIndexValueDate(IborIndex,Y1099,Trigger)</f>
        <v>46843</v>
      </c>
      <c r="AA1099" s="172">
        <v>1.0374817987266105E-2</v>
      </c>
      <c r="AB1099" s="169">
        <v>1.033950494790048E-2</v>
      </c>
    </row>
    <row r="1100" spans="20:28" x14ac:dyDescent="0.2">
      <c r="T1100" s="130"/>
      <c r="U1100" s="151"/>
      <c r="X1100" s="170" t="str">
        <f t="shared" si="25"/>
        <v>1w</v>
      </c>
      <c r="Y1100" s="168">
        <f>_xll.qlCalendarAdvance(LiborCalendar,Y1099,X1100,"f",FALSE)</f>
        <v>46848</v>
      </c>
      <c r="Z1100" s="171">
        <f>_xll.qlInterestRateIndexValueDate(IborIndex,Y1100,Trigger)</f>
        <v>46850</v>
      </c>
      <c r="AA1100" s="172">
        <v>1.0378255494441716E-2</v>
      </c>
      <c r="AB1100" s="169">
        <v>1.0343182382523963E-2</v>
      </c>
    </row>
    <row r="1101" spans="20:28" x14ac:dyDescent="0.2">
      <c r="T1101" s="130"/>
      <c r="U1101" s="151"/>
      <c r="X1101" s="170" t="str">
        <f t="shared" si="25"/>
        <v>1w</v>
      </c>
      <c r="Y1101" s="168">
        <f>_xll.qlCalendarAdvance(LiborCalendar,Y1100,X1101,"f",FALSE)</f>
        <v>46855</v>
      </c>
      <c r="Z1101" s="171">
        <f>_xll.qlInterestRateIndexValueDate(IborIndex,Y1101,Trigger)</f>
        <v>46861</v>
      </c>
      <c r="AA1101" s="172">
        <v>1.0383577179468431E-2</v>
      </c>
      <c r="AB1101" s="169">
        <v>1.0348070061478865E-2</v>
      </c>
    </row>
    <row r="1102" spans="20:28" x14ac:dyDescent="0.2">
      <c r="T1102" s="130"/>
      <c r="U1102" s="151"/>
      <c r="X1102" s="170" t="str">
        <f t="shared" si="25"/>
        <v>1w</v>
      </c>
      <c r="Y1102" s="168">
        <f>_xll.qlCalendarAdvance(LiborCalendar,Y1101,X1102,"f",FALSE)</f>
        <v>46862</v>
      </c>
      <c r="Z1102" s="171">
        <f>_xll.qlInterestRateIndexValueDate(IborIndex,Y1102,Trigger)</f>
        <v>46864</v>
      </c>
      <c r="AA1102" s="172">
        <v>1.038501155462159E-2</v>
      </c>
      <c r="AB1102" s="169">
        <v>1.0350418590263644E-2</v>
      </c>
    </row>
    <row r="1103" spans="20:28" x14ac:dyDescent="0.2">
      <c r="T1103" s="130"/>
      <c r="U1103" s="151"/>
      <c r="X1103" s="170" t="str">
        <f t="shared" si="25"/>
        <v>1w</v>
      </c>
      <c r="Y1103" s="168">
        <f>_xll.qlCalendarAdvance(LiborCalendar,Y1102,X1103,"f",FALSE)</f>
        <v>46869</v>
      </c>
      <c r="Z1103" s="171">
        <f>_xll.qlInterestRateIndexValueDate(IborIndex,Y1103,Trigger)</f>
        <v>46871</v>
      </c>
      <c r="AA1103" s="172">
        <v>1.0389466687811667E-2</v>
      </c>
      <c r="AB1103" s="169">
        <v>1.0354378712500445E-2</v>
      </c>
    </row>
    <row r="1104" spans="20:28" x14ac:dyDescent="0.2">
      <c r="T1104" s="130"/>
      <c r="U1104" s="151"/>
      <c r="X1104" s="170" t="str">
        <f t="shared" si="25"/>
        <v>1w</v>
      </c>
      <c r="Y1104" s="168">
        <f>_xll.qlCalendarAdvance(LiborCalendar,Y1103,X1104,"f",FALSE)</f>
        <v>46876</v>
      </c>
      <c r="Z1104" s="171">
        <f>_xll.qlInterestRateIndexValueDate(IborIndex,Y1104,Trigger)</f>
        <v>46878</v>
      </c>
      <c r="AA1104" s="172">
        <v>1.0392737374964269E-2</v>
      </c>
      <c r="AB1104" s="169">
        <v>1.0357496582615866E-2</v>
      </c>
    </row>
    <row r="1105" spans="20:28" x14ac:dyDescent="0.2">
      <c r="T1105" s="130"/>
      <c r="U1105" s="151"/>
      <c r="X1105" s="170" t="str">
        <f t="shared" si="25"/>
        <v>1w</v>
      </c>
      <c r="Y1105" s="168">
        <f>_xll.qlCalendarAdvance(LiborCalendar,Y1104,X1105,"f",FALSE)</f>
        <v>46883</v>
      </c>
      <c r="Z1105" s="171">
        <f>_xll.qlInterestRateIndexValueDate(IborIndex,Y1105,Trigger)</f>
        <v>46885</v>
      </c>
      <c r="AA1105" s="172">
        <v>1.0395968406999382E-2</v>
      </c>
      <c r="AB1105" s="169">
        <v>1.0360976248025011E-2</v>
      </c>
    </row>
    <row r="1106" spans="20:28" x14ac:dyDescent="0.2">
      <c r="T1106" s="130"/>
      <c r="U1106" s="151"/>
      <c r="X1106" s="170" t="str">
        <f t="shared" si="25"/>
        <v>1w</v>
      </c>
      <c r="Y1106" s="168">
        <f>_xll.qlCalendarAdvance(LiborCalendar,Y1105,X1106,"f",FALSE)</f>
        <v>46890</v>
      </c>
      <c r="Z1106" s="171">
        <f>_xll.qlInterestRateIndexValueDate(IborIndex,Y1106,Trigger)</f>
        <v>46892</v>
      </c>
      <c r="AA1106" s="172">
        <v>1.0399159783814112E-2</v>
      </c>
      <c r="AB1106" s="169">
        <v>1.0364416359553985E-2</v>
      </c>
    </row>
    <row r="1107" spans="20:28" x14ac:dyDescent="0.2">
      <c r="T1107" s="130"/>
      <c r="U1107" s="151"/>
      <c r="X1107" s="170" t="str">
        <f t="shared" si="25"/>
        <v>1w</v>
      </c>
      <c r="Y1107" s="168">
        <f>_xll.qlCalendarAdvance(LiborCalendar,Y1106,X1107,"f",FALSE)</f>
        <v>46897</v>
      </c>
      <c r="Z1107" s="171">
        <f>_xll.qlInterestRateIndexValueDate(IborIndex,Y1107,Trigger)</f>
        <v>46899</v>
      </c>
      <c r="AA1107" s="172">
        <v>1.0402678898081868E-2</v>
      </c>
      <c r="AB1107" s="169">
        <v>1.0368207363204984E-2</v>
      </c>
    </row>
    <row r="1108" spans="20:28" x14ac:dyDescent="0.2">
      <c r="T1108" s="130"/>
      <c r="U1108" s="151"/>
      <c r="X1108" s="170" t="str">
        <f t="shared" si="25"/>
        <v>1w</v>
      </c>
      <c r="Y1108" s="168">
        <f>_xll.qlCalendarAdvance(LiborCalendar,Y1107,X1108,"f",FALSE)</f>
        <v>46904</v>
      </c>
      <c r="Z1108" s="171">
        <f>_xll.qlInterestRateIndexValueDate(IborIndex,Y1108,Trigger)</f>
        <v>46906</v>
      </c>
      <c r="AA1108" s="172">
        <v>1.0405423571392946E-2</v>
      </c>
      <c r="AB1108" s="169">
        <v>1.0371177920998065E-2</v>
      </c>
    </row>
    <row r="1109" spans="20:28" x14ac:dyDescent="0.2">
      <c r="T1109" s="130"/>
      <c r="U1109" s="151"/>
      <c r="X1109" s="170" t="str">
        <f t="shared" ref="X1109:X1172" si="26">X1108</f>
        <v>1w</v>
      </c>
      <c r="Y1109" s="168">
        <f>_xll.qlCalendarAdvance(LiborCalendar,Y1108,X1109,"f",FALSE)</f>
        <v>46911</v>
      </c>
      <c r="Z1109" s="171">
        <f>_xll.qlInterestRateIndexValueDate(IborIndex,Y1109,Trigger)</f>
        <v>46913</v>
      </c>
      <c r="AA1109" s="172">
        <v>1.040849598196231E-2</v>
      </c>
      <c r="AB1109" s="169">
        <v>1.0374499370939816E-2</v>
      </c>
    </row>
    <row r="1110" spans="20:28" x14ac:dyDescent="0.2">
      <c r="T1110" s="130"/>
      <c r="U1110" s="151"/>
      <c r="X1110" s="170" t="str">
        <f t="shared" si="26"/>
        <v>1w</v>
      </c>
      <c r="Y1110" s="168">
        <f>_xll.qlCalendarAdvance(LiborCalendar,Y1109,X1110,"f",FALSE)</f>
        <v>46918</v>
      </c>
      <c r="Z1110" s="171">
        <f>_xll.qlInterestRateIndexValueDate(IborIndex,Y1110,Trigger)</f>
        <v>46920</v>
      </c>
      <c r="AA1110" s="172">
        <v>1.0411528736924365E-2</v>
      </c>
      <c r="AB1110" s="169">
        <v>1.0377781267001396E-2</v>
      </c>
    </row>
    <row r="1111" spans="20:28" x14ac:dyDescent="0.2">
      <c r="T1111" s="130"/>
      <c r="U1111" s="151"/>
      <c r="X1111" s="170" t="str">
        <f t="shared" si="26"/>
        <v>1w</v>
      </c>
      <c r="Y1111" s="168">
        <f>_xll.qlCalendarAdvance(LiborCalendar,Y1110,X1111,"f",FALSE)</f>
        <v>46925</v>
      </c>
      <c r="Z1111" s="171">
        <f>_xll.qlInterestRateIndexValueDate(IborIndex,Y1111,Trigger)</f>
        <v>46927</v>
      </c>
      <c r="AA1111" s="172">
        <v>1.041452183618472E-2</v>
      </c>
      <c r="AB1111" s="169">
        <v>1.0381023609182805E-2</v>
      </c>
    </row>
    <row r="1112" spans="20:28" x14ac:dyDescent="0.2">
      <c r="T1112" s="130"/>
      <c r="U1112" s="151"/>
      <c r="X1112" s="170" t="str">
        <f t="shared" si="26"/>
        <v>1w</v>
      </c>
      <c r="Y1112" s="168">
        <f>_xll.qlCalendarAdvance(LiborCalendar,Y1111,X1112,"f",FALSE)</f>
        <v>46932</v>
      </c>
      <c r="Z1112" s="171">
        <f>_xll.qlInterestRateIndexValueDate(IborIndex,Y1112,Trigger)</f>
        <v>46934</v>
      </c>
      <c r="AA1112" s="172">
        <v>1.0416412746474925E-2</v>
      </c>
      <c r="AB1112" s="169">
        <v>1.0384226397484042E-2</v>
      </c>
    </row>
    <row r="1113" spans="20:28" x14ac:dyDescent="0.2">
      <c r="T1113" s="130"/>
      <c r="U1113" s="151"/>
      <c r="X1113" s="170" t="str">
        <f t="shared" si="26"/>
        <v>1w</v>
      </c>
      <c r="Y1113" s="168">
        <f>_xll.qlCalendarAdvance(LiborCalendar,Y1112,X1113,"f",FALSE)</f>
        <v>46939</v>
      </c>
      <c r="Z1113" s="171">
        <f>_xll.qlInterestRateIndexValueDate(IborIndex,Y1113,Trigger)</f>
        <v>46941</v>
      </c>
      <c r="AA1113" s="172">
        <v>1.0420389067233811E-2</v>
      </c>
      <c r="AB1113" s="169">
        <v>1.0387389631905108E-2</v>
      </c>
    </row>
    <row r="1114" spans="20:28" x14ac:dyDescent="0.2">
      <c r="T1114" s="130"/>
      <c r="U1114" s="151"/>
      <c r="X1114" s="170" t="str">
        <f t="shared" si="26"/>
        <v>1w</v>
      </c>
      <c r="Y1114" s="168">
        <f>_xll.qlCalendarAdvance(LiborCalendar,Y1113,X1114,"f",FALSE)</f>
        <v>46946</v>
      </c>
      <c r="Z1114" s="171">
        <f>_xll.qlInterestRateIndexValueDate(IborIndex,Y1114,Trigger)</f>
        <v>46948</v>
      </c>
      <c r="AA1114" s="172">
        <v>1.0423263198839716E-2</v>
      </c>
      <c r="AB1114" s="169">
        <v>1.0390513312446004E-2</v>
      </c>
    </row>
    <row r="1115" spans="20:28" x14ac:dyDescent="0.2">
      <c r="T1115" s="130"/>
      <c r="U1115" s="151"/>
      <c r="X1115" s="170" t="str">
        <f t="shared" si="26"/>
        <v>1w</v>
      </c>
      <c r="Y1115" s="168">
        <f>_xll.qlCalendarAdvance(LiborCalendar,Y1114,X1115,"f",FALSE)</f>
        <v>46953</v>
      </c>
      <c r="Z1115" s="171">
        <f>_xll.qlInterestRateIndexValueDate(IborIndex,Y1115,Trigger)</f>
        <v>46955</v>
      </c>
      <c r="AA1115" s="172">
        <v>1.0426097674379953E-2</v>
      </c>
      <c r="AB1115" s="169">
        <v>1.0393597439080082E-2</v>
      </c>
    </row>
    <row r="1116" spans="20:28" x14ac:dyDescent="0.2">
      <c r="T1116" s="130"/>
      <c r="U1116" s="151"/>
      <c r="X1116" s="170" t="str">
        <f t="shared" si="26"/>
        <v>1w</v>
      </c>
      <c r="Y1116" s="168">
        <f>_xll.qlCalendarAdvance(LiborCalendar,Y1115,X1116,"f",FALSE)</f>
        <v>46960</v>
      </c>
      <c r="Z1116" s="171">
        <f>_xll.qlInterestRateIndexValueDate(IborIndex,Y1116,Trigger)</f>
        <v>46962</v>
      </c>
      <c r="AA1116" s="172">
        <v>1.0428892493768637E-2</v>
      </c>
      <c r="AB1116" s="169">
        <v>1.039664201183399E-2</v>
      </c>
    </row>
    <row r="1117" spans="20:28" x14ac:dyDescent="0.2">
      <c r="T1117" s="130"/>
      <c r="U1117" s="151"/>
      <c r="X1117" s="170" t="str">
        <f t="shared" si="26"/>
        <v>1w</v>
      </c>
      <c r="Y1117" s="168">
        <f>_xll.qlCalendarAdvance(LiborCalendar,Y1116,X1117,"f",FALSE)</f>
        <v>46967</v>
      </c>
      <c r="Z1117" s="171">
        <f>_xll.qlInterestRateIndexValueDate(IborIndex,Y1117,Trigger)</f>
        <v>46969</v>
      </c>
      <c r="AA1117" s="172">
        <v>1.0431647656918178E-2</v>
      </c>
      <c r="AB1117" s="169">
        <v>1.0399647030681081E-2</v>
      </c>
    </row>
    <row r="1118" spans="20:28" x14ac:dyDescent="0.2">
      <c r="T1118" s="130"/>
      <c r="U1118" s="151"/>
      <c r="X1118" s="170" t="str">
        <f t="shared" si="26"/>
        <v>1w</v>
      </c>
      <c r="Y1118" s="168">
        <f>_xll.qlCalendarAdvance(LiborCalendar,Y1117,X1118,"f",FALSE)</f>
        <v>46974</v>
      </c>
      <c r="Z1118" s="171">
        <f>_xll.qlInterestRateIndexValueDate(IborIndex,Y1118,Trigger)</f>
        <v>46976</v>
      </c>
      <c r="AA1118" s="172">
        <v>1.0434363163742688E-2</v>
      </c>
      <c r="AB1118" s="169">
        <v>1.0402612495674646E-2</v>
      </c>
    </row>
    <row r="1119" spans="20:28" x14ac:dyDescent="0.2">
      <c r="T1119" s="130"/>
      <c r="U1119" s="151"/>
      <c r="X1119" s="170" t="str">
        <f t="shared" si="26"/>
        <v>1w</v>
      </c>
      <c r="Y1119" s="168">
        <f>_xll.qlCalendarAdvance(LiborCalendar,Y1118,X1119,"f",FALSE)</f>
        <v>46981</v>
      </c>
      <c r="Z1119" s="171">
        <f>_xll.qlInterestRateIndexValueDate(IborIndex,Y1119,Trigger)</f>
        <v>46983</v>
      </c>
      <c r="AA1119" s="172">
        <v>1.0437039014158826E-2</v>
      </c>
      <c r="AB1119" s="169">
        <v>1.0405538406734749E-2</v>
      </c>
    </row>
    <row r="1120" spans="20:28" x14ac:dyDescent="0.2">
      <c r="T1120" s="130"/>
      <c r="U1120" s="151"/>
      <c r="X1120" s="170" t="str">
        <f t="shared" si="26"/>
        <v>1w</v>
      </c>
      <c r="Y1120" s="168">
        <f>_xll.qlCalendarAdvance(LiborCalendar,Y1119,X1120,"f",FALSE)</f>
        <v>46988</v>
      </c>
      <c r="Z1120" s="171">
        <f>_xll.qlInterestRateIndexValueDate(IborIndex,Y1120,Trigger)</f>
        <v>46990</v>
      </c>
      <c r="AA1120" s="172">
        <v>1.0439675208084108E-2</v>
      </c>
      <c r="AB1120" s="169">
        <v>1.0408779651973621E-2</v>
      </c>
    </row>
    <row r="1121" spans="20:28" x14ac:dyDescent="0.2">
      <c r="T1121" s="130"/>
      <c r="U1121" s="151"/>
      <c r="X1121" s="170" t="str">
        <f t="shared" si="26"/>
        <v>1w</v>
      </c>
      <c r="Y1121" s="168">
        <f>_xll.qlCalendarAdvance(LiborCalendar,Y1120,X1121,"f",FALSE)</f>
        <v>46995</v>
      </c>
      <c r="Z1121" s="171">
        <f>_xll.qlInterestRateIndexValueDate(IborIndex,Y1121,Trigger)</f>
        <v>46997</v>
      </c>
      <c r="AA1121" s="172">
        <v>1.0441283533629501E-2</v>
      </c>
      <c r="AB1121" s="169">
        <v>1.0411271567134506E-2</v>
      </c>
    </row>
    <row r="1122" spans="20:28" x14ac:dyDescent="0.2">
      <c r="T1122" s="130"/>
      <c r="U1122" s="151"/>
      <c r="X1122" s="170" t="str">
        <f t="shared" si="26"/>
        <v>1w</v>
      </c>
      <c r="Y1122" s="168">
        <f>_xll.qlCalendarAdvance(LiborCalendar,Y1121,X1122,"f",FALSE)</f>
        <v>47002</v>
      </c>
      <c r="Z1122" s="171">
        <f>_xll.qlInterestRateIndexValueDate(IborIndex,Y1122,Trigger)</f>
        <v>47004</v>
      </c>
      <c r="AA1122" s="172">
        <v>1.0443848689262023E-2</v>
      </c>
      <c r="AB1122" s="169">
        <v>1.0414078816474159E-2</v>
      </c>
    </row>
    <row r="1123" spans="20:28" x14ac:dyDescent="0.2">
      <c r="T1123" s="130"/>
      <c r="U1123" s="151"/>
      <c r="X1123" s="170" t="str">
        <f t="shared" si="26"/>
        <v>1w</v>
      </c>
      <c r="Y1123" s="168">
        <f>_xll.qlCalendarAdvance(LiborCalendar,Y1122,X1123,"f",FALSE)</f>
        <v>47009</v>
      </c>
      <c r="Z1123" s="171">
        <f>_xll.qlInterestRateIndexValueDate(IborIndex,Y1123,Trigger)</f>
        <v>47011</v>
      </c>
      <c r="AA1123" s="172">
        <v>1.0446374191569524E-2</v>
      </c>
      <c r="AB1123" s="169">
        <v>1.0416846511906996E-2</v>
      </c>
    </row>
    <row r="1124" spans="20:28" x14ac:dyDescent="0.2">
      <c r="T1124" s="130"/>
      <c r="U1124" s="151"/>
      <c r="X1124" s="170" t="str">
        <f t="shared" si="26"/>
        <v>1w</v>
      </c>
      <c r="Y1124" s="168">
        <f>_xll.qlCalendarAdvance(LiborCalendar,Y1123,X1124,"f",FALSE)</f>
        <v>47016</v>
      </c>
      <c r="Z1124" s="171">
        <f>_xll.qlInterestRateIndexValueDate(IborIndex,Y1124,Trigger)</f>
        <v>47018</v>
      </c>
      <c r="AA1124" s="172">
        <v>1.0448860040479976E-2</v>
      </c>
      <c r="AB1124" s="169">
        <v>1.0419574653406372E-2</v>
      </c>
    </row>
    <row r="1125" spans="20:28" x14ac:dyDescent="0.2">
      <c r="T1125" s="130"/>
      <c r="U1125" s="151"/>
      <c r="X1125" s="170" t="str">
        <f t="shared" si="26"/>
        <v>1w</v>
      </c>
      <c r="Y1125" s="168">
        <f>_xll.qlCalendarAdvance(LiborCalendar,Y1124,X1125,"f",FALSE)</f>
        <v>47023</v>
      </c>
      <c r="Z1125" s="171">
        <f>_xll.qlInterestRateIndexValueDate(IborIndex,Y1125,Trigger)</f>
        <v>47025</v>
      </c>
      <c r="AA1125" s="172">
        <v>1.0451306235916079E-2</v>
      </c>
      <c r="AB1125" s="169">
        <v>1.042226324099893E-2</v>
      </c>
    </row>
    <row r="1126" spans="20:28" x14ac:dyDescent="0.2">
      <c r="T1126" s="130"/>
      <c r="U1126" s="151"/>
      <c r="X1126" s="170" t="str">
        <f t="shared" si="26"/>
        <v>1w</v>
      </c>
      <c r="Y1126" s="168">
        <f>_xll.qlCalendarAdvance(LiborCalendar,Y1125,X1126,"f",FALSE)</f>
        <v>47030</v>
      </c>
      <c r="Z1126" s="171">
        <f>_xll.qlInterestRateIndexValueDate(IborIndex,Y1126,Trigger)</f>
        <v>47032</v>
      </c>
      <c r="AA1126" s="172">
        <v>1.0454659580820765E-2</v>
      </c>
      <c r="AB1126" s="169">
        <v>1.0424912274684672E-2</v>
      </c>
    </row>
    <row r="1127" spans="20:28" x14ac:dyDescent="0.2">
      <c r="T1127" s="130"/>
      <c r="U1127" s="151"/>
      <c r="X1127" s="170" t="str">
        <f t="shared" si="26"/>
        <v>1w</v>
      </c>
      <c r="Y1127" s="168">
        <f>_xll.qlCalendarAdvance(LiborCalendar,Y1126,X1127,"f",FALSE)</f>
        <v>47037</v>
      </c>
      <c r="Z1127" s="171">
        <f>_xll.qlInterestRateIndexValueDate(IborIndex,Y1127,Trigger)</f>
        <v>47039</v>
      </c>
      <c r="AA1127" s="172">
        <v>1.0457018177087144E-2</v>
      </c>
      <c r="AB1127" s="169">
        <v>1.0427521754436953E-2</v>
      </c>
    </row>
    <row r="1128" spans="20:28" x14ac:dyDescent="0.2">
      <c r="T1128" s="130"/>
      <c r="U1128" s="151"/>
      <c r="X1128" s="170" t="str">
        <f t="shared" si="26"/>
        <v>1w</v>
      </c>
      <c r="Y1128" s="168">
        <f>_xll.qlCalendarAdvance(LiborCalendar,Y1127,X1128,"f",FALSE)</f>
        <v>47044</v>
      </c>
      <c r="Z1128" s="171">
        <f>_xll.qlInterestRateIndexValueDate(IborIndex,Y1128,Trigger)</f>
        <v>47046</v>
      </c>
      <c r="AA1128" s="172">
        <v>1.0459337116241887E-2</v>
      </c>
      <c r="AB1128" s="169">
        <v>1.0430091680255771E-2</v>
      </c>
    </row>
    <row r="1129" spans="20:28" x14ac:dyDescent="0.2">
      <c r="T1129" s="130"/>
      <c r="U1129" s="151"/>
      <c r="X1129" s="170" t="str">
        <f t="shared" si="26"/>
        <v>1w</v>
      </c>
      <c r="Y1129" s="168">
        <f>_xll.qlCalendarAdvance(LiborCalendar,Y1128,X1129,"f",FALSE)</f>
        <v>47051</v>
      </c>
      <c r="Z1129" s="171">
        <f>_xll.qlInterestRateIndexValueDate(IborIndex,Y1129,Trigger)</f>
        <v>47053</v>
      </c>
      <c r="AA1129" s="172">
        <v>1.0461616398214409E-2</v>
      </c>
      <c r="AB1129" s="169">
        <v>1.0432622052167773E-2</v>
      </c>
    </row>
    <row r="1130" spans="20:28" x14ac:dyDescent="0.2">
      <c r="T1130" s="130"/>
      <c r="U1130" s="151"/>
      <c r="X1130" s="170" t="str">
        <f t="shared" si="26"/>
        <v>1w</v>
      </c>
      <c r="Y1130" s="168">
        <f>_xll.qlCalendarAdvance(LiborCalendar,Y1129,X1130,"f",FALSE)</f>
        <v>47058</v>
      </c>
      <c r="Z1130" s="171">
        <f>_xll.qlInterestRateIndexValueDate(IborIndex,Y1130,Trigger)</f>
        <v>47060</v>
      </c>
      <c r="AA1130" s="172">
        <v>1.0463856022934133E-2</v>
      </c>
      <c r="AB1130" s="169">
        <v>1.0435112870146313E-2</v>
      </c>
    </row>
    <row r="1131" spans="20:28" x14ac:dyDescent="0.2">
      <c r="T1131" s="130"/>
      <c r="U1131" s="151"/>
      <c r="X1131" s="170" t="str">
        <f t="shared" si="26"/>
        <v>1w</v>
      </c>
      <c r="Y1131" s="168">
        <f>_xll.qlCalendarAdvance(LiborCalendar,Y1130,X1131,"f",FALSE)</f>
        <v>47065</v>
      </c>
      <c r="Z1131" s="171">
        <f>_xll.qlInterestRateIndexValueDate(IborIndex,Y1131,Trigger)</f>
        <v>47067</v>
      </c>
      <c r="AA1131" s="172">
        <v>1.0466055990332172E-2</v>
      </c>
      <c r="AB1131" s="169">
        <v>1.0437564134191391E-2</v>
      </c>
    </row>
    <row r="1132" spans="20:28" x14ac:dyDescent="0.2">
      <c r="T1132" s="130"/>
      <c r="U1132" s="151"/>
      <c r="X1132" s="170" t="str">
        <f t="shared" si="26"/>
        <v>1w</v>
      </c>
      <c r="Y1132" s="168">
        <f>_xll.qlCalendarAdvance(LiborCalendar,Y1131,X1132,"f",FALSE)</f>
        <v>47072</v>
      </c>
      <c r="Z1132" s="171">
        <f>_xll.qlInterestRateIndexValueDate(IborIndex,Y1132,Trigger)</f>
        <v>47074</v>
      </c>
      <c r="AA1132" s="172">
        <v>1.04682163003388E-2</v>
      </c>
      <c r="AB1132" s="169">
        <v>1.0439975844276361E-2</v>
      </c>
    </row>
    <row r="1133" spans="20:28" x14ac:dyDescent="0.2">
      <c r="T1133" s="130"/>
      <c r="U1133" s="151"/>
      <c r="X1133" s="170" t="str">
        <f t="shared" si="26"/>
        <v>1w</v>
      </c>
      <c r="Y1133" s="168">
        <f>_xll.qlCalendarAdvance(LiborCalendar,Y1132,X1133,"f",FALSE)</f>
        <v>47079</v>
      </c>
      <c r="Z1133" s="171">
        <f>_xll.qlInterestRateIndexValueDate(IborIndex,Y1133,Trigger)</f>
        <v>47081</v>
      </c>
      <c r="AA1133" s="172">
        <v>1.0470336952888534E-2</v>
      </c>
      <c r="AB1133" s="169">
        <v>1.0442348000454515E-2</v>
      </c>
    </row>
    <row r="1134" spans="20:28" x14ac:dyDescent="0.2">
      <c r="T1134" s="130"/>
      <c r="U1134" s="151"/>
      <c r="X1134" s="170" t="str">
        <f t="shared" si="26"/>
        <v>1w</v>
      </c>
      <c r="Y1134" s="168">
        <f>_xll.qlCalendarAdvance(LiborCalendar,Y1133,X1134,"f",FALSE)</f>
        <v>47086</v>
      </c>
      <c r="Z1134" s="171">
        <f>_xll.qlInterestRateIndexValueDate(IborIndex,Y1134,Trigger)</f>
        <v>47088</v>
      </c>
      <c r="AA1134" s="172">
        <v>1.0471243602592217E-2</v>
      </c>
      <c r="AB1134" s="169">
        <v>1.0444680602672562E-2</v>
      </c>
    </row>
    <row r="1135" spans="20:28" x14ac:dyDescent="0.2">
      <c r="T1135" s="130"/>
      <c r="U1135" s="151"/>
      <c r="X1135" s="170" t="str">
        <f t="shared" si="26"/>
        <v>1w</v>
      </c>
      <c r="Y1135" s="168">
        <f>_xll.qlCalendarAdvance(LiborCalendar,Y1134,X1135,"f",FALSE)</f>
        <v>47093</v>
      </c>
      <c r="Z1135" s="171">
        <f>_xll.qlInterestRateIndexValueDate(IborIndex,Y1135,Trigger)</f>
        <v>47095</v>
      </c>
      <c r="AA1135" s="172">
        <v>1.0473296032270873E-2</v>
      </c>
      <c r="AB1135" s="169">
        <v>1.0446973650957148E-2</v>
      </c>
    </row>
    <row r="1136" spans="20:28" x14ac:dyDescent="0.2">
      <c r="T1136" s="130"/>
      <c r="U1136" s="151"/>
      <c r="X1136" s="170" t="str">
        <f t="shared" si="26"/>
        <v>1w</v>
      </c>
      <c r="Y1136" s="168">
        <f>_xll.qlCalendarAdvance(LiborCalendar,Y1135,X1136,"f",FALSE)</f>
        <v>47100</v>
      </c>
      <c r="Z1136" s="171">
        <f>_xll.qlInterestRateIndexValueDate(IborIndex,Y1136,Trigger)</f>
        <v>47102</v>
      </c>
      <c r="AA1136" s="172">
        <v>1.0475308808879369E-2</v>
      </c>
      <c r="AB1136" s="169">
        <v>1.0449227145308271E-2</v>
      </c>
    </row>
    <row r="1137" spans="20:28" x14ac:dyDescent="0.2">
      <c r="T1137" s="130"/>
      <c r="U1137" s="151"/>
      <c r="X1137" s="170" t="str">
        <f t="shared" si="26"/>
        <v>1w</v>
      </c>
      <c r="Y1137" s="168">
        <f>_xll.qlCalendarAdvance(LiborCalendar,Y1136,X1137,"f",FALSE)</f>
        <v>47107</v>
      </c>
      <c r="Z1137" s="171">
        <f>_xll.qlInterestRateIndexValueDate(IborIndex,Y1137,Trigger)</f>
        <v>47109</v>
      </c>
      <c r="AA1137" s="172">
        <v>1.0477281932357307E-2</v>
      </c>
      <c r="AB1137" s="169">
        <v>1.0452057034990858E-2</v>
      </c>
    </row>
    <row r="1138" spans="20:28" x14ac:dyDescent="0.2">
      <c r="T1138" s="130"/>
      <c r="U1138" s="151"/>
      <c r="X1138" s="170" t="str">
        <f t="shared" si="26"/>
        <v>1w</v>
      </c>
      <c r="Y1138" s="168">
        <f>_xll.qlCalendarAdvance(LiborCalendar,Y1137,X1138,"f",FALSE)</f>
        <v>47114</v>
      </c>
      <c r="Z1138" s="171">
        <f>_xll.qlInterestRateIndexValueDate(IborIndex,Y1138,Trigger)</f>
        <v>47116</v>
      </c>
      <c r="AA1138" s="172">
        <v>1.0479215402646069E-2</v>
      </c>
      <c r="AB1138" s="169">
        <v>1.0453920813082718E-2</v>
      </c>
    </row>
    <row r="1139" spans="20:28" x14ac:dyDescent="0.2">
      <c r="T1139" s="130"/>
      <c r="U1139" s="151"/>
      <c r="X1139" s="170" t="str">
        <f t="shared" si="26"/>
        <v>1w</v>
      </c>
      <c r="Y1139" s="168">
        <f>_xll.qlCalendarAdvance(LiborCalendar,Y1138,X1139,"f",FALSE)</f>
        <v>47121</v>
      </c>
      <c r="Z1139" s="171">
        <f>_xll.qlInterestRateIndexValueDate(IborIndex,Y1139,Trigger)</f>
        <v>47123</v>
      </c>
      <c r="AA1139" s="172">
        <v>1.0481109219689699E-2</v>
      </c>
      <c r="AB1139" s="169">
        <v>1.0455750304600997E-2</v>
      </c>
    </row>
    <row r="1140" spans="20:28" x14ac:dyDescent="0.2">
      <c r="T1140" s="130"/>
      <c r="U1140" s="151"/>
      <c r="X1140" s="170" t="str">
        <f t="shared" si="26"/>
        <v>1w</v>
      </c>
      <c r="Y1140" s="168">
        <f>_xll.qlCalendarAdvance(LiborCalendar,Y1139,X1140,"f",FALSE)</f>
        <v>47128</v>
      </c>
      <c r="Z1140" s="171">
        <f>_xll.qlInterestRateIndexValueDate(IborIndex,Y1140,Trigger)</f>
        <v>47130</v>
      </c>
      <c r="AA1140" s="172">
        <v>1.0482963383431354E-2</v>
      </c>
      <c r="AB1140" s="169">
        <v>1.0457845583164982E-2</v>
      </c>
    </row>
    <row r="1141" spans="20:28" x14ac:dyDescent="0.2">
      <c r="T1141" s="130"/>
      <c r="U1141" s="151"/>
      <c r="X1141" s="170" t="str">
        <f t="shared" si="26"/>
        <v>1w</v>
      </c>
      <c r="Y1141" s="168">
        <f>_xll.qlCalendarAdvance(LiborCalendar,Y1140,X1141,"f",FALSE)</f>
        <v>47135</v>
      </c>
      <c r="Z1141" s="171">
        <f>_xll.qlInterestRateIndexValueDate(IborIndex,Y1141,Trigger)</f>
        <v>47137</v>
      </c>
      <c r="AA1141" s="172">
        <v>1.0484777893815966E-2</v>
      </c>
      <c r="AB1141" s="169">
        <v>1.0459901307742214E-2</v>
      </c>
    </row>
    <row r="1142" spans="20:28" x14ac:dyDescent="0.2">
      <c r="T1142" s="130"/>
      <c r="U1142" s="151"/>
      <c r="X1142" s="170" t="str">
        <f t="shared" si="26"/>
        <v>1w</v>
      </c>
      <c r="Y1142" s="168">
        <f>_xll.qlCalendarAdvance(LiborCalendar,Y1141,X1142,"f",FALSE)</f>
        <v>47142</v>
      </c>
      <c r="Z1142" s="171">
        <f>_xll.qlInterestRateIndexValueDate(IborIndex,Y1142,Trigger)</f>
        <v>47144</v>
      </c>
      <c r="AA1142" s="172">
        <v>1.0486552750790246E-2</v>
      </c>
      <c r="AB1142" s="169">
        <v>1.0461917478359339E-2</v>
      </c>
    </row>
    <row r="1143" spans="20:28" x14ac:dyDescent="0.2">
      <c r="T1143" s="130"/>
      <c r="U1143" s="151"/>
      <c r="X1143" s="170" t="str">
        <f t="shared" si="26"/>
        <v>1w</v>
      </c>
      <c r="Y1143" s="168">
        <f>_xll.qlCalendarAdvance(LiborCalendar,Y1142,X1143,"f",FALSE)</f>
        <v>47149</v>
      </c>
      <c r="Z1143" s="171">
        <f>_xll.qlInterestRateIndexValueDate(IborIndex,Y1143,Trigger)</f>
        <v>47151</v>
      </c>
      <c r="AA1143" s="172">
        <v>1.048801871668449E-2</v>
      </c>
      <c r="AB1143" s="169">
        <v>1.0463894095016357E-2</v>
      </c>
    </row>
    <row r="1144" spans="20:28" x14ac:dyDescent="0.2">
      <c r="T1144" s="130"/>
      <c r="U1144" s="151"/>
      <c r="X1144" s="170" t="str">
        <f t="shared" si="26"/>
        <v>1w</v>
      </c>
      <c r="Y1144" s="168">
        <f>_xll.qlCalendarAdvance(LiborCalendar,Y1143,X1144,"f",FALSE)</f>
        <v>47156</v>
      </c>
      <c r="Z1144" s="171">
        <f>_xll.qlInterestRateIndexValueDate(IborIndex,Y1144,Trigger)</f>
        <v>47158</v>
      </c>
      <c r="AA1144" s="172">
        <v>1.0489717049658967E-2</v>
      </c>
      <c r="AB1144" s="169">
        <v>1.0465831157739913E-2</v>
      </c>
    </row>
    <row r="1145" spans="20:28" x14ac:dyDescent="0.2">
      <c r="T1145" s="130"/>
      <c r="U1145" s="151"/>
      <c r="X1145" s="170" t="str">
        <f t="shared" si="26"/>
        <v>1w</v>
      </c>
      <c r="Y1145" s="168">
        <f>_xll.qlCalendarAdvance(LiborCalendar,Y1144,X1145,"f",FALSE)</f>
        <v>47163</v>
      </c>
      <c r="Z1145" s="171">
        <f>_xll.qlInterestRateIndexValueDate(IborIndex,Y1145,Trigger)</f>
        <v>47165</v>
      </c>
      <c r="AA1145" s="172">
        <v>1.0491375730218163E-2</v>
      </c>
      <c r="AB1145" s="169">
        <v>1.0467728666476717E-2</v>
      </c>
    </row>
    <row r="1146" spans="20:28" x14ac:dyDescent="0.2">
      <c r="T1146" s="130"/>
      <c r="U1146" s="151"/>
      <c r="X1146" s="170" t="str">
        <f t="shared" si="26"/>
        <v>1w</v>
      </c>
      <c r="Y1146" s="168">
        <f>_xll.qlCalendarAdvance(LiborCalendar,Y1145,X1146,"f",FALSE)</f>
        <v>47170</v>
      </c>
      <c r="Z1146" s="171">
        <f>_xll.qlInterestRateIndexValueDate(IborIndex,Y1146,Trigger)</f>
        <v>47172</v>
      </c>
      <c r="AA1146" s="172">
        <v>1.0492994758312673E-2</v>
      </c>
      <c r="AB1146" s="169">
        <v>1.0469586621253413E-2</v>
      </c>
    </row>
    <row r="1147" spans="20:28" x14ac:dyDescent="0.2">
      <c r="T1147" s="130"/>
      <c r="U1147" s="151"/>
      <c r="X1147" s="170" t="str">
        <f t="shared" si="26"/>
        <v>1w</v>
      </c>
      <c r="Y1147" s="168">
        <f>_xll.qlCalendarAdvance(LiborCalendar,Y1146,X1147,"f",FALSE)</f>
        <v>47177</v>
      </c>
      <c r="Z1147" s="171">
        <f>_xll.qlInterestRateIndexValueDate(IborIndex,Y1147,Trigger)</f>
        <v>47179</v>
      </c>
      <c r="AA1147" s="172">
        <v>1.0495862020993651E-2</v>
      </c>
      <c r="AB1147" s="169">
        <v>1.0471405022043356E-2</v>
      </c>
    </row>
    <row r="1148" spans="20:28" x14ac:dyDescent="0.2">
      <c r="T1148" s="130"/>
      <c r="U1148" s="151"/>
      <c r="X1148" s="170" t="str">
        <f t="shared" si="26"/>
        <v>1w</v>
      </c>
      <c r="Y1148" s="168">
        <f>_xll.qlCalendarAdvance(LiborCalendar,Y1147,X1148,"f",FALSE)</f>
        <v>47184</v>
      </c>
      <c r="Z1148" s="171">
        <f>_xll.qlInterestRateIndexValueDate(IborIndex,Y1148,Trigger)</f>
        <v>47186</v>
      </c>
      <c r="AA1148" s="172">
        <v>1.0497387804486393E-2</v>
      </c>
      <c r="AB1148" s="169">
        <v>1.0473183868899838E-2</v>
      </c>
    </row>
    <row r="1149" spans="20:28" x14ac:dyDescent="0.2">
      <c r="T1149" s="130"/>
      <c r="U1149" s="151"/>
      <c r="X1149" s="170" t="str">
        <f t="shared" si="26"/>
        <v>1w</v>
      </c>
      <c r="Y1149" s="168">
        <f>_xll.qlCalendarAdvance(LiborCalendar,Y1148,X1149,"f",FALSE)</f>
        <v>47191</v>
      </c>
      <c r="Z1149" s="171">
        <f>_xll.qlInterestRateIndexValueDate(IborIndex,Y1149,Trigger)</f>
        <v>47193</v>
      </c>
      <c r="AA1149" s="172">
        <v>1.0498873929616584E-2</v>
      </c>
      <c r="AB1149" s="169">
        <v>1.0474923161769567E-2</v>
      </c>
    </row>
    <row r="1150" spans="20:28" x14ac:dyDescent="0.2">
      <c r="T1150" s="130"/>
      <c r="U1150" s="151"/>
      <c r="X1150" s="170" t="str">
        <f t="shared" si="26"/>
        <v>1w</v>
      </c>
      <c r="Y1150" s="168">
        <f>_xll.qlCalendarAdvance(LiborCalendar,Y1149,X1150,"f",FALSE)</f>
        <v>47198</v>
      </c>
      <c r="Z1150" s="171">
        <f>_xll.qlInterestRateIndexValueDate(IborIndex,Y1150,Trigger)</f>
        <v>47200</v>
      </c>
      <c r="AA1150" s="172">
        <v>1.0500320396340003E-2</v>
      </c>
      <c r="AB1150" s="169">
        <v>1.0476622900679189E-2</v>
      </c>
    </row>
    <row r="1151" spans="20:28" x14ac:dyDescent="0.2">
      <c r="T1151" s="130"/>
      <c r="U1151" s="151"/>
      <c r="X1151" s="170" t="str">
        <f t="shared" si="26"/>
        <v>1w</v>
      </c>
      <c r="Y1151" s="168">
        <f>_xll.qlCalendarAdvance(LiborCalendar,Y1150,X1151,"f",FALSE)</f>
        <v>47205</v>
      </c>
      <c r="Z1151" s="171">
        <f>_xll.qlInterestRateIndexValueDate(IborIndex,Y1151,Trigger)</f>
        <v>47211</v>
      </c>
      <c r="AA1151" s="172">
        <v>1.0501779603624735E-2</v>
      </c>
      <c r="AB1151" s="169">
        <v>1.0478677743748221E-2</v>
      </c>
    </row>
    <row r="1152" spans="20:28" x14ac:dyDescent="0.2">
      <c r="T1152" s="130"/>
      <c r="U1152" s="151"/>
      <c r="X1152" s="170" t="str">
        <f t="shared" si="26"/>
        <v>1w</v>
      </c>
      <c r="Y1152" s="168">
        <f>_xll.qlCalendarAdvance(LiborCalendar,Y1151,X1152,"f",FALSE)</f>
        <v>47212</v>
      </c>
      <c r="Z1152" s="171">
        <f>_xll.qlInterestRateIndexValueDate(IborIndex,Y1152,Trigger)</f>
        <v>47214</v>
      </c>
      <c r="AA1152" s="172">
        <v>1.0502364259822476E-2</v>
      </c>
      <c r="AB1152" s="169">
        <v>1.0479903716538175E-2</v>
      </c>
    </row>
    <row r="1153" spans="20:28" x14ac:dyDescent="0.2">
      <c r="T1153" s="130"/>
      <c r="U1153" s="151"/>
      <c r="X1153" s="170" t="str">
        <f t="shared" si="26"/>
        <v>1w</v>
      </c>
      <c r="Y1153" s="168">
        <f>_xll.qlCalendarAdvance(LiborCalendar,Y1152,X1153,"f",FALSE)</f>
        <v>47219</v>
      </c>
      <c r="Z1153" s="171">
        <f>_xll.qlInterestRateIndexValueDate(IborIndex,Y1153,Trigger)</f>
        <v>47221</v>
      </c>
      <c r="AA1153" s="172">
        <v>1.0503700132555348E-2</v>
      </c>
      <c r="AB1153" s="169">
        <v>1.0481484793514184E-2</v>
      </c>
    </row>
    <row r="1154" spans="20:28" x14ac:dyDescent="0.2">
      <c r="T1154" s="130"/>
      <c r="U1154" s="151"/>
      <c r="X1154" s="170" t="str">
        <f t="shared" si="26"/>
        <v>1w</v>
      </c>
      <c r="Y1154" s="168">
        <f>_xll.qlCalendarAdvance(LiborCalendar,Y1153,X1154,"f",FALSE)</f>
        <v>47226</v>
      </c>
      <c r="Z1154" s="171">
        <f>_xll.qlInterestRateIndexValueDate(IborIndex,Y1154,Trigger)</f>
        <v>47228</v>
      </c>
      <c r="AA1154" s="172">
        <v>1.050499635017035E-2</v>
      </c>
      <c r="AB1154" s="169">
        <v>1.0483026316503441E-2</v>
      </c>
    </row>
    <row r="1155" spans="20:28" x14ac:dyDescent="0.2">
      <c r="T1155" s="130"/>
      <c r="U1155" s="151"/>
      <c r="X1155" s="170" t="str">
        <f t="shared" si="26"/>
        <v>1w</v>
      </c>
      <c r="Y1155" s="168">
        <f>_xll.qlCalendarAdvance(LiborCalendar,Y1154,X1155,"f",FALSE)</f>
        <v>47233</v>
      </c>
      <c r="Z1155" s="171">
        <f>_xll.qlInterestRateIndexValueDate(IborIndex,Y1155,Trigger)</f>
        <v>47235</v>
      </c>
      <c r="AA1155" s="172">
        <v>1.0506252912627074E-2</v>
      </c>
      <c r="AB1155" s="169">
        <v>1.0484528285505945E-2</v>
      </c>
    </row>
    <row r="1156" spans="20:28" x14ac:dyDescent="0.2">
      <c r="T1156" s="130"/>
      <c r="U1156" s="151"/>
      <c r="X1156" s="170" t="str">
        <f t="shared" si="26"/>
        <v>1w</v>
      </c>
      <c r="Y1156" s="168">
        <f>_xll.qlCalendarAdvance(LiborCalendar,Y1155,X1156,"f",FALSE)</f>
        <v>47240</v>
      </c>
      <c r="Z1156" s="171">
        <f>_xll.qlInterestRateIndexValueDate(IborIndex,Y1156,Trigger)</f>
        <v>47242</v>
      </c>
      <c r="AA1156" s="172">
        <v>1.0508166367704524E-2</v>
      </c>
      <c r="AB1156" s="169">
        <v>1.0486246126468757E-2</v>
      </c>
    </row>
    <row r="1157" spans="20:28" x14ac:dyDescent="0.2">
      <c r="T1157" s="130"/>
      <c r="U1157" s="151"/>
      <c r="X1157" s="170" t="str">
        <f t="shared" si="26"/>
        <v>1w</v>
      </c>
      <c r="Y1157" s="168">
        <f>_xll.qlCalendarAdvance(LiborCalendar,Y1156,X1157,"f",FALSE)</f>
        <v>47247</v>
      </c>
      <c r="Z1157" s="171">
        <f>_xll.qlInterestRateIndexValueDate(IborIndex,Y1157,Trigger)</f>
        <v>47249</v>
      </c>
      <c r="AA1157" s="172">
        <v>1.0509335224391708E-2</v>
      </c>
      <c r="AB1157" s="169">
        <v>1.0487413561603987E-2</v>
      </c>
    </row>
    <row r="1158" spans="20:28" x14ac:dyDescent="0.2">
      <c r="T1158" s="130"/>
      <c r="U1158" s="151"/>
      <c r="X1158" s="170" t="str">
        <f t="shared" si="26"/>
        <v>1w</v>
      </c>
      <c r="Y1158" s="168">
        <f>_xll.qlCalendarAdvance(LiborCalendar,Y1157,X1158,"f",FALSE)</f>
        <v>47254</v>
      </c>
      <c r="Z1158" s="171">
        <f>_xll.qlInterestRateIndexValueDate(IborIndex,Y1158,Trigger)</f>
        <v>47256</v>
      </c>
      <c r="AA1158" s="172">
        <v>1.0510464422346424E-2</v>
      </c>
      <c r="AB1158" s="169">
        <v>1.0488796868646233E-2</v>
      </c>
    </row>
    <row r="1159" spans="20:28" x14ac:dyDescent="0.2">
      <c r="T1159" s="130"/>
      <c r="U1159" s="151"/>
      <c r="X1159" s="170" t="str">
        <f t="shared" si="26"/>
        <v>1w</v>
      </c>
      <c r="Y1159" s="168">
        <f>_xll.qlCalendarAdvance(LiborCalendar,Y1158,X1159,"f",FALSE)</f>
        <v>47261</v>
      </c>
      <c r="Z1159" s="171">
        <f>_xll.qlInterestRateIndexValueDate(IborIndex,Y1159,Trigger)</f>
        <v>47263</v>
      </c>
      <c r="AA1159" s="172">
        <v>1.0511777219920347E-2</v>
      </c>
      <c r="AB1159" s="169">
        <v>1.0490387692458913E-2</v>
      </c>
    </row>
    <row r="1160" spans="20:28" x14ac:dyDescent="0.2">
      <c r="T1160" s="130"/>
      <c r="U1160" s="151"/>
      <c r="X1160" s="170" t="str">
        <f t="shared" si="26"/>
        <v>1w</v>
      </c>
      <c r="Y1160" s="168">
        <f>_xll.qlCalendarAdvance(LiborCalendar,Y1159,X1160,"f",FALSE)</f>
        <v>47268</v>
      </c>
      <c r="Z1160" s="171">
        <f>_xll.qlInterestRateIndexValueDate(IborIndex,Y1160,Trigger)</f>
        <v>47270</v>
      </c>
      <c r="AA1160" s="172">
        <v>1.051260384192494E-2</v>
      </c>
      <c r="AB1160" s="169">
        <v>1.0491444820823759E-2</v>
      </c>
    </row>
    <row r="1161" spans="20:28" x14ac:dyDescent="0.2">
      <c r="T1161" s="130"/>
      <c r="U1161" s="151"/>
      <c r="X1161" s="170" t="str">
        <f t="shared" si="26"/>
        <v>1w</v>
      </c>
      <c r="Y1161" s="168">
        <f>_xll.qlCalendarAdvance(LiborCalendar,Y1160,X1161,"f",FALSE)</f>
        <v>47275</v>
      </c>
      <c r="Z1161" s="171">
        <f>_xll.qlInterestRateIndexValueDate(IborIndex,Y1161,Trigger)</f>
        <v>47277</v>
      </c>
      <c r="AA1161" s="172">
        <v>1.051361406348071E-2</v>
      </c>
      <c r="AB1161" s="169">
        <v>1.0492709465932393E-2</v>
      </c>
    </row>
    <row r="1162" spans="20:28" x14ac:dyDescent="0.2">
      <c r="T1162" s="130"/>
      <c r="U1162" s="151"/>
      <c r="X1162" s="170" t="str">
        <f t="shared" si="26"/>
        <v>1w</v>
      </c>
      <c r="Y1162" s="168">
        <f>_xll.qlCalendarAdvance(LiborCalendar,Y1161,X1162,"f",FALSE)</f>
        <v>47282</v>
      </c>
      <c r="Z1162" s="171">
        <f>_xll.qlInterestRateIndexValueDate(IborIndex,Y1162,Trigger)</f>
        <v>47284</v>
      </c>
      <c r="AA1162" s="172">
        <v>1.0514584626173053E-2</v>
      </c>
      <c r="AB1162" s="169">
        <v>1.0493934557054274E-2</v>
      </c>
    </row>
    <row r="1163" spans="20:28" x14ac:dyDescent="0.2">
      <c r="T1163" s="130"/>
      <c r="U1163" s="151"/>
      <c r="X1163" s="170" t="str">
        <f t="shared" si="26"/>
        <v>1w</v>
      </c>
      <c r="Y1163" s="168">
        <f>_xll.qlCalendarAdvance(LiborCalendar,Y1162,X1163,"f",FALSE)</f>
        <v>47289</v>
      </c>
      <c r="Z1163" s="171">
        <f>_xll.qlInterestRateIndexValueDate(IborIndex,Y1163,Trigger)</f>
        <v>47291</v>
      </c>
      <c r="AA1163" s="172">
        <v>1.0515515529971355E-2</v>
      </c>
      <c r="AB1163" s="169">
        <v>1.0495120094162758E-2</v>
      </c>
    </row>
    <row r="1164" spans="20:28" x14ac:dyDescent="0.2">
      <c r="T1164" s="130"/>
      <c r="U1164" s="151"/>
      <c r="X1164" s="170" t="str">
        <f t="shared" si="26"/>
        <v>1w</v>
      </c>
      <c r="Y1164" s="168">
        <f>_xll.qlCalendarAdvance(LiborCalendar,Y1163,X1164,"f",FALSE)</f>
        <v>47296</v>
      </c>
      <c r="Z1164" s="171">
        <f>_xll.qlInterestRateIndexValueDate(IborIndex,Y1164,Trigger)</f>
        <v>47298</v>
      </c>
      <c r="AA1164" s="172">
        <v>1.0515777486839477E-2</v>
      </c>
      <c r="AB1164" s="169">
        <v>1.0496266077311134E-2</v>
      </c>
    </row>
    <row r="1165" spans="20:28" x14ac:dyDescent="0.2">
      <c r="T1165" s="130"/>
      <c r="U1165" s="151"/>
      <c r="X1165" s="170" t="str">
        <f t="shared" si="26"/>
        <v>1w</v>
      </c>
      <c r="Y1165" s="168">
        <f>_xll.qlCalendarAdvance(LiborCalendar,Y1164,X1165,"f",FALSE)</f>
        <v>47303</v>
      </c>
      <c r="Z1165" s="171">
        <f>_xll.qlInterestRateIndexValueDate(IborIndex,Y1165,Trigger)</f>
        <v>47305</v>
      </c>
      <c r="AA1165" s="172">
        <v>1.0517258360772733E-2</v>
      </c>
      <c r="AB1165" s="169">
        <v>1.0497372506419467E-2</v>
      </c>
    </row>
    <row r="1166" spans="20:28" x14ac:dyDescent="0.2">
      <c r="T1166" s="130"/>
      <c r="U1166" s="151"/>
      <c r="X1166" s="170" t="str">
        <f t="shared" si="26"/>
        <v>1w</v>
      </c>
      <c r="Y1166" s="168">
        <f>_xll.qlCalendarAdvance(LiborCalendar,Y1165,X1166,"f",FALSE)</f>
        <v>47310</v>
      </c>
      <c r="Z1166" s="171">
        <f>_xll.qlInterestRateIndexValueDate(IborIndex,Y1166,Trigger)</f>
        <v>47312</v>
      </c>
      <c r="AA1166" s="172">
        <v>1.0518070287720536E-2</v>
      </c>
      <c r="AB1166" s="169">
        <v>1.0498439381567692E-2</v>
      </c>
    </row>
    <row r="1167" spans="20:28" x14ac:dyDescent="0.2">
      <c r="T1167" s="130"/>
      <c r="U1167" s="151"/>
      <c r="X1167" s="170" t="str">
        <f t="shared" si="26"/>
        <v>1w</v>
      </c>
      <c r="Y1167" s="168">
        <f>_xll.qlCalendarAdvance(LiborCalendar,Y1166,X1167,"f",FALSE)</f>
        <v>47317</v>
      </c>
      <c r="Z1167" s="171">
        <f>_xll.qlInterestRateIndexValueDate(IborIndex,Y1167,Trigger)</f>
        <v>47319</v>
      </c>
      <c r="AA1167" s="172">
        <v>1.0518842555666298E-2</v>
      </c>
      <c r="AB1167" s="169">
        <v>1.049946670270252E-2</v>
      </c>
    </row>
    <row r="1168" spans="20:28" x14ac:dyDescent="0.2">
      <c r="T1168" s="130"/>
      <c r="U1168" s="151"/>
      <c r="X1168" s="170" t="str">
        <f t="shared" si="26"/>
        <v>1w</v>
      </c>
      <c r="Y1168" s="168">
        <f>_xll.qlCalendarAdvance(LiborCalendar,Y1167,X1168,"f",FALSE)</f>
        <v>47324</v>
      </c>
      <c r="Z1168" s="171">
        <f>_xll.qlInterestRateIndexValueDate(IborIndex,Y1168,Trigger)</f>
        <v>47326</v>
      </c>
      <c r="AA1168" s="172">
        <v>1.0519575164587061E-2</v>
      </c>
      <c r="AB1168" s="169">
        <v>1.0500454469850595E-2</v>
      </c>
    </row>
    <row r="1169" spans="20:28" x14ac:dyDescent="0.2">
      <c r="T1169" s="130"/>
      <c r="U1169" s="151"/>
      <c r="X1169" s="170" t="str">
        <f t="shared" si="26"/>
        <v>1w</v>
      </c>
      <c r="Y1169" s="168">
        <f>_xll.qlCalendarAdvance(LiborCalendar,Y1168,X1169,"f",FALSE)</f>
        <v>47331</v>
      </c>
      <c r="Z1169" s="171">
        <f>_xll.qlInterestRateIndexValueDate(IborIndex,Y1169,Trigger)</f>
        <v>47333</v>
      </c>
      <c r="AA1169" s="172">
        <v>1.0520268114459011E-2</v>
      </c>
      <c r="AB1169" s="169">
        <v>1.0501402683011918E-2</v>
      </c>
    </row>
    <row r="1170" spans="20:28" x14ac:dyDescent="0.2">
      <c r="T1170" s="130"/>
      <c r="U1170" s="151"/>
      <c r="X1170" s="170" t="str">
        <f t="shared" si="26"/>
        <v>1w</v>
      </c>
      <c r="Y1170" s="168">
        <f>_xll.qlCalendarAdvance(LiborCalendar,Y1169,X1170,"f",FALSE)</f>
        <v>47338</v>
      </c>
      <c r="Z1170" s="171">
        <f>_xll.qlInterestRateIndexValueDate(IborIndex,Y1170,Trigger)</f>
        <v>47340</v>
      </c>
      <c r="AA1170" s="172">
        <v>1.0520921405260893E-2</v>
      </c>
      <c r="AB1170" s="169">
        <v>1.0502311342159842E-2</v>
      </c>
    </row>
    <row r="1171" spans="20:28" x14ac:dyDescent="0.2">
      <c r="T1171" s="130"/>
      <c r="U1171" s="151"/>
      <c r="X1171" s="170" t="str">
        <f t="shared" si="26"/>
        <v>1w</v>
      </c>
      <c r="Y1171" s="168">
        <f>_xll.qlCalendarAdvance(LiborCalendar,Y1170,X1171,"f",FALSE)</f>
        <v>47345</v>
      </c>
      <c r="Z1171" s="171">
        <f>_xll.qlInterestRateIndexValueDate(IborIndex,Y1171,Trigger)</f>
        <v>47347</v>
      </c>
      <c r="AA1171" s="172">
        <v>1.0521535036972294E-2</v>
      </c>
      <c r="AB1171" s="169">
        <v>1.0503180447321014E-2</v>
      </c>
    </row>
    <row r="1172" spans="20:28" x14ac:dyDescent="0.2">
      <c r="T1172" s="130"/>
      <c r="U1172" s="151"/>
      <c r="X1172" s="170" t="str">
        <f t="shared" si="26"/>
        <v>1w</v>
      </c>
      <c r="Y1172" s="168">
        <f>_xll.qlCalendarAdvance(LiborCalendar,Y1171,X1172,"f",FALSE)</f>
        <v>47352</v>
      </c>
      <c r="Z1172" s="171">
        <f>_xll.qlInterestRateIndexValueDate(IborIndex,Y1172,Trigger)</f>
        <v>47354</v>
      </c>
      <c r="AA1172" s="172">
        <v>1.0522109009574506E-2</v>
      </c>
      <c r="AB1172" s="169">
        <v>1.0504220743823289E-2</v>
      </c>
    </row>
    <row r="1173" spans="20:28" x14ac:dyDescent="0.2">
      <c r="T1173" s="130"/>
      <c r="U1173" s="151"/>
      <c r="X1173" s="170" t="str">
        <f t="shared" ref="X1173:X1236" si="27">X1172</f>
        <v>1w</v>
      </c>
      <c r="Y1173" s="168">
        <f>_xll.qlCalendarAdvance(LiborCalendar,Y1172,X1173,"f",FALSE)</f>
        <v>47359</v>
      </c>
      <c r="Z1173" s="171">
        <f>_xll.qlInterestRateIndexValueDate(IborIndex,Y1173,Trigger)</f>
        <v>47361</v>
      </c>
      <c r="AA1173" s="172">
        <v>1.0522089967760752E-2</v>
      </c>
      <c r="AB1173" s="169">
        <v>1.050479999562981E-2</v>
      </c>
    </row>
    <row r="1174" spans="20:28" x14ac:dyDescent="0.2">
      <c r="T1174" s="130"/>
      <c r="U1174" s="151"/>
      <c r="X1174" s="170" t="str">
        <f t="shared" si="27"/>
        <v>1w</v>
      </c>
      <c r="Y1174" s="168">
        <f>_xll.qlCalendarAdvance(LiborCalendar,Y1173,X1174,"f",FALSE)</f>
        <v>47366</v>
      </c>
      <c r="Z1174" s="171">
        <f>_xll.qlInterestRateIndexValueDate(IborIndex,Y1174,Trigger)</f>
        <v>47368</v>
      </c>
      <c r="AA1174" s="172">
        <v>1.0522593076424931E-2</v>
      </c>
      <c r="AB1174" s="169">
        <v>1.0505550438777433E-2</v>
      </c>
    </row>
    <row r="1175" spans="20:28" x14ac:dyDescent="0.2">
      <c r="T1175" s="130"/>
      <c r="U1175" s="151"/>
      <c r="X1175" s="170" t="str">
        <f t="shared" si="27"/>
        <v>1w</v>
      </c>
      <c r="Y1175" s="168">
        <f>_xll.qlCalendarAdvance(LiborCalendar,Y1174,X1175,"f",FALSE)</f>
        <v>47373</v>
      </c>
      <c r="Z1175" s="171">
        <f>_xll.qlInterestRateIndexValueDate(IborIndex,Y1175,Trigger)</f>
        <v>47375</v>
      </c>
      <c r="AA1175" s="172">
        <v>1.0523056529403782E-2</v>
      </c>
      <c r="AB1175" s="169">
        <v>1.0506261327911659E-2</v>
      </c>
    </row>
    <row r="1176" spans="20:28" x14ac:dyDescent="0.2">
      <c r="T1176" s="130"/>
      <c r="U1176" s="151"/>
      <c r="X1176" s="170" t="str">
        <f t="shared" si="27"/>
        <v>1w</v>
      </c>
      <c r="Y1176" s="168">
        <f>_xll.qlCalendarAdvance(LiborCalendar,Y1175,X1176,"f",FALSE)</f>
        <v>47380</v>
      </c>
      <c r="Z1176" s="171">
        <f>_xll.qlInterestRateIndexValueDate(IborIndex,Y1176,Trigger)</f>
        <v>47382</v>
      </c>
      <c r="AA1176" s="172">
        <v>1.0523480326684128E-2</v>
      </c>
      <c r="AB1176" s="169">
        <v>1.0506932663059132E-2</v>
      </c>
    </row>
    <row r="1177" spans="20:28" x14ac:dyDescent="0.2">
      <c r="T1177" s="130"/>
      <c r="U1177" s="151"/>
      <c r="X1177" s="170" t="str">
        <f t="shared" si="27"/>
        <v>1w</v>
      </c>
      <c r="Y1177" s="168">
        <f>_xll.qlCalendarAdvance(LiborCalendar,Y1176,X1177,"f",FALSE)</f>
        <v>47387</v>
      </c>
      <c r="Z1177" s="171">
        <f>_xll.qlInterestRateIndexValueDate(IborIndex,Y1177,Trigger)</f>
        <v>47389</v>
      </c>
      <c r="AA1177" s="172">
        <v>1.0524383985365236E-2</v>
      </c>
      <c r="AB1177" s="169">
        <v>1.0507564444219852E-2</v>
      </c>
    </row>
    <row r="1178" spans="20:28" x14ac:dyDescent="0.2">
      <c r="T1178" s="130"/>
      <c r="U1178" s="151"/>
      <c r="X1178" s="170" t="str">
        <f t="shared" si="27"/>
        <v>1w</v>
      </c>
      <c r="Y1178" s="168">
        <f>_xll.qlCalendarAdvance(LiborCalendar,Y1177,X1178,"f",FALSE)</f>
        <v>47394</v>
      </c>
      <c r="Z1178" s="171">
        <f>_xll.qlInterestRateIndexValueDate(IborIndex,Y1178,Trigger)</f>
        <v>47396</v>
      </c>
      <c r="AA1178" s="172">
        <v>1.0524720002981521E-2</v>
      </c>
      <c r="AB1178" s="169">
        <v>1.0508156671340529E-2</v>
      </c>
    </row>
    <row r="1179" spans="20:28" x14ac:dyDescent="0.2">
      <c r="T1179" s="130"/>
      <c r="U1179" s="151"/>
      <c r="X1179" s="170" t="str">
        <f t="shared" si="27"/>
        <v>1w</v>
      </c>
      <c r="Y1179" s="168">
        <f>_xll.qlCalendarAdvance(LiborCalendar,Y1178,X1179,"f",FALSE)</f>
        <v>47401</v>
      </c>
      <c r="Z1179" s="171">
        <f>_xll.qlInterestRateIndexValueDate(IborIndex,Y1179,Trigger)</f>
        <v>47403</v>
      </c>
      <c r="AA1179" s="172">
        <v>1.0525016361389122E-2</v>
      </c>
      <c r="AB1179" s="169">
        <v>1.0508709344474454E-2</v>
      </c>
    </row>
    <row r="1180" spans="20:28" x14ac:dyDescent="0.2">
      <c r="T1180" s="130"/>
      <c r="U1180" s="151"/>
      <c r="X1180" s="170" t="str">
        <f t="shared" si="27"/>
        <v>1w</v>
      </c>
      <c r="Y1180" s="168">
        <f>_xll.qlCalendarAdvance(LiborCalendar,Y1179,X1180,"f",FALSE)</f>
        <v>47408</v>
      </c>
      <c r="Z1180" s="171">
        <f>_xll.qlInterestRateIndexValueDate(IborIndex,Y1180,Trigger)</f>
        <v>47410</v>
      </c>
      <c r="AA1180" s="172">
        <v>1.0525273060579536E-2</v>
      </c>
      <c r="AB1180" s="169">
        <v>1.050922246359498E-2</v>
      </c>
    </row>
    <row r="1181" spans="20:28" x14ac:dyDescent="0.2">
      <c r="T1181" s="130"/>
      <c r="U1181" s="151"/>
      <c r="X1181" s="170" t="str">
        <f t="shared" si="27"/>
        <v>1w</v>
      </c>
      <c r="Y1181" s="168">
        <f>_xll.qlCalendarAdvance(LiborCalendar,Y1180,X1181,"f",FALSE)</f>
        <v>47415</v>
      </c>
      <c r="Z1181" s="171">
        <f>_xll.qlInterestRateIndexValueDate(IborIndex,Y1181,Trigger)</f>
        <v>47417</v>
      </c>
      <c r="AA1181" s="172">
        <v>1.0525490100545111E-2</v>
      </c>
      <c r="AB1181" s="169">
        <v>1.0509696028728754E-2</v>
      </c>
    </row>
    <row r="1182" spans="20:28" x14ac:dyDescent="0.2">
      <c r="T1182" s="130"/>
      <c r="U1182" s="151"/>
      <c r="X1182" s="170" t="str">
        <f t="shared" si="27"/>
        <v>1w</v>
      </c>
      <c r="Y1182" s="168">
        <f>_xll.qlCalendarAdvance(LiborCalendar,Y1181,X1182,"f",FALSE)</f>
        <v>47422</v>
      </c>
      <c r="Z1182" s="171">
        <f>_xll.qlInterestRateIndexValueDate(IborIndex,Y1182,Trigger)</f>
        <v>47424</v>
      </c>
      <c r="AA1182" s="172">
        <v>1.0525667481278192E-2</v>
      </c>
      <c r="AB1182" s="169">
        <v>1.051013003984913E-2</v>
      </c>
    </row>
    <row r="1183" spans="20:28" x14ac:dyDescent="0.2">
      <c r="T1183" s="130"/>
      <c r="U1183" s="151"/>
      <c r="X1183" s="170" t="str">
        <f t="shared" si="27"/>
        <v>1w</v>
      </c>
      <c r="Y1183" s="168">
        <f>_xll.qlCalendarAdvance(LiborCalendar,Y1182,X1183,"f",FALSE)</f>
        <v>47429</v>
      </c>
      <c r="Z1183" s="171">
        <f>_xll.qlInterestRateIndexValueDate(IborIndex,Y1183,Trigger)</f>
        <v>47431</v>
      </c>
      <c r="AA1183" s="172">
        <v>1.0525805202774526E-2</v>
      </c>
      <c r="AB1183" s="169">
        <v>1.0510524496956108E-2</v>
      </c>
    </row>
    <row r="1184" spans="20:28" x14ac:dyDescent="0.2">
      <c r="T1184" s="130"/>
      <c r="U1184" s="151"/>
      <c r="X1184" s="170" t="str">
        <f t="shared" si="27"/>
        <v>1w</v>
      </c>
      <c r="Y1184" s="168">
        <f>_xll.qlCalendarAdvance(LiborCalendar,Y1183,X1184,"f",FALSE)</f>
        <v>47436</v>
      </c>
      <c r="Z1184" s="171">
        <f>_xll.qlInterestRateIndexValueDate(IborIndex,Y1184,Trigger)</f>
        <v>47438</v>
      </c>
      <c r="AA1184" s="172">
        <v>1.0525903265029012E-2</v>
      </c>
      <c r="AB1184" s="169">
        <v>1.0510879400049689E-2</v>
      </c>
    </row>
    <row r="1185" spans="20:28" x14ac:dyDescent="0.2">
      <c r="T1185" s="130"/>
      <c r="U1185" s="151"/>
      <c r="X1185" s="170" t="str">
        <f t="shared" si="27"/>
        <v>1w</v>
      </c>
      <c r="Y1185" s="168">
        <f>_xll.qlCalendarAdvance(LiborCalendar,Y1184,X1185,"f",FALSE)</f>
        <v>47443</v>
      </c>
      <c r="Z1185" s="171">
        <f>_xll.qlInterestRateIndexValueDate(IborIndex,Y1185,Trigger)</f>
        <v>47445</v>
      </c>
      <c r="AA1185" s="172">
        <v>1.05259616680391E-2</v>
      </c>
      <c r="AB1185" s="169">
        <v>1.0511194749129871E-2</v>
      </c>
    </row>
    <row r="1186" spans="20:28" x14ac:dyDescent="0.2">
      <c r="T1186" s="130"/>
      <c r="U1186" s="151"/>
      <c r="X1186" s="170" t="str">
        <f t="shared" si="27"/>
        <v>1w</v>
      </c>
      <c r="Y1186" s="168">
        <f>_xll.qlCalendarAdvance(LiborCalendar,Y1185,X1186,"f",FALSE)</f>
        <v>47450</v>
      </c>
      <c r="Z1186" s="171">
        <f>_xll.qlInterestRateIndexValueDate(IborIndex,Y1186,Trigger)</f>
        <v>47452</v>
      </c>
      <c r="AA1186" s="172">
        <v>1.0525388973609218E-2</v>
      </c>
      <c r="AB1186" s="169">
        <v>1.05114705442233E-2</v>
      </c>
    </row>
    <row r="1187" spans="20:28" x14ac:dyDescent="0.2">
      <c r="T1187" s="130"/>
      <c r="U1187" s="151"/>
      <c r="X1187" s="170" t="str">
        <f t="shared" si="27"/>
        <v>1w</v>
      </c>
      <c r="Y1187" s="168">
        <f>_xll.qlCalendarAdvance(LiborCalendar,Y1186,X1187,"f",FALSE)</f>
        <v>47457</v>
      </c>
      <c r="Z1187" s="171">
        <f>_xll.qlInterestRateIndexValueDate(IborIndex,Y1187,Trigger)</f>
        <v>47459</v>
      </c>
      <c r="AA1187" s="172">
        <v>1.0525379390457168E-2</v>
      </c>
      <c r="AB1187" s="169">
        <v>1.0511706785303332E-2</v>
      </c>
    </row>
    <row r="1188" spans="20:28" x14ac:dyDescent="0.2">
      <c r="T1188" s="130"/>
      <c r="U1188" s="151"/>
      <c r="X1188" s="170" t="str">
        <f t="shared" si="27"/>
        <v>1w</v>
      </c>
      <c r="Y1188" s="168">
        <f>_xll.qlCalendarAdvance(LiborCalendar,Y1187,X1188,"f",FALSE)</f>
        <v>47464</v>
      </c>
      <c r="Z1188" s="171">
        <f>_xll.qlInterestRateIndexValueDate(IborIndex,Y1188,Trigger)</f>
        <v>47466</v>
      </c>
      <c r="AA1188" s="172">
        <v>1.0525330152691303E-2</v>
      </c>
      <c r="AB1188" s="169">
        <v>1.0511903472369966E-2</v>
      </c>
    </row>
    <row r="1189" spans="20:28" x14ac:dyDescent="0.2">
      <c r="T1189" s="130"/>
      <c r="U1189" s="151"/>
      <c r="X1189" s="170" t="str">
        <f t="shared" si="27"/>
        <v>1w</v>
      </c>
      <c r="Y1189" s="168">
        <f>_xll.qlCalendarAdvance(LiborCalendar,Y1188,X1189,"f",FALSE)</f>
        <v>47471</v>
      </c>
      <c r="Z1189" s="171">
        <f>_xll.qlInterestRateIndexValueDate(IborIndex,Y1189,Trigger)</f>
        <v>47473</v>
      </c>
      <c r="AA1189" s="172">
        <v>1.0525241260311624E-2</v>
      </c>
      <c r="AB1189" s="169">
        <v>1.0512060605423201E-2</v>
      </c>
    </row>
    <row r="1190" spans="20:28" x14ac:dyDescent="0.2">
      <c r="T1190" s="130"/>
      <c r="U1190" s="151"/>
      <c r="X1190" s="170" t="str">
        <f t="shared" si="27"/>
        <v>1w</v>
      </c>
      <c r="Y1190" s="168">
        <f>_xll.qlCalendarAdvance(LiborCalendar,Y1189,X1190,"f",FALSE)</f>
        <v>47479</v>
      </c>
      <c r="Z1190" s="171">
        <f>_xll.qlInterestRateIndexValueDate(IborIndex,Y1190,Trigger)</f>
        <v>47483</v>
      </c>
      <c r="AA1190" s="172">
        <v>1.052477326713289E-2</v>
      </c>
      <c r="AB1190" s="169">
        <v>1.0512057283960097E-2</v>
      </c>
    </row>
    <row r="1191" spans="20:28" x14ac:dyDescent="0.2">
      <c r="T1191" s="130"/>
      <c r="U1191" s="151"/>
      <c r="X1191" s="170" t="str">
        <f t="shared" si="27"/>
        <v>1w</v>
      </c>
      <c r="Y1191" s="168">
        <f>_xll.qlCalendarAdvance(LiborCalendar,Y1190,X1191,"f",FALSE)</f>
        <v>47486</v>
      </c>
      <c r="Z1191" s="171">
        <f>_xll.qlInterestRateIndexValueDate(IborIndex,Y1191,Trigger)</f>
        <v>47490</v>
      </c>
      <c r="AA1191" s="172">
        <v>1.0524993154220338E-2</v>
      </c>
      <c r="AB1191" s="169">
        <v>1.0511964555135478E-2</v>
      </c>
    </row>
    <row r="1192" spans="20:28" x14ac:dyDescent="0.2">
      <c r="T1192" s="130"/>
      <c r="U1192" s="151"/>
      <c r="X1192" s="170" t="str">
        <f t="shared" si="27"/>
        <v>1w</v>
      </c>
      <c r="Y1192" s="168">
        <f>_xll.qlCalendarAdvance(LiborCalendar,Y1191,X1192,"f",FALSE)</f>
        <v>47493</v>
      </c>
      <c r="Z1192" s="171">
        <f>_xll.qlInterestRateIndexValueDate(IborIndex,Y1192,Trigger)</f>
        <v>47497</v>
      </c>
      <c r="AA1192" s="172">
        <v>1.0524765464073162E-2</v>
      </c>
      <c r="AB1192" s="169">
        <v>1.0511991723403113E-2</v>
      </c>
    </row>
    <row r="1193" spans="20:28" x14ac:dyDescent="0.2">
      <c r="T1193" s="130"/>
      <c r="U1193" s="151"/>
      <c r="X1193" s="170" t="str">
        <f t="shared" si="27"/>
        <v>1w</v>
      </c>
      <c r="Y1193" s="168">
        <f>_xll.qlCalendarAdvance(LiborCalendar,Y1192,X1193,"f",FALSE)</f>
        <v>47500</v>
      </c>
      <c r="Z1193" s="171">
        <f>_xll.qlInterestRateIndexValueDate(IborIndex,Y1193,Trigger)</f>
        <v>47504</v>
      </c>
      <c r="AA1193" s="172">
        <v>1.05246250385128E-2</v>
      </c>
      <c r="AB1193" s="169">
        <v>1.0511979340028788E-2</v>
      </c>
    </row>
    <row r="1194" spans="20:28" x14ac:dyDescent="0.2">
      <c r="T1194" s="130"/>
      <c r="U1194" s="151"/>
      <c r="X1194" s="170" t="str">
        <f t="shared" si="27"/>
        <v>1w</v>
      </c>
      <c r="Y1194" s="168">
        <f>_xll.qlCalendarAdvance(LiborCalendar,Y1193,X1194,"f",FALSE)</f>
        <v>47507</v>
      </c>
      <c r="Z1194" s="171">
        <f>_xll.qlInterestRateIndexValueDate(IborIndex,Y1194,Trigger)</f>
        <v>47511</v>
      </c>
      <c r="AA1194" s="172">
        <v>1.0524191116536599E-2</v>
      </c>
      <c r="AB1194" s="169">
        <v>1.0511927404852628E-2</v>
      </c>
    </row>
    <row r="1195" spans="20:28" x14ac:dyDescent="0.2">
      <c r="T1195" s="130"/>
      <c r="U1195" s="151"/>
      <c r="X1195" s="170" t="str">
        <f t="shared" si="27"/>
        <v>1w</v>
      </c>
      <c r="Y1195" s="168">
        <f>_xll.qlCalendarAdvance(LiborCalendar,Y1194,X1195,"f",FALSE)</f>
        <v>47514</v>
      </c>
      <c r="Z1195" s="171">
        <f>_xll.qlInterestRateIndexValueDate(IborIndex,Y1195,Trigger)</f>
        <v>47518</v>
      </c>
      <c r="AA1195" s="172">
        <v>1.0523965695148546E-2</v>
      </c>
      <c r="AB1195" s="169">
        <v>1.0511835918114443E-2</v>
      </c>
    </row>
    <row r="1196" spans="20:28" x14ac:dyDescent="0.2">
      <c r="T1196" s="130"/>
      <c r="U1196" s="151"/>
      <c r="X1196" s="170" t="str">
        <f t="shared" si="27"/>
        <v>1w</v>
      </c>
      <c r="Y1196" s="168">
        <f>_xll.qlCalendarAdvance(LiborCalendar,Y1195,X1196,"f",FALSE)</f>
        <v>47521</v>
      </c>
      <c r="Z1196" s="171">
        <f>_xll.qlInterestRateIndexValueDate(IborIndex,Y1196,Trigger)</f>
        <v>47525</v>
      </c>
      <c r="AA1196" s="172">
        <v>1.052345814606986E-2</v>
      </c>
      <c r="AB1196" s="169">
        <v>1.051170487965436E-2</v>
      </c>
    </row>
    <row r="1197" spans="20:28" x14ac:dyDescent="0.2">
      <c r="T1197" s="130"/>
      <c r="U1197" s="151"/>
      <c r="X1197" s="170" t="str">
        <f t="shared" si="27"/>
        <v>1w</v>
      </c>
      <c r="Y1197" s="168">
        <f>_xll.qlCalendarAdvance(LiborCalendar,Y1196,X1197,"f",FALSE)</f>
        <v>47528</v>
      </c>
      <c r="Z1197" s="171">
        <f>_xll.qlInterestRateIndexValueDate(IborIndex,Y1197,Trigger)</f>
        <v>47532</v>
      </c>
      <c r="AA1197" s="172">
        <v>1.0523032412129452E-2</v>
      </c>
      <c r="AB1197" s="169">
        <v>1.0511534289392443E-2</v>
      </c>
    </row>
    <row r="1198" spans="20:28" x14ac:dyDescent="0.2">
      <c r="T1198" s="130"/>
      <c r="U1198" s="151"/>
      <c r="X1198" s="170" t="str">
        <f t="shared" si="27"/>
        <v>1w</v>
      </c>
      <c r="Y1198" s="168">
        <f>_xll.qlCalendarAdvance(LiborCalendar,Y1197,X1198,"f",FALSE)</f>
        <v>47535</v>
      </c>
      <c r="Z1198" s="171">
        <f>_xll.qlInterestRateIndexValueDate(IborIndex,Y1198,Trigger)</f>
        <v>47539</v>
      </c>
      <c r="AA1198" s="172">
        <v>1.0522683336794259E-2</v>
      </c>
      <c r="AB1198" s="169">
        <v>1.0511324147568502E-2</v>
      </c>
    </row>
    <row r="1199" spans="20:28" x14ac:dyDescent="0.2">
      <c r="T1199" s="130"/>
      <c r="U1199" s="151"/>
      <c r="X1199" s="170" t="str">
        <f t="shared" si="27"/>
        <v>1w</v>
      </c>
      <c r="Y1199" s="168">
        <f>_xll.qlCalendarAdvance(LiborCalendar,Y1198,X1199,"f",FALSE)</f>
        <v>47542</v>
      </c>
      <c r="Z1199" s="171">
        <f>_xll.qlInterestRateIndexValueDate(IborIndex,Y1199,Trigger)</f>
        <v>47546</v>
      </c>
      <c r="AA1199" s="172">
        <v>1.052218599444261E-2</v>
      </c>
      <c r="AB1199" s="169">
        <v>1.0511074453942726E-2</v>
      </c>
    </row>
    <row r="1200" spans="20:28" x14ac:dyDescent="0.2">
      <c r="T1200" s="130"/>
      <c r="U1200" s="151"/>
      <c r="X1200" s="170" t="str">
        <f t="shared" si="27"/>
        <v>1w</v>
      </c>
      <c r="Y1200" s="168">
        <f>_xll.qlCalendarAdvance(LiborCalendar,Y1199,X1200,"f",FALSE)</f>
        <v>47549</v>
      </c>
      <c r="Z1200" s="171">
        <f>_xll.qlInterestRateIndexValueDate(IborIndex,Y1200,Trigger)</f>
        <v>47553</v>
      </c>
      <c r="AA1200" s="172">
        <v>1.0521659923586167E-2</v>
      </c>
      <c r="AB1200" s="169">
        <v>1.0510785208595053E-2</v>
      </c>
    </row>
    <row r="1201" spans="20:28" x14ac:dyDescent="0.2">
      <c r="T1201" s="130"/>
      <c r="U1201" s="151"/>
      <c r="X1201" s="170" t="str">
        <f t="shared" si="27"/>
        <v>1w</v>
      </c>
      <c r="Y1201" s="168">
        <f>_xll.qlCalendarAdvance(LiborCalendar,Y1200,X1201,"f",FALSE)</f>
        <v>47556</v>
      </c>
      <c r="Z1201" s="171">
        <f>_xll.qlInterestRateIndexValueDate(IborIndex,Y1201,Trigger)</f>
        <v>47560</v>
      </c>
      <c r="AA1201" s="172">
        <v>1.0521108949150527E-2</v>
      </c>
      <c r="AB1201" s="169">
        <v>1.0510456411605418E-2</v>
      </c>
    </row>
    <row r="1202" spans="20:28" x14ac:dyDescent="0.2">
      <c r="T1202" s="130"/>
      <c r="U1202" s="151"/>
      <c r="X1202" s="170" t="str">
        <f t="shared" si="27"/>
        <v>1w</v>
      </c>
      <c r="Y1202" s="168">
        <f>_xll.qlCalendarAdvance(LiborCalendar,Y1201,X1202,"f",FALSE)</f>
        <v>47563</v>
      </c>
      <c r="Z1202" s="171">
        <f>_xll.qlInterestRateIndexValueDate(IborIndex,Y1202,Trigger)</f>
        <v>47567</v>
      </c>
      <c r="AA1202" s="172">
        <v>1.0520536896056936E-2</v>
      </c>
      <c r="AB1202" s="169">
        <v>1.0510088062893885E-2</v>
      </c>
    </row>
    <row r="1203" spans="20:28" x14ac:dyDescent="0.2">
      <c r="T1203" s="130"/>
      <c r="U1203" s="151"/>
      <c r="X1203" s="170" t="str">
        <f t="shared" si="27"/>
        <v>1w</v>
      </c>
      <c r="Y1203" s="168">
        <f>_xll.qlCalendarAdvance(LiborCalendar,Y1202,X1203,"f",FALSE)</f>
        <v>47570</v>
      </c>
      <c r="Z1203" s="171">
        <f>_xll.qlInterestRateIndexValueDate(IborIndex,Y1203,Trigger)</f>
        <v>47574</v>
      </c>
      <c r="AA1203" s="172">
        <v>1.0519838671081123E-2</v>
      </c>
      <c r="AB1203" s="169">
        <v>1.0509680162540391E-2</v>
      </c>
    </row>
    <row r="1204" spans="20:28" x14ac:dyDescent="0.2">
      <c r="T1204" s="130"/>
      <c r="U1204" s="151"/>
      <c r="X1204" s="170" t="str">
        <f t="shared" si="27"/>
        <v>1w</v>
      </c>
      <c r="Y1204" s="168">
        <f>_xll.qlCalendarAdvance(LiborCalendar,Y1203,X1204,"f",FALSE)</f>
        <v>47577</v>
      </c>
      <c r="Z1204" s="171">
        <f>_xll.qlInterestRateIndexValueDate(IborIndex,Y1204,Trigger)</f>
        <v>47581</v>
      </c>
      <c r="AA1204" s="172">
        <v>1.0519235900170136E-2</v>
      </c>
      <c r="AB1204" s="169">
        <v>1.0509232710465E-2</v>
      </c>
    </row>
    <row r="1205" spans="20:28" x14ac:dyDescent="0.2">
      <c r="T1205" s="130"/>
      <c r="U1205" s="151"/>
      <c r="X1205" s="170" t="str">
        <f t="shared" si="27"/>
        <v>1w</v>
      </c>
      <c r="Y1205" s="168">
        <f>_xll.qlCalendarAdvance(LiborCalendar,Y1204,X1205,"f",FALSE)</f>
        <v>47584</v>
      </c>
      <c r="Z1205" s="171">
        <f>_xll.qlInterestRateIndexValueDate(IborIndex,Y1205,Trigger)</f>
        <v>47588</v>
      </c>
      <c r="AA1205" s="172">
        <v>1.0518623303475009E-2</v>
      </c>
      <c r="AB1205" s="169">
        <v>1.050874570666771E-2</v>
      </c>
    </row>
    <row r="1206" spans="20:28" x14ac:dyDescent="0.2">
      <c r="T1206" s="130"/>
      <c r="U1206" s="151"/>
      <c r="X1206" s="170" t="str">
        <f t="shared" si="27"/>
        <v>1w</v>
      </c>
      <c r="Y1206" s="168">
        <f>_xll.qlCalendarAdvance(LiborCalendar,Y1205,X1206,"f",FALSE)</f>
        <v>47591</v>
      </c>
      <c r="Z1206" s="171">
        <f>_xll.qlInterestRateIndexValueDate(IborIndex,Y1206,Trigger)</f>
        <v>47597</v>
      </c>
      <c r="AA1206" s="172">
        <v>1.0517827464275632E-2</v>
      </c>
      <c r="AB1206" s="169">
        <v>1.0508061442182637E-2</v>
      </c>
    </row>
    <row r="1207" spans="20:28" x14ac:dyDescent="0.2">
      <c r="T1207" s="130"/>
      <c r="U1207" s="151"/>
      <c r="X1207" s="170" t="str">
        <f t="shared" si="27"/>
        <v>1w</v>
      </c>
      <c r="Y1207" s="168">
        <f>_xll.qlCalendarAdvance(LiborCalendar,Y1206,X1207,"f",FALSE)</f>
        <v>47598</v>
      </c>
      <c r="Z1207" s="171">
        <f>_xll.qlInterestRateIndexValueDate(IborIndex,Y1207,Trigger)</f>
        <v>47602</v>
      </c>
      <c r="AA1207" s="172">
        <v>1.0517384100066109E-2</v>
      </c>
      <c r="AB1207" s="169">
        <v>1.0507653043987375E-2</v>
      </c>
    </row>
    <row r="1208" spans="20:28" x14ac:dyDescent="0.2">
      <c r="T1208" s="130"/>
      <c r="U1208" s="151"/>
      <c r="X1208" s="170" t="str">
        <f t="shared" si="27"/>
        <v>1w</v>
      </c>
      <c r="Y1208" s="168">
        <f>_xll.qlCalendarAdvance(LiborCalendar,Y1207,X1208,"f",FALSE)</f>
        <v>47605</v>
      </c>
      <c r="Z1208" s="171">
        <f>_xll.qlInterestRateIndexValueDate(IborIndex,Y1208,Trigger)</f>
        <v>47610</v>
      </c>
      <c r="AA1208" s="172">
        <v>1.0516788182334017E-2</v>
      </c>
      <c r="AB1208" s="169">
        <v>1.0506957633698022E-2</v>
      </c>
    </row>
    <row r="1209" spans="20:28" x14ac:dyDescent="0.2">
      <c r="T1209" s="130"/>
      <c r="U1209" s="151"/>
      <c r="X1209" s="170" t="str">
        <f t="shared" si="27"/>
        <v>1w</v>
      </c>
      <c r="Y1209" s="168">
        <f>_xll.qlCalendarAdvance(LiborCalendar,Y1208,X1209,"f",FALSE)</f>
        <v>47612</v>
      </c>
      <c r="Z1209" s="171">
        <f>_xll.qlInterestRateIndexValueDate(IborIndex,Y1209,Trigger)</f>
        <v>47616</v>
      </c>
      <c r="AA1209" s="172">
        <v>1.0516263615096545E-2</v>
      </c>
      <c r="AB1209" s="169">
        <v>1.0506402174579321E-2</v>
      </c>
    </row>
    <row r="1210" spans="20:28" x14ac:dyDescent="0.2">
      <c r="T1210" s="130"/>
      <c r="U1210" s="151"/>
      <c r="X1210" s="170" t="str">
        <f t="shared" si="27"/>
        <v>1w</v>
      </c>
      <c r="Y1210" s="168">
        <f>_xll.qlCalendarAdvance(LiborCalendar,Y1209,X1210,"f",FALSE)</f>
        <v>47619</v>
      </c>
      <c r="Z1210" s="171">
        <f>_xll.qlInterestRateIndexValueDate(IborIndex,Y1210,Trigger)</f>
        <v>47623</v>
      </c>
      <c r="AA1210" s="172">
        <v>1.0515660397395536E-2</v>
      </c>
      <c r="AB1210" s="169">
        <v>1.0505732930798928E-2</v>
      </c>
    </row>
    <row r="1211" spans="20:28" x14ac:dyDescent="0.2">
      <c r="T1211" s="130"/>
      <c r="U1211" s="151"/>
      <c r="X1211" s="170" t="str">
        <f t="shared" si="27"/>
        <v>1w</v>
      </c>
      <c r="Y1211" s="168">
        <f>_xll.qlCalendarAdvance(LiborCalendar,Y1210,X1211,"f",FALSE)</f>
        <v>47626</v>
      </c>
      <c r="Z1211" s="171">
        <f>_xll.qlInterestRateIndexValueDate(IborIndex,Y1211,Trigger)</f>
        <v>47631</v>
      </c>
      <c r="AA1211" s="172">
        <v>1.0514983984834792E-2</v>
      </c>
      <c r="AB1211" s="169">
        <v>1.0504979678138682E-2</v>
      </c>
    </row>
    <row r="1212" spans="20:28" x14ac:dyDescent="0.2">
      <c r="T1212" s="130"/>
      <c r="U1212" s="151"/>
      <c r="X1212" s="170" t="str">
        <f t="shared" si="27"/>
        <v>1w</v>
      </c>
      <c r="Y1212" s="168">
        <f>_xll.qlCalendarAdvance(LiborCalendar,Y1211,X1212,"f",FALSE)</f>
        <v>47633</v>
      </c>
      <c r="Z1212" s="171">
        <f>_xll.qlInterestRateIndexValueDate(IborIndex,Y1212,Trigger)</f>
        <v>47637</v>
      </c>
      <c r="AA1212" s="172">
        <v>1.0514485772672831E-2</v>
      </c>
      <c r="AB1212" s="169">
        <v>1.0504423811745767E-2</v>
      </c>
    </row>
    <row r="1213" spans="20:28" x14ac:dyDescent="0.2">
      <c r="T1213" s="130"/>
      <c r="U1213" s="151"/>
      <c r="X1213" s="170" t="str">
        <f t="shared" si="27"/>
        <v>1w</v>
      </c>
      <c r="Y1213" s="168">
        <f>_xll.qlCalendarAdvance(LiborCalendar,Y1212,X1213,"f",FALSE)</f>
        <v>47640</v>
      </c>
      <c r="Z1213" s="171">
        <f>_xll.qlInterestRateIndexValueDate(IborIndex,Y1213,Trigger)</f>
        <v>47645</v>
      </c>
      <c r="AA1213" s="172">
        <v>1.0513833619463136E-2</v>
      </c>
      <c r="AB1213" s="169">
        <v>1.0503694753891679E-2</v>
      </c>
    </row>
    <row r="1214" spans="20:28" x14ac:dyDescent="0.2">
      <c r="T1214" s="130"/>
      <c r="U1214" s="151"/>
      <c r="X1214" s="170" t="str">
        <f t="shared" si="27"/>
        <v>1w</v>
      </c>
      <c r="Y1214" s="168">
        <f>_xll.qlCalendarAdvance(LiborCalendar,Y1213,X1214,"f",FALSE)</f>
        <v>47647</v>
      </c>
      <c r="Z1214" s="171">
        <f>_xll.qlInterestRateIndexValueDate(IborIndex,Y1214,Trigger)</f>
        <v>47651</v>
      </c>
      <c r="AA1214" s="172">
        <v>1.0513353601807076E-2</v>
      </c>
      <c r="AB1214" s="169">
        <v>1.0503157033543431E-2</v>
      </c>
    </row>
    <row r="1215" spans="20:28" x14ac:dyDescent="0.2">
      <c r="T1215" s="130"/>
      <c r="U1215" s="151"/>
      <c r="X1215" s="170" t="str">
        <f t="shared" si="27"/>
        <v>1w</v>
      </c>
      <c r="Y1215" s="168">
        <f>_xll.qlCalendarAdvance(LiborCalendar,Y1214,X1215,"f",FALSE)</f>
        <v>47654</v>
      </c>
      <c r="Z1215" s="171">
        <f>_xll.qlInterestRateIndexValueDate(IborIndex,Y1215,Trigger)</f>
        <v>47658</v>
      </c>
      <c r="AA1215" s="172">
        <v>1.0512803436558067E-2</v>
      </c>
      <c r="AB1215" s="169">
        <v>1.0502539522301291E-2</v>
      </c>
    </row>
    <row r="1216" spans="20:28" x14ac:dyDescent="0.2">
      <c r="T1216" s="130"/>
      <c r="U1216" s="151"/>
      <c r="X1216" s="170" t="str">
        <f t="shared" si="27"/>
        <v>1w</v>
      </c>
      <c r="Y1216" s="168">
        <f>_xll.qlCalendarAdvance(LiborCalendar,Y1215,X1216,"f",FALSE)</f>
        <v>47661</v>
      </c>
      <c r="Z1216" s="171">
        <f>_xll.qlInterestRateIndexValueDate(IborIndex,Y1216,Trigger)</f>
        <v>47665</v>
      </c>
      <c r="AA1216" s="172">
        <v>1.0512263884760044E-2</v>
      </c>
      <c r="AB1216" s="169">
        <v>1.0501932596351793E-2</v>
      </c>
    </row>
    <row r="1217" spans="20:28" x14ac:dyDescent="0.2">
      <c r="T1217" s="130"/>
      <c r="U1217" s="151"/>
      <c r="X1217" s="170" t="str">
        <f t="shared" si="27"/>
        <v>1w</v>
      </c>
      <c r="Y1217" s="168">
        <f>_xll.qlCalendarAdvance(LiborCalendar,Y1216,X1217,"f",FALSE)</f>
        <v>47668</v>
      </c>
      <c r="Z1217" s="171">
        <f>_xll.qlInterestRateIndexValueDate(IborIndex,Y1217,Trigger)</f>
        <v>47672</v>
      </c>
      <c r="AA1217" s="172">
        <v>1.0511734946407796E-2</v>
      </c>
      <c r="AB1217" s="169">
        <v>1.0501336255694937E-2</v>
      </c>
    </row>
    <row r="1218" spans="20:28" x14ac:dyDescent="0.2">
      <c r="T1218" s="130"/>
      <c r="U1218" s="151"/>
      <c r="X1218" s="170" t="str">
        <f t="shared" si="27"/>
        <v>1w</v>
      </c>
      <c r="Y1218" s="168">
        <f>_xll.qlCalendarAdvance(LiborCalendar,Y1217,X1218,"f",FALSE)</f>
        <v>47675</v>
      </c>
      <c r="Z1218" s="171">
        <f>_xll.qlInterestRateIndexValueDate(IborIndex,Y1218,Trigger)</f>
        <v>47679</v>
      </c>
      <c r="AA1218" s="172">
        <v>1.0511216621497847E-2</v>
      </c>
      <c r="AB1218" s="169">
        <v>1.0500750500250788E-2</v>
      </c>
    </row>
    <row r="1219" spans="20:28" x14ac:dyDescent="0.2">
      <c r="T1219" s="130"/>
      <c r="U1219" s="151"/>
      <c r="X1219" s="170" t="str">
        <f t="shared" si="27"/>
        <v>1w</v>
      </c>
      <c r="Y1219" s="168">
        <f>_xll.qlCalendarAdvance(LiborCalendar,Y1218,X1219,"f",FALSE)</f>
        <v>47682</v>
      </c>
      <c r="Z1219" s="171">
        <f>_xll.qlInterestRateIndexValueDate(IborIndex,Y1219,Trigger)</f>
        <v>47686</v>
      </c>
      <c r="AA1219" s="172">
        <v>1.0510708910024983E-2</v>
      </c>
      <c r="AB1219" s="169">
        <v>1.0500175330019346E-2</v>
      </c>
    </row>
    <row r="1220" spans="20:28" x14ac:dyDescent="0.2">
      <c r="T1220" s="130"/>
      <c r="U1220" s="151"/>
      <c r="X1220" s="170" t="str">
        <f t="shared" si="27"/>
        <v>1w</v>
      </c>
      <c r="Y1220" s="168">
        <f>_xll.qlCalendarAdvance(LiborCalendar,Y1219,X1220,"f",FALSE)</f>
        <v>47689</v>
      </c>
      <c r="Z1220" s="171">
        <f>_xll.qlInterestRateIndexValueDate(IborIndex,Y1220,Trigger)</f>
        <v>47693</v>
      </c>
      <c r="AA1220" s="172">
        <v>1.051021181198486E-2</v>
      </c>
      <c r="AB1220" s="169">
        <v>1.0499610745080545E-2</v>
      </c>
    </row>
    <row r="1221" spans="20:28" x14ac:dyDescent="0.2">
      <c r="T1221" s="130"/>
      <c r="U1221" s="151"/>
      <c r="X1221" s="170" t="str">
        <f t="shared" si="27"/>
        <v>1w</v>
      </c>
      <c r="Y1221" s="168">
        <f>_xll.qlCalendarAdvance(LiborCalendar,Y1220,X1221,"f",FALSE)</f>
        <v>47696</v>
      </c>
      <c r="Z1221" s="171">
        <f>_xll.qlInterestRateIndexValueDate(IborIndex,Y1221,Trigger)</f>
        <v>47700</v>
      </c>
      <c r="AA1221" s="172">
        <v>1.0509725327375742E-2</v>
      </c>
      <c r="AB1221" s="169">
        <v>1.0499056745354451E-2</v>
      </c>
    </row>
    <row r="1222" spans="20:28" x14ac:dyDescent="0.2">
      <c r="T1222" s="130"/>
      <c r="U1222" s="151"/>
      <c r="X1222" s="170" t="str">
        <f t="shared" si="27"/>
        <v>1w</v>
      </c>
      <c r="Y1222" s="168">
        <f>_xll.qlCalendarAdvance(LiborCalendar,Y1221,X1222,"f",FALSE)</f>
        <v>47703</v>
      </c>
      <c r="Z1222" s="171">
        <f>_xll.qlInterestRateIndexValueDate(IborIndex,Y1222,Trigger)</f>
        <v>47707</v>
      </c>
      <c r="AA1222" s="172">
        <v>1.0509249456190676E-2</v>
      </c>
      <c r="AB1222" s="169">
        <v>1.0498513330921E-2</v>
      </c>
    </row>
    <row r="1223" spans="20:28" x14ac:dyDescent="0.2">
      <c r="T1223" s="130"/>
      <c r="U1223" s="151"/>
      <c r="X1223" s="170" t="str">
        <f t="shared" si="27"/>
        <v>1w</v>
      </c>
      <c r="Y1223" s="168">
        <f>_xll.qlCalendarAdvance(LiborCalendar,Y1222,X1223,"f",FALSE)</f>
        <v>47710</v>
      </c>
      <c r="Z1223" s="171">
        <f>_xll.qlInterestRateIndexValueDate(IborIndex,Y1223,Trigger)</f>
        <v>47714</v>
      </c>
      <c r="AA1223" s="172">
        <v>1.0508784198427925E-2</v>
      </c>
      <c r="AB1223" s="169">
        <v>1.0497980501700255E-2</v>
      </c>
    </row>
    <row r="1224" spans="20:28" x14ac:dyDescent="0.2">
      <c r="T1224" s="130"/>
      <c r="U1224" s="151"/>
      <c r="X1224" s="170" t="str">
        <f t="shared" si="27"/>
        <v>1w</v>
      </c>
      <c r="Y1224" s="168">
        <f>_xll.qlCalendarAdvance(LiborCalendar,Y1223,X1224,"f",FALSE)</f>
        <v>47717</v>
      </c>
      <c r="Z1224" s="171">
        <f>_xll.qlInterestRateIndexValueDate(IborIndex,Y1224,Trigger)</f>
        <v>47722</v>
      </c>
      <c r="AA1224" s="172">
        <v>1.0508265471291028E-2</v>
      </c>
      <c r="AB1224" s="169">
        <v>1.0497384515479879E-2</v>
      </c>
    </row>
    <row r="1225" spans="20:28" x14ac:dyDescent="0.2">
      <c r="T1225" s="130"/>
      <c r="U1225" s="151"/>
      <c r="X1225" s="170" t="str">
        <f t="shared" si="27"/>
        <v>1w</v>
      </c>
      <c r="Y1225" s="168">
        <f>_xll.qlCalendarAdvance(LiborCalendar,Y1224,X1225,"f",FALSE)</f>
        <v>47724</v>
      </c>
      <c r="Z1225" s="171">
        <f>_xll.qlInterestRateIndexValueDate(IborIndex,Y1225,Trigger)</f>
        <v>47728</v>
      </c>
      <c r="AA1225" s="172">
        <v>1.0507762018730452E-2</v>
      </c>
      <c r="AB1225" s="169">
        <v>1.0496946598896884E-2</v>
      </c>
    </row>
    <row r="1226" spans="20:28" x14ac:dyDescent="0.2">
      <c r="T1226" s="130"/>
      <c r="U1226" s="151"/>
      <c r="X1226" s="170" t="str">
        <f t="shared" si="27"/>
        <v>1w</v>
      </c>
      <c r="Y1226" s="168">
        <f>_xll.qlCalendarAdvance(LiborCalendar,Y1225,X1226,"f",FALSE)</f>
        <v>47731</v>
      </c>
      <c r="Z1226" s="171">
        <f>_xll.qlInterestRateIndexValueDate(IborIndex,Y1226,Trigger)</f>
        <v>47735</v>
      </c>
      <c r="AA1226" s="172">
        <v>1.050732785576553E-2</v>
      </c>
      <c r="AB1226" s="169">
        <v>1.049644552547413E-2</v>
      </c>
    </row>
    <row r="1227" spans="20:28" x14ac:dyDescent="0.2">
      <c r="T1227" s="130"/>
      <c r="U1227" s="151"/>
      <c r="X1227" s="170" t="str">
        <f t="shared" si="27"/>
        <v>1w</v>
      </c>
      <c r="Y1227" s="168">
        <f>_xll.qlCalendarAdvance(LiborCalendar,Y1226,X1227,"f",FALSE)</f>
        <v>47738</v>
      </c>
      <c r="Z1227" s="171">
        <f>_xll.qlInterestRateIndexValueDate(IborIndex,Y1227,Trigger)</f>
        <v>47742</v>
      </c>
      <c r="AA1227" s="172">
        <v>1.0506904305896946E-2</v>
      </c>
      <c r="AB1227" s="169">
        <v>1.0495955037184146E-2</v>
      </c>
    </row>
    <row r="1228" spans="20:28" x14ac:dyDescent="0.2">
      <c r="T1228" s="130"/>
      <c r="U1228" s="151"/>
      <c r="X1228" s="170" t="str">
        <f t="shared" si="27"/>
        <v>1w</v>
      </c>
      <c r="Y1228" s="168">
        <f>_xll.qlCalendarAdvance(LiborCalendar,Y1227,X1228,"f",FALSE)</f>
        <v>47745</v>
      </c>
      <c r="Z1228" s="171">
        <f>_xll.qlInterestRateIndexValueDate(IborIndex,Y1228,Trigger)</f>
        <v>47749</v>
      </c>
      <c r="AA1228" s="172">
        <v>1.050649136912294E-2</v>
      </c>
      <c r="AB1228" s="169">
        <v>1.0495475134186805E-2</v>
      </c>
    </row>
    <row r="1229" spans="20:28" x14ac:dyDescent="0.2">
      <c r="T1229" s="130"/>
      <c r="U1229" s="151"/>
      <c r="X1229" s="170" t="str">
        <f t="shared" si="27"/>
        <v>1w</v>
      </c>
      <c r="Y1229" s="168">
        <f>_xll.qlCalendarAdvance(LiborCalendar,Y1228,X1229,"f",FALSE)</f>
        <v>47752</v>
      </c>
      <c r="Z1229" s="171">
        <f>_xll.qlInterestRateIndexValueDate(IborIndex,Y1229,Trigger)</f>
        <v>47756</v>
      </c>
      <c r="AA1229" s="172">
        <v>1.0506215533496732E-2</v>
      </c>
      <c r="AB1229" s="169">
        <v>1.0495005816482106E-2</v>
      </c>
    </row>
    <row r="1230" spans="20:28" x14ac:dyDescent="0.2">
      <c r="T1230" s="130"/>
      <c r="U1230" s="151"/>
      <c r="X1230" s="170" t="str">
        <f t="shared" si="27"/>
        <v>1w</v>
      </c>
      <c r="Y1230" s="168">
        <f>_xll.qlCalendarAdvance(LiborCalendar,Y1229,X1230,"f",FALSE)</f>
        <v>47759</v>
      </c>
      <c r="Z1230" s="171">
        <f>_xll.qlInterestRateIndexValueDate(IborIndex,Y1230,Trigger)</f>
        <v>47763</v>
      </c>
      <c r="AA1230" s="172">
        <v>1.0505824569585053E-2</v>
      </c>
      <c r="AB1230" s="169">
        <v>1.0494547083990113E-2</v>
      </c>
    </row>
    <row r="1231" spans="20:28" x14ac:dyDescent="0.2">
      <c r="T1231" s="130"/>
      <c r="U1231" s="151"/>
      <c r="X1231" s="170" t="str">
        <f t="shared" si="27"/>
        <v>1w</v>
      </c>
      <c r="Y1231" s="168">
        <f>_xll.qlCalendarAdvance(LiborCalendar,Y1230,X1231,"f",FALSE)</f>
        <v>47766</v>
      </c>
      <c r="Z1231" s="171">
        <f>_xll.qlInterestRateIndexValueDate(IborIndex,Y1231,Trigger)</f>
        <v>47770</v>
      </c>
      <c r="AA1231" s="172">
        <v>1.0505444219065277E-2</v>
      </c>
      <c r="AB1231" s="169">
        <v>1.0494098936710827E-2</v>
      </c>
    </row>
    <row r="1232" spans="20:28" x14ac:dyDescent="0.2">
      <c r="T1232" s="130"/>
      <c r="U1232" s="151"/>
      <c r="X1232" s="170" t="str">
        <f t="shared" si="27"/>
        <v>1w</v>
      </c>
      <c r="Y1232" s="168">
        <f>_xll.qlCalendarAdvance(LiborCalendar,Y1231,X1232,"f",FALSE)</f>
        <v>47773</v>
      </c>
      <c r="Z1232" s="171">
        <f>_xll.qlInterestRateIndexValueDate(IborIndex,Y1232,Trigger)</f>
        <v>47777</v>
      </c>
      <c r="AA1232" s="172">
        <v>1.0505074481937406E-2</v>
      </c>
      <c r="AB1232" s="169">
        <v>1.0493661374724184E-2</v>
      </c>
    </row>
    <row r="1233" spans="20:28" x14ac:dyDescent="0.2">
      <c r="T1233" s="130"/>
      <c r="U1233" s="151"/>
      <c r="X1233" s="170" t="str">
        <f t="shared" si="27"/>
        <v>1w</v>
      </c>
      <c r="Y1233" s="168">
        <f>_xll.qlCalendarAdvance(LiborCalendar,Y1232,X1233,"f",FALSE)</f>
        <v>47780</v>
      </c>
      <c r="Z1233" s="171">
        <f>_xll.qlInterestRateIndexValueDate(IborIndex,Y1233,Trigger)</f>
        <v>47784</v>
      </c>
      <c r="AA1233" s="172">
        <v>1.0504715358197097E-2</v>
      </c>
      <c r="AB1233" s="169">
        <v>1.0493234397950246E-2</v>
      </c>
    </row>
    <row r="1234" spans="20:28" x14ac:dyDescent="0.2">
      <c r="T1234" s="130"/>
      <c r="U1234" s="151"/>
      <c r="X1234" s="170" t="str">
        <f t="shared" si="27"/>
        <v>1w</v>
      </c>
      <c r="Y1234" s="168">
        <f>_xll.qlCalendarAdvance(LiborCalendar,Y1233,X1234,"f",FALSE)</f>
        <v>47787</v>
      </c>
      <c r="Z1234" s="171">
        <f>_xll.qlInterestRateIndexValueDate(IborIndex,Y1234,Trigger)</f>
        <v>47791</v>
      </c>
      <c r="AA1234" s="172">
        <v>1.050436684784087E-2</v>
      </c>
      <c r="AB1234" s="169">
        <v>1.0492818006389015E-2</v>
      </c>
    </row>
    <row r="1235" spans="20:28" x14ac:dyDescent="0.2">
      <c r="T1235" s="130"/>
      <c r="U1235" s="151"/>
      <c r="X1235" s="170" t="str">
        <f t="shared" si="27"/>
        <v>1w</v>
      </c>
      <c r="Y1235" s="168">
        <f>_xll.qlCalendarAdvance(LiborCalendar,Y1234,X1235,"f",FALSE)</f>
        <v>47794</v>
      </c>
      <c r="Z1235" s="171">
        <f>_xll.qlInterestRateIndexValueDate(IborIndex,Y1235,Trigger)</f>
        <v>47798</v>
      </c>
      <c r="AA1235" s="172">
        <v>1.0504028950866991E-2</v>
      </c>
      <c r="AB1235" s="169">
        <v>1.0492412200200363E-2</v>
      </c>
    </row>
    <row r="1236" spans="20:28" x14ac:dyDescent="0.2">
      <c r="T1236" s="130"/>
      <c r="U1236" s="151"/>
      <c r="X1236" s="170" t="str">
        <f t="shared" si="27"/>
        <v>1w</v>
      </c>
      <c r="Y1236" s="168">
        <f>_xll.qlCalendarAdvance(LiborCalendar,Y1235,X1236,"f",FALSE)</f>
        <v>47801</v>
      </c>
      <c r="Z1236" s="171">
        <f>_xll.qlInterestRateIndexValueDate(IborIndex,Y1236,Trigger)</f>
        <v>47805</v>
      </c>
      <c r="AA1236" s="172">
        <v>1.0503701667271983E-2</v>
      </c>
      <c r="AB1236" s="169">
        <v>1.0492016979144481E-2</v>
      </c>
    </row>
    <row r="1237" spans="20:28" x14ac:dyDescent="0.2">
      <c r="T1237" s="130"/>
      <c r="U1237" s="151"/>
      <c r="X1237" s="170" t="str">
        <f t="shared" ref="X1237:X1300" si="28">X1236</f>
        <v>1w</v>
      </c>
      <c r="Y1237" s="168">
        <f>_xll.qlCalendarAdvance(LiborCalendar,Y1236,X1237,"f",FALSE)</f>
        <v>47808</v>
      </c>
      <c r="Z1237" s="171">
        <f>_xll.qlInterestRateIndexValueDate(IborIndex,Y1237,Trigger)</f>
        <v>47812</v>
      </c>
      <c r="AA1237" s="172">
        <v>1.0503384997054109E-2</v>
      </c>
      <c r="AB1237" s="169">
        <v>1.0491632343381241E-2</v>
      </c>
    </row>
    <row r="1238" spans="20:28" x14ac:dyDescent="0.2">
      <c r="T1238" s="130"/>
      <c r="U1238" s="151"/>
      <c r="X1238" s="170" t="str">
        <f t="shared" si="28"/>
        <v>1w</v>
      </c>
      <c r="Y1238" s="168">
        <f>_xll.qlCalendarAdvance(LiborCalendar,Y1237,X1238,"f",FALSE)</f>
        <v>47815</v>
      </c>
      <c r="Z1238" s="171">
        <f>_xll.qlInterestRateIndexValueDate(IborIndex,Y1238,Trigger)</f>
        <v>47819</v>
      </c>
      <c r="AA1238" s="172">
        <v>1.0502945720863549E-2</v>
      </c>
      <c r="AB1238" s="169">
        <v>1.0491258292830707E-2</v>
      </c>
    </row>
    <row r="1239" spans="20:28" x14ac:dyDescent="0.2">
      <c r="T1239" s="130"/>
      <c r="U1239" s="151"/>
      <c r="X1239" s="170" t="str">
        <f t="shared" si="28"/>
        <v>1w</v>
      </c>
      <c r="Y1239" s="168">
        <f>_xll.qlCalendarAdvance(LiborCalendar,Y1238,X1239,"f",FALSE)</f>
        <v>47822</v>
      </c>
      <c r="Z1239" s="171">
        <f>_xll.qlInterestRateIndexValueDate(IborIndex,Y1239,Trigger)</f>
        <v>47826</v>
      </c>
      <c r="AA1239" s="172">
        <v>1.0502649527922606E-2</v>
      </c>
      <c r="AB1239" s="169">
        <v>1.0490894827572816E-2</v>
      </c>
    </row>
    <row r="1240" spans="20:28" x14ac:dyDescent="0.2">
      <c r="T1240" s="130"/>
      <c r="U1240" s="151"/>
      <c r="X1240" s="170" t="str">
        <f t="shared" si="28"/>
        <v>1w</v>
      </c>
      <c r="Y1240" s="168">
        <f>_xll.qlCalendarAdvance(LiborCalendar,Y1239,X1240,"f",FALSE)</f>
        <v>47829</v>
      </c>
      <c r="Z1240" s="171">
        <f>_xll.qlInterestRateIndexValueDate(IborIndex,Y1240,Trigger)</f>
        <v>47833</v>
      </c>
      <c r="AA1240" s="172">
        <v>1.0502363948041984E-2</v>
      </c>
      <c r="AB1240" s="169">
        <v>1.0490541947527632E-2</v>
      </c>
    </row>
    <row r="1241" spans="20:28" x14ac:dyDescent="0.2">
      <c r="T1241" s="130"/>
      <c r="U1241" s="151"/>
      <c r="X1241" s="170" t="str">
        <f t="shared" si="28"/>
        <v>1w</v>
      </c>
      <c r="Y1241" s="168">
        <f>_xll.qlCalendarAdvance(LiborCalendar,Y1240,X1241,"f",FALSE)</f>
        <v>47836</v>
      </c>
      <c r="Z1241" s="171">
        <f>_xll.qlInterestRateIndexValueDate(IborIndex,Y1241,Trigger)</f>
        <v>47840</v>
      </c>
      <c r="AA1241" s="172">
        <v>1.0502088981219047E-2</v>
      </c>
      <c r="AB1241" s="169">
        <v>1.049019965277509E-2</v>
      </c>
    </row>
    <row r="1242" spans="20:28" x14ac:dyDescent="0.2">
      <c r="T1242" s="130"/>
      <c r="U1242" s="151"/>
      <c r="X1242" s="170" t="str">
        <f t="shared" si="28"/>
        <v>1w</v>
      </c>
      <c r="Y1242" s="168">
        <f>_xll.qlCalendarAdvance(LiborCalendar,Y1241,X1242,"f",FALSE)</f>
        <v>47844</v>
      </c>
      <c r="Z1242" s="171">
        <f>_xll.qlInterestRateIndexValueDate(IborIndex,Y1242,Trigger)</f>
        <v>47848</v>
      </c>
      <c r="AA1242" s="172">
        <v>1.0501651476895191E-2</v>
      </c>
      <c r="AB1242" s="169">
        <v>1.048995109432127E-2</v>
      </c>
    </row>
    <row r="1243" spans="20:28" x14ac:dyDescent="0.2">
      <c r="T1243" s="130"/>
      <c r="U1243" s="151"/>
      <c r="X1243" s="170" t="str">
        <f t="shared" si="28"/>
        <v>1w</v>
      </c>
      <c r="Y1243" s="168">
        <f>_xll.qlCalendarAdvance(LiborCalendar,Y1242,X1243,"f",FALSE)</f>
        <v>47851</v>
      </c>
      <c r="Z1243" s="171">
        <f>_xll.qlInterestRateIndexValueDate(IborIndex,Y1243,Trigger)</f>
        <v>47855</v>
      </c>
      <c r="AA1243" s="172">
        <v>1.0501398501626014E-2</v>
      </c>
      <c r="AB1243" s="169">
        <v>1.0489501808033097E-2</v>
      </c>
    </row>
    <row r="1244" spans="20:28" x14ac:dyDescent="0.2">
      <c r="T1244" s="130"/>
      <c r="U1244" s="151"/>
      <c r="X1244" s="170" t="str">
        <f t="shared" si="28"/>
        <v>1w</v>
      </c>
      <c r="Y1244" s="168">
        <f>_xll.qlCalendarAdvance(LiborCalendar,Y1243,X1244,"f",FALSE)</f>
        <v>47858</v>
      </c>
      <c r="Z1244" s="171">
        <f>_xll.qlInterestRateIndexValueDate(IborIndex,Y1244,Trigger)</f>
        <v>47862</v>
      </c>
      <c r="AA1244" s="172">
        <v>1.050129389292143E-2</v>
      </c>
      <c r="AB1244" s="169">
        <v>1.0489192781228951E-2</v>
      </c>
    </row>
    <row r="1245" spans="20:28" x14ac:dyDescent="0.2">
      <c r="T1245" s="130"/>
      <c r="U1245" s="151"/>
      <c r="X1245" s="170" t="str">
        <f t="shared" si="28"/>
        <v>1w</v>
      </c>
      <c r="Y1245" s="168">
        <f>_xll.qlCalendarAdvance(LiborCalendar,Y1244,X1245,"f",FALSE)</f>
        <v>47865</v>
      </c>
      <c r="Z1245" s="171">
        <f>_xll.qlInterestRateIndexValueDate(IborIndex,Y1245,Trigger)</f>
        <v>47869</v>
      </c>
      <c r="AA1245" s="172">
        <v>1.0500924389310384E-2</v>
      </c>
      <c r="AB1245" s="169">
        <v>1.0488894339557575E-2</v>
      </c>
    </row>
    <row r="1246" spans="20:28" x14ac:dyDescent="0.2">
      <c r="T1246" s="130"/>
      <c r="U1246" s="151"/>
      <c r="X1246" s="170" t="str">
        <f t="shared" si="28"/>
        <v>1w</v>
      </c>
      <c r="Y1246" s="168">
        <f>_xll.qlCalendarAdvance(LiborCalendar,Y1245,X1246,"f",FALSE)</f>
        <v>47872</v>
      </c>
      <c r="Z1246" s="171">
        <f>_xll.qlInterestRateIndexValueDate(IborIndex,Y1246,Trigger)</f>
        <v>47876</v>
      </c>
      <c r="AA1246" s="172">
        <v>1.0500703252259491E-2</v>
      </c>
      <c r="AB1246" s="169">
        <v>1.0488606483178842E-2</v>
      </c>
    </row>
    <row r="1247" spans="20:28" x14ac:dyDescent="0.2">
      <c r="T1247" s="130"/>
      <c r="U1247" s="151"/>
      <c r="X1247" s="170" t="str">
        <f t="shared" si="28"/>
        <v>1w</v>
      </c>
      <c r="Y1247" s="168">
        <f>_xll.qlCalendarAdvance(LiborCalendar,Y1246,X1247,"f",FALSE)</f>
        <v>47879</v>
      </c>
      <c r="Z1247" s="171">
        <f>_xll.qlInterestRateIndexValueDate(IborIndex,Y1247,Trigger)</f>
        <v>47883</v>
      </c>
      <c r="AA1247" s="172">
        <v>1.0500632736667289E-2</v>
      </c>
      <c r="AB1247" s="169">
        <v>1.0488329212012815E-2</v>
      </c>
    </row>
    <row r="1248" spans="20:28" x14ac:dyDescent="0.2">
      <c r="T1248" s="130"/>
      <c r="U1248" s="151"/>
      <c r="X1248" s="170" t="str">
        <f t="shared" si="28"/>
        <v>1w</v>
      </c>
      <c r="Y1248" s="168">
        <f>_xll.qlCalendarAdvance(LiborCalendar,Y1247,X1248,"f",FALSE)</f>
        <v>47886</v>
      </c>
      <c r="Z1248" s="171">
        <f>_xll.qlInterestRateIndexValueDate(IborIndex,Y1248,Trigger)</f>
        <v>47890</v>
      </c>
      <c r="AA1248" s="172">
        <v>1.0500292816366219E-2</v>
      </c>
      <c r="AB1248" s="169">
        <v>1.048806252613943E-2</v>
      </c>
    </row>
    <row r="1249" spans="20:28" x14ac:dyDescent="0.2">
      <c r="T1249" s="130"/>
      <c r="U1249" s="151"/>
      <c r="X1249" s="170" t="str">
        <f t="shared" si="28"/>
        <v>1w</v>
      </c>
      <c r="Y1249" s="168">
        <f>_xll.qlCalendarAdvance(LiborCalendar,Y1248,X1249,"f",FALSE)</f>
        <v>47893</v>
      </c>
      <c r="Z1249" s="171">
        <f>_xll.qlInterestRateIndexValueDate(IborIndex,Y1249,Trigger)</f>
        <v>47897</v>
      </c>
      <c r="AA1249" s="172">
        <v>1.0500103517520287E-2</v>
      </c>
      <c r="AB1249" s="169">
        <v>1.0487806425478752E-2</v>
      </c>
    </row>
    <row r="1250" spans="20:28" x14ac:dyDescent="0.2">
      <c r="T1250" s="130"/>
      <c r="U1250" s="151"/>
      <c r="X1250" s="170" t="str">
        <f t="shared" si="28"/>
        <v>1w</v>
      </c>
      <c r="Y1250" s="168">
        <f>_xll.qlCalendarAdvance(LiborCalendar,Y1249,X1250,"f",FALSE)</f>
        <v>47900</v>
      </c>
      <c r="Z1250" s="171">
        <f>_xll.qlInterestRateIndexValueDate(IborIndex,Y1250,Trigger)</f>
        <v>47904</v>
      </c>
      <c r="AA1250" s="172">
        <v>1.0500067097805824E-2</v>
      </c>
      <c r="AB1250" s="169">
        <v>1.0487560910110716E-2</v>
      </c>
    </row>
    <row r="1251" spans="20:28" x14ac:dyDescent="0.2">
      <c r="T1251" s="130"/>
      <c r="U1251" s="151"/>
      <c r="X1251" s="170" t="str">
        <f t="shared" si="28"/>
        <v>1w</v>
      </c>
      <c r="Y1251" s="168">
        <f>_xll.qlCalendarAdvance(LiborCalendar,Y1250,X1251,"f",FALSE)</f>
        <v>47907</v>
      </c>
      <c r="Z1251" s="171">
        <f>_xll.qlInterestRateIndexValueDate(IborIndex,Y1251,Trigger)</f>
        <v>47911</v>
      </c>
      <c r="AA1251" s="172">
        <v>1.0500042871768891E-2</v>
      </c>
      <c r="AB1251" s="169">
        <v>1.0487325979955386E-2</v>
      </c>
    </row>
    <row r="1252" spans="20:28" x14ac:dyDescent="0.2">
      <c r="T1252" s="130"/>
      <c r="U1252" s="151"/>
      <c r="X1252" s="170" t="str">
        <f t="shared" si="28"/>
        <v>1w</v>
      </c>
      <c r="Y1252" s="168">
        <f>_xll.qlCalendarAdvance(LiborCalendar,Y1251,X1252,"f",FALSE)</f>
        <v>47914</v>
      </c>
      <c r="Z1252" s="171">
        <f>_xll.qlInterestRateIndexValueDate(IborIndex,Y1252,Trigger)</f>
        <v>47918</v>
      </c>
      <c r="AA1252" s="172">
        <v>1.049988691813193E-2</v>
      </c>
      <c r="AB1252" s="169">
        <v>1.0487101635092699E-2</v>
      </c>
    </row>
    <row r="1253" spans="20:28" x14ac:dyDescent="0.2">
      <c r="T1253" s="130"/>
      <c r="U1253" s="151"/>
      <c r="X1253" s="170" t="str">
        <f t="shared" si="28"/>
        <v>1w</v>
      </c>
      <c r="Y1253" s="168">
        <f>_xll.qlCalendarAdvance(LiborCalendar,Y1252,X1253,"f",FALSE)</f>
        <v>47921</v>
      </c>
      <c r="Z1253" s="171">
        <f>_xll.qlInterestRateIndexValueDate(IborIndex,Y1253,Trigger)</f>
        <v>47925</v>
      </c>
      <c r="AA1253" s="172">
        <v>1.0499741577839086E-2</v>
      </c>
      <c r="AB1253" s="169">
        <v>1.0486887875362783E-2</v>
      </c>
    </row>
    <row r="1254" spans="20:28" x14ac:dyDescent="0.2">
      <c r="T1254" s="130"/>
      <c r="U1254" s="151"/>
      <c r="X1254" s="170" t="str">
        <f t="shared" si="28"/>
        <v>1w</v>
      </c>
      <c r="Y1254" s="168">
        <f>_xll.qlCalendarAdvance(LiborCalendar,Y1253,X1254,"f",FALSE)</f>
        <v>47928</v>
      </c>
      <c r="Z1254" s="171">
        <f>_xll.qlInterestRateIndexValueDate(IborIndex,Y1254,Trigger)</f>
        <v>47932</v>
      </c>
      <c r="AA1254" s="172">
        <v>1.0499606850892096E-2</v>
      </c>
      <c r="AB1254" s="169">
        <v>1.0486684700925508E-2</v>
      </c>
    </row>
    <row r="1255" spans="20:28" x14ac:dyDescent="0.2">
      <c r="T1255" s="130"/>
      <c r="U1255" s="151"/>
      <c r="X1255" s="170" t="str">
        <f t="shared" si="28"/>
        <v>1w</v>
      </c>
      <c r="Y1255" s="168">
        <f>_xll.qlCalendarAdvance(LiborCalendar,Y1254,X1255,"f",FALSE)</f>
        <v>47935</v>
      </c>
      <c r="Z1255" s="171">
        <f>_xll.qlInterestRateIndexValueDate(IborIndex,Y1255,Trigger)</f>
        <v>47939</v>
      </c>
      <c r="AA1255" s="172">
        <v>1.0499336627136379E-2</v>
      </c>
      <c r="AB1255" s="169">
        <v>1.0486492111780876E-2</v>
      </c>
    </row>
    <row r="1256" spans="20:28" x14ac:dyDescent="0.2">
      <c r="T1256" s="130"/>
      <c r="U1256" s="151"/>
      <c r="X1256" s="170" t="str">
        <f t="shared" si="28"/>
        <v>1w</v>
      </c>
      <c r="Y1256" s="168">
        <f>_xll.qlCalendarAdvance(LiborCalendar,Y1255,X1256,"f",FALSE)</f>
        <v>47942</v>
      </c>
      <c r="Z1256" s="171">
        <f>_xll.qlInterestRateIndexValueDate(IborIndex,Y1256,Trigger)</f>
        <v>47946</v>
      </c>
      <c r="AA1256" s="172">
        <v>1.0499222372107203E-2</v>
      </c>
      <c r="AB1256" s="169">
        <v>1.0486310107848951E-2</v>
      </c>
    </row>
    <row r="1257" spans="20:28" x14ac:dyDescent="0.2">
      <c r="T1257" s="130"/>
      <c r="U1257" s="151"/>
      <c r="X1257" s="170" t="str">
        <f t="shared" si="28"/>
        <v>1w</v>
      </c>
      <c r="Y1257" s="168">
        <f>_xll.qlCalendarAdvance(LiborCalendar,Y1256,X1257,"f",FALSE)</f>
        <v>47953</v>
      </c>
      <c r="Z1257" s="171">
        <f>_xll.qlInterestRateIndexValueDate(IborIndex,Y1257,Trigger)</f>
        <v>47955</v>
      </c>
      <c r="AA1257" s="172">
        <v>1.0499091067442481E-2</v>
      </c>
      <c r="AB1257" s="169">
        <v>1.0486091656671803E-2</v>
      </c>
    </row>
    <row r="1258" spans="20:28" x14ac:dyDescent="0.2">
      <c r="T1258" s="130"/>
      <c r="U1258" s="151"/>
      <c r="X1258" s="170" t="str">
        <f t="shared" si="28"/>
        <v>1w</v>
      </c>
      <c r="Y1258" s="168">
        <f>_xll.qlCalendarAdvance(LiborCalendar,Y1257,X1258,"f",FALSE)</f>
        <v>47960</v>
      </c>
      <c r="Z1258" s="171">
        <f>_xll.qlInterestRateIndexValueDate(IborIndex,Y1258,Trigger)</f>
        <v>47962</v>
      </c>
      <c r="AA1258" s="172">
        <v>1.0499001070770389E-2</v>
      </c>
      <c r="AB1258" s="169">
        <v>1.0485933847546036E-2</v>
      </c>
    </row>
    <row r="1259" spans="20:28" x14ac:dyDescent="0.2">
      <c r="T1259" s="130"/>
      <c r="U1259" s="151"/>
      <c r="X1259" s="170" t="str">
        <f t="shared" si="28"/>
        <v>1w</v>
      </c>
      <c r="Y1259" s="168">
        <f>_xll.qlCalendarAdvance(LiborCalendar,Y1258,X1259,"f",FALSE)</f>
        <v>47967</v>
      </c>
      <c r="Z1259" s="171">
        <f>_xll.qlInterestRateIndexValueDate(IborIndex,Y1259,Trigger)</f>
        <v>47970</v>
      </c>
      <c r="AA1259" s="172">
        <v>1.0499359803014269E-2</v>
      </c>
      <c r="AB1259" s="169">
        <v>1.0486194880801047E-2</v>
      </c>
    </row>
    <row r="1260" spans="20:28" x14ac:dyDescent="0.2">
      <c r="T1260" s="130"/>
      <c r="U1260" s="151"/>
      <c r="X1260" s="170" t="str">
        <f t="shared" si="28"/>
        <v>1w</v>
      </c>
      <c r="Y1260" s="168">
        <f>_xll.qlCalendarAdvance(LiborCalendar,Y1259,X1260,"f",FALSE)</f>
        <v>47974</v>
      </c>
      <c r="Z1260" s="171">
        <f>_xll.qlInterestRateIndexValueDate(IborIndex,Y1260,Trigger)</f>
        <v>47976</v>
      </c>
      <c r="AA1260" s="172">
        <v>1.0499003019658386E-2</v>
      </c>
      <c r="AB1260" s="169">
        <v>1.0485649985092493E-2</v>
      </c>
    </row>
    <row r="1261" spans="20:28" x14ac:dyDescent="0.2">
      <c r="T1261" s="130"/>
      <c r="U1261" s="151"/>
      <c r="X1261" s="170" t="str">
        <f t="shared" si="28"/>
        <v>1w</v>
      </c>
      <c r="Y1261" s="168">
        <f>_xll.qlCalendarAdvance(LiborCalendar,Y1260,X1261,"f",FALSE)</f>
        <v>47981</v>
      </c>
      <c r="Z1261" s="171">
        <f>_xll.qlInterestRateIndexValueDate(IborIndex,Y1261,Trigger)</f>
        <v>47983</v>
      </c>
      <c r="AA1261" s="172">
        <v>1.0498945618478056E-2</v>
      </c>
      <c r="AB1261" s="169">
        <v>1.0485523931764718E-2</v>
      </c>
    </row>
    <row r="1262" spans="20:28" x14ac:dyDescent="0.2">
      <c r="T1262" s="130"/>
      <c r="U1262" s="151"/>
      <c r="X1262" s="170" t="str">
        <f t="shared" si="28"/>
        <v>1w</v>
      </c>
      <c r="Y1262" s="168">
        <f>_xll.qlCalendarAdvance(LiborCalendar,Y1261,X1262,"f",FALSE)</f>
        <v>47988</v>
      </c>
      <c r="Z1262" s="171">
        <f>_xll.qlInterestRateIndexValueDate(IborIndex,Y1262,Trigger)</f>
        <v>47991</v>
      </c>
      <c r="AA1262" s="172">
        <v>1.0499348636818713E-2</v>
      </c>
      <c r="AB1262" s="169">
        <v>1.048582803005127E-2</v>
      </c>
    </row>
    <row r="1263" spans="20:28" x14ac:dyDescent="0.2">
      <c r="T1263" s="130"/>
      <c r="U1263" s="151"/>
      <c r="X1263" s="170" t="str">
        <f t="shared" si="28"/>
        <v>1w</v>
      </c>
      <c r="Y1263" s="168">
        <f>_xll.qlCalendarAdvance(LiborCalendar,Y1262,X1263,"f",FALSE)</f>
        <v>47995</v>
      </c>
      <c r="Z1263" s="171">
        <f>_xll.qlInterestRateIndexValueDate(IborIndex,Y1263,Trigger)</f>
        <v>47997</v>
      </c>
      <c r="AA1263" s="172">
        <v>1.0498862656131498E-2</v>
      </c>
      <c r="AB1263" s="169">
        <v>1.0485303580827221E-2</v>
      </c>
    </row>
    <row r="1264" spans="20:28" x14ac:dyDescent="0.2">
      <c r="T1264" s="130"/>
      <c r="U1264" s="151"/>
      <c r="X1264" s="170" t="str">
        <f t="shared" si="28"/>
        <v>1w</v>
      </c>
      <c r="Y1264" s="168">
        <f>_xll.qlCalendarAdvance(LiborCalendar,Y1263,X1264,"f",FALSE)</f>
        <v>48002</v>
      </c>
      <c r="Z1264" s="171">
        <f>_xll.qlInterestRateIndexValueDate(IborIndex,Y1264,Trigger)</f>
        <v>48004</v>
      </c>
      <c r="AA1264" s="172">
        <v>1.0498837094964401E-2</v>
      </c>
      <c r="AB1264" s="169">
        <v>1.04852092832175E-2</v>
      </c>
    </row>
    <row r="1265" spans="20:28" x14ac:dyDescent="0.2">
      <c r="T1265" s="130"/>
      <c r="U1265" s="151"/>
      <c r="X1265" s="170" t="str">
        <f t="shared" si="28"/>
        <v>1w</v>
      </c>
      <c r="Y1265" s="168">
        <f>_xll.qlCalendarAdvance(LiborCalendar,Y1264,X1265,"f",FALSE)</f>
        <v>48009</v>
      </c>
      <c r="Z1265" s="171">
        <f>_xll.qlInterestRateIndexValueDate(IborIndex,Y1265,Trigger)</f>
        <v>48011</v>
      </c>
      <c r="AA1265" s="172">
        <v>1.0498822147133602E-2</v>
      </c>
      <c r="AB1265" s="169">
        <v>1.0485125570820486E-2</v>
      </c>
    </row>
    <row r="1266" spans="20:28" x14ac:dyDescent="0.2">
      <c r="T1266" s="130"/>
      <c r="U1266" s="151"/>
      <c r="X1266" s="170" t="str">
        <f t="shared" si="28"/>
        <v>1w</v>
      </c>
      <c r="Y1266" s="168">
        <f>_xll.qlCalendarAdvance(LiborCalendar,Y1265,X1266,"f",FALSE)</f>
        <v>48016</v>
      </c>
      <c r="Z1266" s="171">
        <f>_xll.qlInterestRateIndexValueDate(IborIndex,Y1266,Trigger)</f>
        <v>48018</v>
      </c>
      <c r="AA1266" s="172">
        <v>1.0498817812640837E-2</v>
      </c>
      <c r="AB1266" s="169">
        <v>1.048505244379605E-2</v>
      </c>
    </row>
    <row r="1267" spans="20:28" x14ac:dyDescent="0.2">
      <c r="T1267" s="130"/>
      <c r="U1267" s="151"/>
      <c r="X1267" s="170" t="str">
        <f t="shared" si="28"/>
        <v>1w</v>
      </c>
      <c r="Y1267" s="168">
        <f>_xll.qlCalendarAdvance(LiborCalendar,Y1266,X1267,"f",FALSE)</f>
        <v>48023</v>
      </c>
      <c r="Z1267" s="171">
        <f>_xll.qlInterestRateIndexValueDate(IborIndex,Y1267,Trigger)</f>
        <v>48025</v>
      </c>
      <c r="AA1267" s="172">
        <v>1.0498824091484371E-2</v>
      </c>
      <c r="AB1267" s="169">
        <v>1.0484989901904385E-2</v>
      </c>
    </row>
    <row r="1268" spans="20:28" x14ac:dyDescent="0.2">
      <c r="T1268" s="130"/>
      <c r="U1268" s="151"/>
      <c r="X1268" s="170" t="str">
        <f t="shared" si="28"/>
        <v>1w</v>
      </c>
      <c r="Y1268" s="168">
        <f>_xll.qlCalendarAdvance(LiborCalendar,Y1267,X1268,"f",FALSE)</f>
        <v>48030</v>
      </c>
      <c r="Z1268" s="171">
        <f>_xll.qlInterestRateIndexValueDate(IborIndex,Y1268,Trigger)</f>
        <v>48032</v>
      </c>
      <c r="AA1268" s="172">
        <v>1.0498840983665068E-2</v>
      </c>
      <c r="AB1268" s="169">
        <v>1.0484937945225425E-2</v>
      </c>
    </row>
    <row r="1269" spans="20:28" x14ac:dyDescent="0.2">
      <c r="T1269" s="130"/>
      <c r="U1269" s="151"/>
      <c r="X1269" s="170" t="str">
        <f t="shared" si="28"/>
        <v>1w</v>
      </c>
      <c r="Y1269" s="168">
        <f>_xll.qlCalendarAdvance(LiborCalendar,Y1268,X1269,"f",FALSE)</f>
        <v>48037</v>
      </c>
      <c r="Z1269" s="171">
        <f>_xll.qlInterestRateIndexValueDate(IborIndex,Y1269,Trigger)</f>
        <v>48039</v>
      </c>
      <c r="AA1269" s="172">
        <v>1.0498868489182932E-2</v>
      </c>
      <c r="AB1269" s="169">
        <v>1.0484896573839109E-2</v>
      </c>
    </row>
    <row r="1270" spans="20:28" x14ac:dyDescent="0.2">
      <c r="T1270" s="130"/>
      <c r="U1270" s="151"/>
      <c r="X1270" s="170" t="str">
        <f t="shared" si="28"/>
        <v>1w</v>
      </c>
      <c r="Y1270" s="168">
        <f>_xll.qlCalendarAdvance(LiborCalendar,Y1269,X1270,"f",FALSE)</f>
        <v>48044</v>
      </c>
      <c r="Z1270" s="171">
        <f>_xll.qlInterestRateIndexValueDate(IborIndex,Y1270,Trigger)</f>
        <v>48046</v>
      </c>
      <c r="AA1270" s="172">
        <v>1.0498906608037961E-2</v>
      </c>
      <c r="AB1270" s="169">
        <v>1.0484865787665498E-2</v>
      </c>
    </row>
    <row r="1271" spans="20:28" x14ac:dyDescent="0.2">
      <c r="T1271" s="130"/>
      <c r="U1271" s="151"/>
      <c r="X1271" s="170" t="str">
        <f t="shared" si="28"/>
        <v>1w</v>
      </c>
      <c r="Y1271" s="168">
        <f>_xll.qlCalendarAdvance(LiborCalendar,Y1270,X1271,"f",FALSE)</f>
        <v>48051</v>
      </c>
      <c r="Z1271" s="171">
        <f>_xll.qlInterestRateIndexValueDate(IborIndex,Y1271,Trigger)</f>
        <v>48053</v>
      </c>
      <c r="AA1271" s="172">
        <v>1.0498955340231023E-2</v>
      </c>
      <c r="AB1271" s="169">
        <v>1.0484845586864466E-2</v>
      </c>
    </row>
    <row r="1272" spans="20:28" x14ac:dyDescent="0.2">
      <c r="T1272" s="130"/>
      <c r="U1272" s="151"/>
      <c r="X1272" s="170" t="str">
        <f t="shared" si="28"/>
        <v>1w</v>
      </c>
      <c r="Y1272" s="168">
        <f>_xll.qlCalendarAdvance(LiborCalendar,Y1271,X1272,"f",FALSE)</f>
        <v>48058</v>
      </c>
      <c r="Z1272" s="171">
        <f>_xll.qlInterestRateIndexValueDate(IborIndex,Y1272,Trigger)</f>
        <v>48060</v>
      </c>
      <c r="AA1272" s="172">
        <v>1.0499014685762122E-2</v>
      </c>
      <c r="AB1272" s="169">
        <v>1.0484835971196205E-2</v>
      </c>
    </row>
    <row r="1273" spans="20:28" x14ac:dyDescent="0.2">
      <c r="T1273" s="130"/>
      <c r="U1273" s="151"/>
      <c r="X1273" s="170" t="str">
        <f t="shared" si="28"/>
        <v>1w</v>
      </c>
      <c r="Y1273" s="168">
        <f>_xll.qlCalendarAdvance(LiborCalendar,Y1272,X1273,"f",FALSE)</f>
        <v>48065</v>
      </c>
      <c r="Z1273" s="171">
        <f>_xll.qlInterestRateIndexValueDate(IborIndex,Y1273,Trigger)</f>
        <v>48067</v>
      </c>
      <c r="AA1273" s="172">
        <v>1.0499084644631253E-2</v>
      </c>
      <c r="AB1273" s="169">
        <v>1.0484836940740649E-2</v>
      </c>
    </row>
    <row r="1274" spans="20:28" x14ac:dyDescent="0.2">
      <c r="T1274" s="130"/>
      <c r="U1274" s="151"/>
      <c r="X1274" s="170" t="str">
        <f t="shared" si="28"/>
        <v>1w</v>
      </c>
      <c r="Y1274" s="168">
        <f>_xll.qlCalendarAdvance(LiborCalendar,Y1273,X1274,"f",FALSE)</f>
        <v>48072</v>
      </c>
      <c r="Z1274" s="171">
        <f>_xll.qlInterestRateIndexValueDate(IborIndex,Y1274,Trigger)</f>
        <v>48074</v>
      </c>
      <c r="AA1274" s="172">
        <v>1.0499165216839291E-2</v>
      </c>
      <c r="AB1274" s="169">
        <v>1.0484848495577737E-2</v>
      </c>
    </row>
    <row r="1275" spans="20:28" x14ac:dyDescent="0.2">
      <c r="T1275" s="130"/>
      <c r="U1275" s="151"/>
      <c r="X1275" s="170" t="str">
        <f t="shared" si="28"/>
        <v>1w</v>
      </c>
      <c r="Y1275" s="168">
        <f>_xll.qlCalendarAdvance(LiborCalendar,Y1274,X1275,"f",FALSE)</f>
        <v>48079</v>
      </c>
      <c r="Z1275" s="171">
        <f>_xll.qlInterestRateIndexValueDate(IborIndex,Y1275,Trigger)</f>
        <v>48081</v>
      </c>
      <c r="AA1275" s="172">
        <v>1.0499256402387098E-2</v>
      </c>
      <c r="AB1275" s="169">
        <v>1.0484870635707466E-2</v>
      </c>
    </row>
    <row r="1276" spans="20:28" x14ac:dyDescent="0.2">
      <c r="T1276" s="130"/>
      <c r="U1276" s="151"/>
      <c r="X1276" s="170" t="str">
        <f t="shared" si="28"/>
        <v>1w</v>
      </c>
      <c r="Y1276" s="168">
        <f>_xll.qlCalendarAdvance(LiborCalendar,Y1275,X1276,"f",FALSE)</f>
        <v>48086</v>
      </c>
      <c r="Z1276" s="171">
        <f>_xll.qlInterestRateIndexValueDate(IborIndex,Y1276,Trigger)</f>
        <v>48088</v>
      </c>
      <c r="AA1276" s="172">
        <v>1.0499358201276416E-2</v>
      </c>
      <c r="AB1276" s="169">
        <v>1.0484903361129838E-2</v>
      </c>
    </row>
    <row r="1277" spans="20:28" x14ac:dyDescent="0.2">
      <c r="T1277" s="130"/>
      <c r="U1277" s="151"/>
      <c r="X1277" s="170" t="str">
        <f t="shared" si="28"/>
        <v>1w</v>
      </c>
      <c r="Y1277" s="168">
        <f>_xll.qlCalendarAdvance(LiborCalendar,Y1276,X1277,"f",FALSE)</f>
        <v>48093</v>
      </c>
      <c r="Z1277" s="171">
        <f>_xll.qlInterestRateIndexValueDate(IborIndex,Y1277,Trigger)</f>
        <v>48095</v>
      </c>
      <c r="AA1277" s="172">
        <v>1.0499307609498855E-2</v>
      </c>
      <c r="AB1277" s="169">
        <v>1.048494667168498E-2</v>
      </c>
    </row>
    <row r="1278" spans="20:28" x14ac:dyDescent="0.2">
      <c r="T1278" s="130"/>
      <c r="U1278" s="151"/>
      <c r="X1278" s="170" t="str">
        <f t="shared" si="28"/>
        <v>1w</v>
      </c>
      <c r="Y1278" s="168">
        <f>_xll.qlCalendarAdvance(LiborCalendar,Y1277,X1278,"f",FALSE)</f>
        <v>48100</v>
      </c>
      <c r="Z1278" s="171">
        <f>_xll.qlInterestRateIndexValueDate(IborIndex,Y1278,Trigger)</f>
        <v>48102</v>
      </c>
      <c r="AA1278" s="172">
        <v>1.0499429873413891E-2</v>
      </c>
      <c r="AB1278" s="169">
        <v>1.0485000567532765E-2</v>
      </c>
    </row>
    <row r="1279" spans="20:28" x14ac:dyDescent="0.2">
      <c r="T1279" s="130"/>
      <c r="U1279" s="151"/>
      <c r="X1279" s="170" t="str">
        <f t="shared" si="28"/>
        <v>1w</v>
      </c>
      <c r="Y1279" s="168">
        <f>_xll.qlCalendarAdvance(LiborCalendar,Y1278,X1279,"f",FALSE)</f>
        <v>48107</v>
      </c>
      <c r="Z1279" s="171">
        <f>_xll.qlInterestRateIndexValueDate(IborIndex,Y1279,Trigger)</f>
        <v>48109</v>
      </c>
      <c r="AA1279" s="172">
        <v>1.0499562750362016E-2</v>
      </c>
      <c r="AB1279" s="169">
        <v>1.048506504851332E-2</v>
      </c>
    </row>
    <row r="1280" spans="20:28" x14ac:dyDescent="0.2">
      <c r="T1280" s="130"/>
      <c r="U1280" s="151"/>
      <c r="X1280" s="170" t="str">
        <f t="shared" si="28"/>
        <v>1w</v>
      </c>
      <c r="Y1280" s="168">
        <f>_xll.qlCalendarAdvance(LiborCalendar,Y1279,X1280,"f",FALSE)</f>
        <v>48114</v>
      </c>
      <c r="Z1280" s="171">
        <f>_xll.qlInterestRateIndexValueDate(IborIndex,Y1280,Trigger)</f>
        <v>48116</v>
      </c>
      <c r="AA1280" s="172">
        <v>1.0500367855341346E-2</v>
      </c>
      <c r="AB1280" s="169">
        <v>1.0485140114866454E-2</v>
      </c>
    </row>
    <row r="1281" spans="20:28" x14ac:dyDescent="0.2">
      <c r="T1281" s="130"/>
      <c r="U1281" s="151"/>
      <c r="X1281" s="170" t="str">
        <f t="shared" si="28"/>
        <v>1w</v>
      </c>
      <c r="Y1281" s="168">
        <f>_xll.qlCalendarAdvance(LiborCalendar,Y1280,X1281,"f",FALSE)</f>
        <v>48121</v>
      </c>
      <c r="Z1281" s="171">
        <f>_xll.qlInterestRateIndexValueDate(IborIndex,Y1281,Trigger)</f>
        <v>48123</v>
      </c>
      <c r="AA1281" s="172">
        <v>1.0500525008967037E-2</v>
      </c>
      <c r="AB1281" s="169">
        <v>1.0485225766432293E-2</v>
      </c>
    </row>
    <row r="1282" spans="20:28" x14ac:dyDescent="0.2">
      <c r="T1282" s="130"/>
      <c r="U1282" s="151"/>
      <c r="X1282" s="170" t="str">
        <f t="shared" si="28"/>
        <v>1w</v>
      </c>
      <c r="Y1282" s="168">
        <f>_xll.qlCalendarAdvance(LiborCalendar,Y1281,X1282,"f",FALSE)</f>
        <v>48128</v>
      </c>
      <c r="Z1282" s="171">
        <f>_xll.qlInterestRateIndexValueDate(IborIndex,Y1282,Trigger)</f>
        <v>48130</v>
      </c>
      <c r="AA1282" s="172">
        <v>1.0500191874810971E-2</v>
      </c>
      <c r="AB1282" s="169">
        <v>1.0485322003290776E-2</v>
      </c>
    </row>
    <row r="1283" spans="20:28" x14ac:dyDescent="0.2">
      <c r="T1283" s="130"/>
      <c r="U1283" s="151"/>
      <c r="X1283" s="170" t="str">
        <f t="shared" si="28"/>
        <v>1w</v>
      </c>
      <c r="Y1283" s="168">
        <f>_xll.qlCalendarAdvance(LiborCalendar,Y1282,X1283,"f",FALSE)</f>
        <v>48135</v>
      </c>
      <c r="Z1283" s="171">
        <f>_xll.qlInterestRateIndexValueDate(IborIndex,Y1283,Trigger)</f>
        <v>48137</v>
      </c>
      <c r="AA1283" s="172">
        <v>1.0500367967109974E-2</v>
      </c>
      <c r="AB1283" s="169">
        <v>1.0485428825282028E-2</v>
      </c>
    </row>
    <row r="1284" spans="20:28" x14ac:dyDescent="0.2">
      <c r="T1284" s="130"/>
      <c r="U1284" s="151"/>
      <c r="X1284" s="170" t="str">
        <f t="shared" si="28"/>
        <v>1w</v>
      </c>
      <c r="Y1284" s="168">
        <f>_xll.qlCalendarAdvance(LiborCalendar,Y1283,X1284,"f",FALSE)</f>
        <v>48142</v>
      </c>
      <c r="Z1284" s="171">
        <f>_xll.qlInterestRateIndexValueDate(IborIndex,Y1284,Trigger)</f>
        <v>48144</v>
      </c>
      <c r="AA1284" s="172">
        <v>1.0500554672760044E-2</v>
      </c>
      <c r="AB1284" s="169">
        <v>1.0485546232645859E-2</v>
      </c>
    </row>
    <row r="1285" spans="20:28" x14ac:dyDescent="0.2">
      <c r="T1285" s="130"/>
      <c r="U1285" s="151"/>
      <c r="X1285" s="170" t="str">
        <f t="shared" si="28"/>
        <v>1w</v>
      </c>
      <c r="Y1285" s="168">
        <f>_xll.qlCalendarAdvance(LiborCalendar,Y1284,X1285,"f",FALSE)</f>
        <v>48149</v>
      </c>
      <c r="Z1285" s="171">
        <f>_xll.qlInterestRateIndexValueDate(IborIndex,Y1285,Trigger)</f>
        <v>48151</v>
      </c>
      <c r="AA1285" s="172">
        <v>1.0500751991760314E-2</v>
      </c>
      <c r="AB1285" s="169">
        <v>1.0485674225142461E-2</v>
      </c>
    </row>
    <row r="1286" spans="20:28" x14ac:dyDescent="0.2">
      <c r="T1286" s="130"/>
      <c r="U1286" s="151"/>
      <c r="X1286" s="170" t="str">
        <f t="shared" si="28"/>
        <v>1w</v>
      </c>
      <c r="Y1286" s="168">
        <f>_xll.qlCalendarAdvance(LiborCalendar,Y1285,X1286,"f",FALSE)</f>
        <v>48156</v>
      </c>
      <c r="Z1286" s="171">
        <f>_xll.qlInterestRateIndexValueDate(IborIndex,Y1286,Trigger)</f>
        <v>48158</v>
      </c>
      <c r="AA1286" s="172">
        <v>1.0500959924114258E-2</v>
      </c>
      <c r="AB1286" s="169">
        <v>1.048581280301164E-2</v>
      </c>
    </row>
    <row r="1287" spans="20:28" x14ac:dyDescent="0.2">
      <c r="T1287" s="130"/>
      <c r="U1287" s="151"/>
      <c r="X1287" s="170" t="str">
        <f t="shared" si="28"/>
        <v>1w</v>
      </c>
      <c r="Y1287" s="168">
        <f>_xll.qlCalendarAdvance(LiborCalendar,Y1286,X1287,"f",FALSE)</f>
        <v>48163</v>
      </c>
      <c r="Z1287" s="171">
        <f>_xll.qlInterestRateIndexValueDate(IborIndex,Y1287,Trigger)</f>
        <v>48165</v>
      </c>
      <c r="AA1287" s="172">
        <v>1.0501178469821876E-2</v>
      </c>
      <c r="AB1287" s="169">
        <v>1.0485961966013591E-2</v>
      </c>
    </row>
    <row r="1288" spans="20:28" x14ac:dyDescent="0.2">
      <c r="T1288" s="130"/>
      <c r="U1288" s="151"/>
      <c r="X1288" s="170" t="str">
        <f t="shared" si="28"/>
        <v>1w</v>
      </c>
      <c r="Y1288" s="168">
        <f>_xll.qlCalendarAdvance(LiborCalendar,Y1287,X1288,"f",FALSE)</f>
        <v>48170</v>
      </c>
      <c r="Z1288" s="171">
        <f>_xll.qlInterestRateIndexValueDate(IborIndex,Y1288,Trigger)</f>
        <v>48172</v>
      </c>
      <c r="AA1288" s="172">
        <v>1.0501407628884905E-2</v>
      </c>
      <c r="AB1288" s="169">
        <v>1.0486121714228247E-2</v>
      </c>
    </row>
    <row r="1289" spans="20:28" x14ac:dyDescent="0.2">
      <c r="T1289" s="130"/>
      <c r="U1289" s="151"/>
      <c r="X1289" s="170" t="str">
        <f t="shared" si="28"/>
        <v>1w</v>
      </c>
      <c r="Y1289" s="168">
        <f>_xll.qlCalendarAdvance(LiborCalendar,Y1288,X1289,"f",FALSE)</f>
        <v>48177</v>
      </c>
      <c r="Z1289" s="171">
        <f>_xll.qlInterestRateIndexValueDate(IborIndex,Y1289,Trigger)</f>
        <v>48179</v>
      </c>
      <c r="AA1289" s="172">
        <v>1.0501647401305953E-2</v>
      </c>
      <c r="AB1289" s="169">
        <v>1.0486292047815482E-2</v>
      </c>
    </row>
    <row r="1290" spans="20:28" x14ac:dyDescent="0.2">
      <c r="T1290" s="130"/>
      <c r="U1290" s="151"/>
      <c r="X1290" s="170" t="str">
        <f t="shared" si="28"/>
        <v>1w</v>
      </c>
      <c r="Y1290" s="168">
        <f>_xll.qlCalendarAdvance(LiborCalendar,Y1289,X1290,"f",FALSE)</f>
        <v>48184</v>
      </c>
      <c r="Z1290" s="171">
        <f>_xll.qlInterestRateIndexValueDate(IborIndex,Y1290,Trigger)</f>
        <v>48186</v>
      </c>
      <c r="AA1290" s="172">
        <v>1.050172485741014E-2</v>
      </c>
      <c r="AB1290" s="169">
        <v>1.0486472966615423E-2</v>
      </c>
    </row>
    <row r="1291" spans="20:28" x14ac:dyDescent="0.2">
      <c r="T1291" s="130"/>
      <c r="U1291" s="151"/>
      <c r="X1291" s="170" t="str">
        <f t="shared" si="28"/>
        <v>1w</v>
      </c>
      <c r="Y1291" s="168">
        <f>_xll.qlCalendarAdvance(LiborCalendar,Y1290,X1291,"f",FALSE)</f>
        <v>48191</v>
      </c>
      <c r="Z1291" s="171">
        <f>_xll.qlInterestRateIndexValueDate(IborIndex,Y1291,Trigger)</f>
        <v>48193</v>
      </c>
      <c r="AA1291" s="172">
        <v>1.0501985090874808E-2</v>
      </c>
      <c r="AB1291" s="169">
        <v>1.0486664470628071E-2</v>
      </c>
    </row>
    <row r="1292" spans="20:28" x14ac:dyDescent="0.2">
      <c r="T1292" s="130"/>
      <c r="U1292" s="151"/>
      <c r="X1292" s="170" t="str">
        <f t="shared" si="28"/>
        <v>1w</v>
      </c>
      <c r="Y1292" s="168">
        <f>_xll.qlCalendarAdvance(LiborCalendar,Y1291,X1292,"f",FALSE)</f>
        <v>48198</v>
      </c>
      <c r="Z1292" s="171">
        <f>_xll.qlInterestRateIndexValueDate(IborIndex,Y1292,Trigger)</f>
        <v>48200</v>
      </c>
      <c r="AA1292" s="172">
        <v>1.0502255937392768E-2</v>
      </c>
      <c r="AB1292" s="169">
        <v>1.0486866559853425E-2</v>
      </c>
    </row>
    <row r="1293" spans="20:28" x14ac:dyDescent="0.2">
      <c r="T1293" s="130"/>
      <c r="U1293" s="151"/>
      <c r="X1293" s="170" t="str">
        <f t="shared" si="28"/>
        <v>1w</v>
      </c>
      <c r="Y1293" s="168">
        <f>_xll.qlCalendarAdvance(LiborCalendar,Y1292,X1293,"f",FALSE)</f>
        <v>48205</v>
      </c>
      <c r="Z1293" s="171">
        <f>_xll.qlInterestRateIndexValueDate(IborIndex,Y1293,Trigger)</f>
        <v>48211</v>
      </c>
      <c r="AA1293" s="172">
        <v>1.0502878661724791E-2</v>
      </c>
      <c r="AB1293" s="169">
        <v>1.0487205515197218E-2</v>
      </c>
    </row>
    <row r="1294" spans="20:28" x14ac:dyDescent="0.2">
      <c r="T1294" s="130"/>
      <c r="U1294" s="151"/>
      <c r="X1294" s="170" t="str">
        <f t="shared" si="28"/>
        <v>1w</v>
      </c>
      <c r="Y1294" s="168">
        <f>_xll.qlCalendarAdvance(LiborCalendar,Y1293,X1294,"f",FALSE)</f>
        <v>48212</v>
      </c>
      <c r="Z1294" s="171">
        <f>_xll.qlInterestRateIndexValueDate(IborIndex,Y1294,Trigger)</f>
        <v>48218</v>
      </c>
      <c r="AA1294" s="172">
        <v>1.050300113329863E-2</v>
      </c>
      <c r="AB1294" s="169">
        <v>1.0487434823689412E-2</v>
      </c>
    </row>
    <row r="1295" spans="20:28" x14ac:dyDescent="0.2">
      <c r="T1295" s="130"/>
      <c r="U1295" s="151"/>
      <c r="X1295" s="170" t="str">
        <f t="shared" si="28"/>
        <v>1w</v>
      </c>
      <c r="Y1295" s="168">
        <f>_xll.qlCalendarAdvance(LiborCalendar,Y1294,X1295,"f",FALSE)</f>
        <v>48219</v>
      </c>
      <c r="Z1295" s="171">
        <f>_xll.qlInterestRateIndexValueDate(IborIndex,Y1295,Trigger)</f>
        <v>48221</v>
      </c>
      <c r="AA1295" s="172">
        <v>1.0503132155298913E-2</v>
      </c>
      <c r="AB1295" s="169">
        <v>1.0487536339205406E-2</v>
      </c>
    </row>
    <row r="1296" spans="20:28" x14ac:dyDescent="0.2">
      <c r="T1296" s="130"/>
      <c r="U1296" s="151"/>
      <c r="X1296" s="170" t="str">
        <f t="shared" si="28"/>
        <v>1w</v>
      </c>
      <c r="Y1296" s="168">
        <f>_xll.qlCalendarAdvance(LiborCalendar,Y1295,X1296,"f",FALSE)</f>
        <v>48226</v>
      </c>
      <c r="Z1296" s="171">
        <f>_xll.qlInterestRateIndexValueDate(IborIndex,Y1296,Trigger)</f>
        <v>48228</v>
      </c>
      <c r="AA1296" s="172">
        <v>1.0503445454058156E-2</v>
      </c>
      <c r="AB1296" s="169">
        <v>1.0487780769361521E-2</v>
      </c>
    </row>
    <row r="1297" spans="20:28" x14ac:dyDescent="0.2">
      <c r="T1297" s="130"/>
      <c r="U1297" s="151"/>
      <c r="X1297" s="170" t="str">
        <f t="shared" si="28"/>
        <v>1w</v>
      </c>
      <c r="Y1297" s="168">
        <f>_xll.qlCalendarAdvance(LiborCalendar,Y1296,X1297,"f",FALSE)</f>
        <v>48233</v>
      </c>
      <c r="Z1297" s="171">
        <f>_xll.qlInterestRateIndexValueDate(IborIndex,Y1297,Trigger)</f>
        <v>48235</v>
      </c>
      <c r="AA1297" s="172">
        <v>1.050376936588299E-2</v>
      </c>
      <c r="AB1297" s="169">
        <v>1.0488035784890215E-2</v>
      </c>
    </row>
    <row r="1298" spans="20:28" x14ac:dyDescent="0.2">
      <c r="T1298" s="130"/>
      <c r="U1298" s="151"/>
      <c r="X1298" s="170" t="str">
        <f t="shared" si="28"/>
        <v>1w</v>
      </c>
      <c r="Y1298" s="168">
        <f>_xll.qlCalendarAdvance(LiborCalendar,Y1297,X1298,"f",FALSE)</f>
        <v>48240</v>
      </c>
      <c r="Z1298" s="171">
        <f>_xll.qlInterestRateIndexValueDate(IborIndex,Y1298,Trigger)</f>
        <v>48242</v>
      </c>
      <c r="AA1298" s="172">
        <v>1.0504103890777808E-2</v>
      </c>
      <c r="AB1298" s="169">
        <v>1.0488301385631615E-2</v>
      </c>
    </row>
    <row r="1299" spans="20:28" x14ac:dyDescent="0.2">
      <c r="T1299" s="130"/>
      <c r="U1299" s="151"/>
      <c r="X1299" s="170" t="str">
        <f t="shared" si="28"/>
        <v>1w</v>
      </c>
      <c r="Y1299" s="168">
        <f>_xll.qlCalendarAdvance(LiborCalendar,Y1298,X1299,"f",FALSE)</f>
        <v>48247</v>
      </c>
      <c r="Z1299" s="171">
        <f>_xll.qlInterestRateIndexValueDate(IborIndex,Y1299,Trigger)</f>
        <v>48249</v>
      </c>
      <c r="AA1299" s="172">
        <v>1.0504269273535982E-2</v>
      </c>
      <c r="AB1299" s="169">
        <v>1.0488577571665658E-2</v>
      </c>
    </row>
    <row r="1300" spans="20:28" x14ac:dyDescent="0.2">
      <c r="T1300" s="130"/>
      <c r="U1300" s="151"/>
      <c r="X1300" s="170" t="str">
        <f t="shared" si="28"/>
        <v>1w</v>
      </c>
      <c r="Y1300" s="168">
        <f>_xll.qlCalendarAdvance(LiborCalendar,Y1299,X1300,"f",FALSE)</f>
        <v>48254</v>
      </c>
      <c r="Z1300" s="171">
        <f>_xll.qlInterestRateIndexValueDate(IborIndex,Y1300,Trigger)</f>
        <v>48256</v>
      </c>
      <c r="AA1300" s="172">
        <v>1.0504624256154393E-2</v>
      </c>
      <c r="AB1300" s="169">
        <v>1.0488864342832471E-2</v>
      </c>
    </row>
    <row r="1301" spans="20:28" x14ac:dyDescent="0.2">
      <c r="T1301" s="130"/>
      <c r="U1301" s="151"/>
      <c r="X1301" s="170" t="str">
        <f t="shared" ref="X1301:X1364" si="29">X1300</f>
        <v>1w</v>
      </c>
      <c r="Y1301" s="168">
        <f>_xll.qlCalendarAdvance(LiborCalendar,Y1300,X1301,"f",FALSE)</f>
        <v>48261</v>
      </c>
      <c r="Z1301" s="171">
        <f>_xll.qlInterestRateIndexValueDate(IborIndex,Y1301,Trigger)</f>
        <v>48263</v>
      </c>
      <c r="AA1301" s="172">
        <v>1.0504989851540358E-2</v>
      </c>
      <c r="AB1301" s="169">
        <v>1.0489161699371863E-2</v>
      </c>
    </row>
    <row r="1302" spans="20:28" x14ac:dyDescent="0.2">
      <c r="T1302" s="130"/>
      <c r="U1302" s="151"/>
      <c r="X1302" s="170" t="str">
        <f t="shared" si="29"/>
        <v>1w</v>
      </c>
      <c r="Y1302" s="168">
        <f>_xll.qlCalendarAdvance(LiborCalendar,Y1301,X1302,"f",FALSE)</f>
        <v>48268</v>
      </c>
      <c r="Z1302" s="171">
        <f>_xll.qlInterestRateIndexValueDate(IborIndex,Y1302,Trigger)</f>
        <v>48270</v>
      </c>
      <c r="AA1302" s="172">
        <v>1.0505366059695653E-2</v>
      </c>
      <c r="AB1302" s="169">
        <v>1.0489469641044025E-2</v>
      </c>
    </row>
    <row r="1303" spans="20:28" x14ac:dyDescent="0.2">
      <c r="T1303" s="130"/>
      <c r="U1303" s="151"/>
      <c r="X1303" s="170" t="str">
        <f t="shared" si="29"/>
        <v>1w</v>
      </c>
      <c r="Y1303" s="168">
        <f>_xll.qlCalendarAdvance(LiborCalendar,Y1302,X1303,"f",FALSE)</f>
        <v>48275</v>
      </c>
      <c r="Z1303" s="171">
        <f>_xll.qlInterestRateIndexValueDate(IborIndex,Y1303,Trigger)</f>
        <v>48277</v>
      </c>
      <c r="AA1303" s="172">
        <v>1.0506118619036798E-2</v>
      </c>
      <c r="AB1303" s="169">
        <v>1.0489788168008829E-2</v>
      </c>
    </row>
    <row r="1304" spans="20:28" x14ac:dyDescent="0.2">
      <c r="T1304" s="130"/>
      <c r="U1304" s="151"/>
      <c r="X1304" s="170" t="str">
        <f t="shared" si="29"/>
        <v>1w</v>
      </c>
      <c r="Y1304" s="168">
        <f>_xll.qlCalendarAdvance(LiborCalendar,Y1303,X1304,"f",FALSE)</f>
        <v>48282</v>
      </c>
      <c r="Z1304" s="171">
        <f>_xll.qlInterestRateIndexValueDate(IborIndex,Y1304,Trigger)</f>
        <v>48284</v>
      </c>
      <c r="AA1304" s="172">
        <v>1.0506517592109637E-2</v>
      </c>
      <c r="AB1304" s="169">
        <v>1.0490117280266276E-2</v>
      </c>
    </row>
    <row r="1305" spans="20:28" x14ac:dyDescent="0.2">
      <c r="T1305" s="130"/>
      <c r="U1305" s="151"/>
      <c r="X1305" s="170" t="str">
        <f t="shared" si="29"/>
        <v>1w</v>
      </c>
      <c r="Y1305" s="168">
        <f>_xll.qlCalendarAdvance(LiborCalendar,Y1304,X1305,"f",FALSE)</f>
        <v>48289</v>
      </c>
      <c r="Z1305" s="171">
        <f>_xll.qlInterestRateIndexValueDate(IborIndex,Y1305,Trigger)</f>
        <v>48291</v>
      </c>
      <c r="AA1305" s="172">
        <v>1.0506927178581333E-2</v>
      </c>
      <c r="AB1305" s="169">
        <v>1.0490456977736429E-2</v>
      </c>
    </row>
    <row r="1306" spans="20:28" x14ac:dyDescent="0.2">
      <c r="T1306" s="130"/>
      <c r="U1306" s="151"/>
      <c r="X1306" s="170" t="str">
        <f t="shared" si="29"/>
        <v>1w</v>
      </c>
      <c r="Y1306" s="168">
        <f>_xll.qlCalendarAdvance(LiborCalendar,Y1305,X1306,"f",FALSE)</f>
        <v>48296</v>
      </c>
      <c r="Z1306" s="171">
        <f>_xll.qlInterestRateIndexValueDate(IborIndex,Y1306,Trigger)</f>
        <v>48298</v>
      </c>
      <c r="AA1306" s="172">
        <v>1.0507347378456228E-2</v>
      </c>
      <c r="AB1306" s="169">
        <v>1.0491520959183376E-2</v>
      </c>
    </row>
    <row r="1307" spans="20:28" x14ac:dyDescent="0.2">
      <c r="T1307" s="130"/>
      <c r="U1307" s="151"/>
      <c r="X1307" s="170" t="str">
        <f t="shared" si="29"/>
        <v>1w</v>
      </c>
      <c r="Y1307" s="168">
        <f>_xll.qlCalendarAdvance(LiborCalendar,Y1306,X1307,"f",FALSE)</f>
        <v>48303</v>
      </c>
      <c r="Z1307" s="171">
        <f>_xll.qlInterestRateIndexValueDate(IborIndex,Y1307,Trigger)</f>
        <v>48305</v>
      </c>
      <c r="AA1307" s="172">
        <v>1.0507592203394152E-2</v>
      </c>
      <c r="AB1307" s="169">
        <v>1.049116812839479E-2</v>
      </c>
    </row>
    <row r="1308" spans="20:28" x14ac:dyDescent="0.2">
      <c r="T1308" s="130"/>
      <c r="U1308" s="151"/>
      <c r="X1308" s="170" t="str">
        <f t="shared" si="29"/>
        <v>1w</v>
      </c>
      <c r="Y1308" s="168">
        <f>_xll.qlCalendarAdvance(LiborCalendar,Y1307,X1308,"f",FALSE)</f>
        <v>48310</v>
      </c>
      <c r="Z1308" s="171">
        <f>_xll.qlInterestRateIndexValueDate(IborIndex,Y1308,Trigger)</f>
        <v>48312</v>
      </c>
      <c r="AA1308" s="172">
        <v>1.0508032859138134E-2</v>
      </c>
      <c r="AB1308" s="169">
        <v>1.0491539581582998E-2</v>
      </c>
    </row>
    <row r="1309" spans="20:28" x14ac:dyDescent="0.2">
      <c r="T1309" s="130"/>
      <c r="U1309" s="151"/>
      <c r="X1309" s="170" t="str">
        <f t="shared" si="29"/>
        <v>1w</v>
      </c>
      <c r="Y1309" s="168">
        <f>_xll.qlCalendarAdvance(LiborCalendar,Y1308,X1309,"f",FALSE)</f>
        <v>48317</v>
      </c>
      <c r="Z1309" s="171">
        <f>_xll.qlInterestRateIndexValueDate(IborIndex,Y1309,Trigger)</f>
        <v>48319</v>
      </c>
      <c r="AA1309" s="172">
        <v>1.0508484127984601E-2</v>
      </c>
      <c r="AB1309" s="169">
        <v>1.0491921620063849E-2</v>
      </c>
    </row>
    <row r="1310" spans="20:28" x14ac:dyDescent="0.2">
      <c r="T1310" s="130"/>
      <c r="U1310" s="151"/>
      <c r="X1310" s="170" t="str">
        <f t="shared" si="29"/>
        <v>1w</v>
      </c>
      <c r="Y1310" s="168">
        <f>_xll.qlCalendarAdvance(LiborCalendar,Y1309,X1310,"f",FALSE)</f>
        <v>48324</v>
      </c>
      <c r="Z1310" s="171">
        <f>_xll.qlInterestRateIndexValueDate(IborIndex,Y1310,Trigger)</f>
        <v>48326</v>
      </c>
      <c r="AA1310" s="172">
        <v>1.0508946009937944E-2</v>
      </c>
      <c r="AB1310" s="169">
        <v>1.049231424367747E-2</v>
      </c>
    </row>
    <row r="1311" spans="20:28" x14ac:dyDescent="0.2">
      <c r="T1311" s="130"/>
      <c r="U1311" s="151"/>
      <c r="X1311" s="170" t="str">
        <f t="shared" si="29"/>
        <v>1w</v>
      </c>
      <c r="Y1311" s="168">
        <f>_xll.qlCalendarAdvance(LiborCalendar,Y1310,X1311,"f",FALSE)</f>
        <v>48331</v>
      </c>
      <c r="Z1311" s="171">
        <f>_xll.qlInterestRateIndexValueDate(IborIndex,Y1311,Trigger)</f>
        <v>48333</v>
      </c>
      <c r="AA1311" s="172">
        <v>1.0509418505002557E-2</v>
      </c>
      <c r="AB1311" s="169">
        <v>1.0492717452663669E-2</v>
      </c>
    </row>
    <row r="1312" spans="20:28" x14ac:dyDescent="0.2">
      <c r="T1312" s="130"/>
      <c r="U1312" s="151"/>
      <c r="X1312" s="170" t="str">
        <f t="shared" si="29"/>
        <v>1w</v>
      </c>
      <c r="Y1312" s="168">
        <f>_xll.qlCalendarAdvance(LiborCalendar,Y1311,X1312,"f",FALSE)</f>
        <v>48338</v>
      </c>
      <c r="Z1312" s="171">
        <f>_xll.qlInterestRateIndexValueDate(IborIndex,Y1312,Trigger)</f>
        <v>48341</v>
      </c>
      <c r="AA1312" s="172">
        <v>1.051054159652156E-2</v>
      </c>
      <c r="AB1312" s="169">
        <v>1.0493557349429139E-2</v>
      </c>
    </row>
    <row r="1313" spans="20:28" x14ac:dyDescent="0.2">
      <c r="T1313" s="130"/>
      <c r="U1313" s="151"/>
      <c r="X1313" s="170" t="str">
        <f t="shared" si="29"/>
        <v>1w</v>
      </c>
      <c r="Y1313" s="168">
        <f>_xll.qlCalendarAdvance(LiborCalendar,Y1312,X1313,"f",FALSE)</f>
        <v>48345</v>
      </c>
      <c r="Z1313" s="171">
        <f>_xll.qlInterestRateIndexValueDate(IborIndex,Y1313,Trigger)</f>
        <v>48347</v>
      </c>
      <c r="AA1313" s="172">
        <v>1.0510585953150735E-2</v>
      </c>
      <c r="AB1313" s="169">
        <v>1.0493555626274187E-2</v>
      </c>
    </row>
    <row r="1314" spans="20:28" x14ac:dyDescent="0.2">
      <c r="T1314" s="130"/>
      <c r="U1314" s="151"/>
      <c r="X1314" s="170" t="str">
        <f t="shared" si="29"/>
        <v>1w</v>
      </c>
      <c r="Y1314" s="168">
        <f>_xll.qlCalendarAdvance(LiborCalendar,Y1313,X1314,"f",FALSE)</f>
        <v>48352</v>
      </c>
      <c r="Z1314" s="171">
        <f>_xll.qlInterestRateIndexValueDate(IborIndex,Y1314,Trigger)</f>
        <v>48354</v>
      </c>
      <c r="AA1314" s="172">
        <v>1.0511091060377216E-2</v>
      </c>
      <c r="AB1314" s="169">
        <v>1.0493990590978441E-2</v>
      </c>
    </row>
    <row r="1315" spans="20:28" x14ac:dyDescent="0.2">
      <c r="T1315" s="130"/>
      <c r="U1315" s="151"/>
      <c r="X1315" s="170" t="str">
        <f t="shared" si="29"/>
        <v>1w</v>
      </c>
      <c r="Y1315" s="168">
        <f>_xll.qlCalendarAdvance(LiborCalendar,Y1314,X1315,"f",FALSE)</f>
        <v>48359</v>
      </c>
      <c r="Z1315" s="171">
        <f>_xll.qlInterestRateIndexValueDate(IborIndex,Y1315,Trigger)</f>
        <v>48361</v>
      </c>
      <c r="AA1315" s="172">
        <v>1.0511606781039911E-2</v>
      </c>
      <c r="AB1315" s="169">
        <v>1.0494436140895402E-2</v>
      </c>
    </row>
    <row r="1316" spans="20:28" x14ac:dyDescent="0.2">
      <c r="T1316" s="130"/>
      <c r="U1316" s="151"/>
      <c r="X1316" s="170" t="str">
        <f t="shared" si="29"/>
        <v>1w</v>
      </c>
      <c r="Y1316" s="168">
        <f>_xll.qlCalendarAdvance(LiborCalendar,Y1315,X1316,"f",FALSE)</f>
        <v>48366</v>
      </c>
      <c r="Z1316" s="171">
        <f>_xll.qlInterestRateIndexValueDate(IborIndex,Y1316,Trigger)</f>
        <v>48368</v>
      </c>
      <c r="AA1316" s="172">
        <v>1.0512133115143169E-2</v>
      </c>
      <c r="AB1316" s="169">
        <v>1.0494892276105006E-2</v>
      </c>
    </row>
    <row r="1317" spans="20:28" x14ac:dyDescent="0.2">
      <c r="T1317" s="130"/>
      <c r="U1317" s="151"/>
      <c r="X1317" s="170" t="str">
        <f t="shared" si="29"/>
        <v>1w</v>
      </c>
      <c r="Y1317" s="168">
        <f>_xll.qlCalendarAdvance(LiborCalendar,Y1316,X1317,"f",FALSE)</f>
        <v>48373</v>
      </c>
      <c r="Z1317" s="171">
        <f>_xll.qlInterestRateIndexValueDate(IborIndex,Y1317,Trigger)</f>
        <v>48375</v>
      </c>
      <c r="AA1317" s="172">
        <v>1.0512670062691333E-2</v>
      </c>
      <c r="AB1317" s="169">
        <v>1.0495358996527315E-2</v>
      </c>
    </row>
    <row r="1318" spans="20:28" x14ac:dyDescent="0.2">
      <c r="T1318" s="130"/>
      <c r="U1318" s="151"/>
      <c r="X1318" s="170" t="str">
        <f t="shared" si="29"/>
        <v>1w</v>
      </c>
      <c r="Y1318" s="168">
        <f>_xll.qlCalendarAdvance(LiborCalendar,Y1317,X1318,"f",FALSE)</f>
        <v>48380</v>
      </c>
      <c r="Z1318" s="171">
        <f>_xll.qlInterestRateIndexValueDate(IborIndex,Y1318,Trigger)</f>
        <v>48382</v>
      </c>
      <c r="AA1318" s="172">
        <v>1.0513217623689616E-2</v>
      </c>
      <c r="AB1318" s="169">
        <v>1.0495836302162331E-2</v>
      </c>
    </row>
    <row r="1319" spans="20:28" x14ac:dyDescent="0.2">
      <c r="T1319" s="130"/>
      <c r="U1319" s="151"/>
      <c r="X1319" s="170" t="str">
        <f t="shared" si="29"/>
        <v>1w</v>
      </c>
      <c r="Y1319" s="168">
        <f>_xll.qlCalendarAdvance(LiborCalendar,Y1318,X1319,"f",FALSE)</f>
        <v>48387</v>
      </c>
      <c r="Z1319" s="171">
        <f>_xll.qlInterestRateIndexValueDate(IborIndex,Y1319,Trigger)</f>
        <v>48389</v>
      </c>
      <c r="AA1319" s="172">
        <v>1.0513775798140623E-2</v>
      </c>
      <c r="AB1319" s="169">
        <v>1.049632419308999E-2</v>
      </c>
    </row>
    <row r="1320" spans="20:28" x14ac:dyDescent="0.2">
      <c r="T1320" s="130"/>
      <c r="U1320" s="151"/>
      <c r="X1320" s="170" t="str">
        <f t="shared" si="29"/>
        <v>1w</v>
      </c>
      <c r="Y1320" s="168">
        <f>_xll.qlCalendarAdvance(LiborCalendar,Y1319,X1320,"f",FALSE)</f>
        <v>48394</v>
      </c>
      <c r="Z1320" s="171">
        <f>_xll.qlInterestRateIndexValueDate(IborIndex,Y1320,Trigger)</f>
        <v>48396</v>
      </c>
      <c r="AA1320" s="172">
        <v>1.0514344586051307E-2</v>
      </c>
      <c r="AB1320" s="169">
        <v>1.0496822669230355E-2</v>
      </c>
    </row>
    <row r="1321" spans="20:28" x14ac:dyDescent="0.2">
      <c r="T1321" s="130"/>
      <c r="U1321" s="151"/>
      <c r="X1321" s="170" t="str">
        <f t="shared" si="29"/>
        <v>1w</v>
      </c>
      <c r="Y1321" s="168">
        <f>_xll.qlCalendarAdvance(LiborCalendar,Y1320,X1321,"f",FALSE)</f>
        <v>48401</v>
      </c>
      <c r="Z1321" s="171">
        <f>_xll.qlInterestRateIndexValueDate(IborIndex,Y1321,Trigger)</f>
        <v>48403</v>
      </c>
      <c r="AA1321" s="172">
        <v>1.0514923987424273E-2</v>
      </c>
      <c r="AB1321" s="169">
        <v>1.0497331730663362E-2</v>
      </c>
    </row>
    <row r="1322" spans="20:28" x14ac:dyDescent="0.2">
      <c r="T1322" s="130"/>
      <c r="U1322" s="151"/>
      <c r="X1322" s="170" t="str">
        <f t="shared" si="29"/>
        <v>1w</v>
      </c>
      <c r="Y1322" s="168">
        <f>_xll.qlCalendarAdvance(LiborCalendar,Y1321,X1322,"f",FALSE)</f>
        <v>48408</v>
      </c>
      <c r="Z1322" s="171">
        <f>_xll.qlInterestRateIndexValueDate(IborIndex,Y1322,Trigger)</f>
        <v>48410</v>
      </c>
      <c r="AA1322" s="172">
        <v>1.0515514002264737E-2</v>
      </c>
      <c r="AB1322" s="169">
        <v>1.0497851377229139E-2</v>
      </c>
    </row>
    <row r="1323" spans="20:28" x14ac:dyDescent="0.2">
      <c r="T1323" s="130"/>
      <c r="U1323" s="151"/>
      <c r="X1323" s="170" t="str">
        <f t="shared" si="29"/>
        <v>1w</v>
      </c>
      <c r="Y1323" s="168">
        <f>_xll.qlCalendarAdvance(LiborCalendar,Y1322,X1323,"f",FALSE)</f>
        <v>48415</v>
      </c>
      <c r="Z1323" s="171">
        <f>_xll.qlInterestRateIndexValueDate(IborIndex,Y1323,Trigger)</f>
        <v>48417</v>
      </c>
      <c r="AA1323" s="172">
        <v>1.0516114630577909E-2</v>
      </c>
      <c r="AB1323" s="169">
        <v>1.0498381609167495E-2</v>
      </c>
    </row>
    <row r="1324" spans="20:28" x14ac:dyDescent="0.2">
      <c r="T1324" s="130"/>
      <c r="U1324" s="151"/>
      <c r="X1324" s="170" t="str">
        <f t="shared" si="29"/>
        <v>1w</v>
      </c>
      <c r="Y1324" s="168">
        <f>_xll.qlCalendarAdvance(LiborCalendar,Y1323,X1324,"f",FALSE)</f>
        <v>48422</v>
      </c>
      <c r="Z1324" s="171">
        <f>_xll.qlInterestRateIndexValueDate(IborIndex,Y1324,Trigger)</f>
        <v>48424</v>
      </c>
      <c r="AA1324" s="172">
        <v>1.0516725872367266E-2</v>
      </c>
      <c r="AB1324" s="169">
        <v>1.0498922426238622E-2</v>
      </c>
    </row>
    <row r="1325" spans="20:28" x14ac:dyDescent="0.2">
      <c r="T1325" s="130"/>
      <c r="U1325" s="151"/>
      <c r="X1325" s="170" t="str">
        <f t="shared" si="29"/>
        <v>1w</v>
      </c>
      <c r="Y1325" s="168">
        <f>_xll.qlCalendarAdvance(LiborCalendar,Y1324,X1325,"f",FALSE)</f>
        <v>48429</v>
      </c>
      <c r="Z1325" s="171">
        <f>_xll.qlInterestRateIndexValueDate(IborIndex,Y1325,Trigger)</f>
        <v>48431</v>
      </c>
      <c r="AA1325" s="172">
        <v>1.0517347727640628E-2</v>
      </c>
      <c r="AB1325" s="169">
        <v>1.0499473828682326E-2</v>
      </c>
    </row>
    <row r="1326" spans="20:28" x14ac:dyDescent="0.2">
      <c r="T1326" s="130"/>
      <c r="U1326" s="151"/>
      <c r="X1326" s="170" t="str">
        <f t="shared" si="29"/>
        <v>1w</v>
      </c>
      <c r="Y1326" s="168">
        <f>_xll.qlCalendarAdvance(LiborCalendar,Y1325,X1326,"f",FALSE)</f>
        <v>48436</v>
      </c>
      <c r="Z1326" s="171">
        <f>_xll.qlInterestRateIndexValueDate(IborIndex,Y1326,Trigger)</f>
        <v>48438</v>
      </c>
      <c r="AA1326" s="172">
        <v>1.0517980196399733E-2</v>
      </c>
      <c r="AB1326" s="169">
        <v>1.0500035816338738E-2</v>
      </c>
    </row>
    <row r="1327" spans="20:28" x14ac:dyDescent="0.2">
      <c r="T1327" s="130"/>
      <c r="U1327" s="151"/>
      <c r="X1327" s="170" t="str">
        <f t="shared" si="29"/>
        <v>1w</v>
      </c>
      <c r="Y1327" s="168">
        <f>_xll.qlCalendarAdvance(LiborCalendar,Y1326,X1327,"f",FALSE)</f>
        <v>48443</v>
      </c>
      <c r="Z1327" s="171">
        <f>_xll.qlInterestRateIndexValueDate(IborIndex,Y1327,Trigger)</f>
        <v>48445</v>
      </c>
      <c r="AA1327" s="172">
        <v>1.0518623278652399E-2</v>
      </c>
      <c r="AB1327" s="169">
        <v>1.0500608389207855E-2</v>
      </c>
    </row>
    <row r="1328" spans="20:28" x14ac:dyDescent="0.2">
      <c r="T1328" s="130"/>
      <c r="U1328" s="151"/>
      <c r="X1328" s="170" t="str">
        <f t="shared" si="29"/>
        <v>1w</v>
      </c>
      <c r="Y1328" s="168">
        <f>_xll.qlCalendarAdvance(LiborCalendar,Y1327,X1328,"f",FALSE)</f>
        <v>48450</v>
      </c>
      <c r="Z1328" s="171">
        <f>_xll.qlInterestRateIndexValueDate(IborIndex,Y1328,Trigger)</f>
        <v>48452</v>
      </c>
      <c r="AA1328" s="172">
        <v>1.0519276974402103E-2</v>
      </c>
      <c r="AB1328" s="169">
        <v>1.0501191547369615E-2</v>
      </c>
    </row>
    <row r="1329" spans="20:28" x14ac:dyDescent="0.2">
      <c r="T1329" s="130"/>
      <c r="U1329" s="151"/>
      <c r="X1329" s="170" t="str">
        <f t="shared" si="29"/>
        <v>1w</v>
      </c>
      <c r="Y1329" s="168">
        <f>_xll.qlCalendarAdvance(LiborCalendar,Y1328,X1329,"f",FALSE)</f>
        <v>48457</v>
      </c>
      <c r="Z1329" s="171">
        <f>_xll.qlInterestRateIndexValueDate(IborIndex,Y1329,Trigger)</f>
        <v>48459</v>
      </c>
      <c r="AA1329" s="172">
        <v>1.0519738262763858E-2</v>
      </c>
      <c r="AB1329" s="169">
        <v>1.0501785290664145E-2</v>
      </c>
    </row>
    <row r="1330" spans="20:28" x14ac:dyDescent="0.2">
      <c r="T1330" s="130"/>
      <c r="U1330" s="151"/>
      <c r="X1330" s="170" t="str">
        <f t="shared" si="29"/>
        <v>1w</v>
      </c>
      <c r="Y1330" s="168">
        <f>_xll.qlCalendarAdvance(LiborCalendar,Y1329,X1330,"f",FALSE)</f>
        <v>48464</v>
      </c>
      <c r="Z1330" s="171">
        <f>_xll.qlInterestRateIndexValueDate(IborIndex,Y1330,Trigger)</f>
        <v>48466</v>
      </c>
      <c r="AA1330" s="172">
        <v>1.052041240774282E-2</v>
      </c>
      <c r="AB1330" s="169">
        <v>1.0502389619251318E-2</v>
      </c>
    </row>
    <row r="1331" spans="20:28" x14ac:dyDescent="0.2">
      <c r="T1331" s="130"/>
      <c r="U1331" s="151"/>
      <c r="X1331" s="170" t="str">
        <f t="shared" si="29"/>
        <v>1w</v>
      </c>
      <c r="Y1331" s="168">
        <f>_xll.qlCalendarAdvance(LiborCalendar,Y1330,X1331,"f",FALSE)</f>
        <v>48471</v>
      </c>
      <c r="Z1331" s="171">
        <f>_xll.qlInterestRateIndexValueDate(IborIndex,Y1331,Trigger)</f>
        <v>48473</v>
      </c>
      <c r="AA1331" s="172">
        <v>1.0521097165923527E-2</v>
      </c>
      <c r="AB1331" s="169">
        <v>1.0503004533131133E-2</v>
      </c>
    </row>
    <row r="1332" spans="20:28" x14ac:dyDescent="0.2">
      <c r="T1332" s="130"/>
      <c r="U1332" s="151"/>
      <c r="X1332" s="170" t="str">
        <f t="shared" si="29"/>
        <v>1w</v>
      </c>
      <c r="Y1332" s="168">
        <f>_xll.qlCalendarAdvance(LiborCalendar,Y1331,X1332,"f",FALSE)</f>
        <v>48478</v>
      </c>
      <c r="Z1332" s="171">
        <f>_xll.qlInterestRateIndexValueDate(IborIndex,Y1332,Trigger)</f>
        <v>48480</v>
      </c>
      <c r="AA1332" s="172">
        <v>1.0521792537313009E-2</v>
      </c>
      <c r="AB1332" s="169">
        <v>1.050363003230359E-2</v>
      </c>
    </row>
    <row r="1333" spans="20:28" x14ac:dyDescent="0.2">
      <c r="T1333" s="130"/>
      <c r="U1333" s="151"/>
      <c r="X1333" s="170" t="str">
        <f t="shared" si="29"/>
        <v>1w</v>
      </c>
      <c r="Y1333" s="168">
        <f>_xll.qlCalendarAdvance(LiborCalendar,Y1332,X1333,"f",FALSE)</f>
        <v>48485</v>
      </c>
      <c r="Z1333" s="171">
        <f>_xll.qlInterestRateIndexValueDate(IborIndex,Y1333,Trigger)</f>
        <v>48487</v>
      </c>
      <c r="AA1333" s="172">
        <v>1.0522704655804294E-2</v>
      </c>
      <c r="AB1333" s="169">
        <v>1.0504266116688754E-2</v>
      </c>
    </row>
    <row r="1334" spans="20:28" x14ac:dyDescent="0.2">
      <c r="T1334" s="130"/>
      <c r="U1334" s="151"/>
      <c r="X1334" s="170" t="str">
        <f t="shared" si="29"/>
        <v>1w</v>
      </c>
      <c r="Y1334" s="168">
        <f>_xll.qlCalendarAdvance(LiborCalendar,Y1333,X1334,"f",FALSE)</f>
        <v>48492</v>
      </c>
      <c r="Z1334" s="171">
        <f>_xll.qlInterestRateIndexValueDate(IborIndex,Y1334,Trigger)</f>
        <v>48494</v>
      </c>
      <c r="AA1334" s="172">
        <v>1.0523422032654392E-2</v>
      </c>
      <c r="AB1334" s="169">
        <v>1.0504912786286624E-2</v>
      </c>
    </row>
    <row r="1335" spans="20:28" x14ac:dyDescent="0.2">
      <c r="T1335" s="130"/>
      <c r="U1335" s="151"/>
      <c r="X1335" s="170" t="str">
        <f t="shared" si="29"/>
        <v>1w</v>
      </c>
      <c r="Y1335" s="168">
        <f>_xll.qlCalendarAdvance(LiborCalendar,Y1334,X1335,"f",FALSE)</f>
        <v>48499</v>
      </c>
      <c r="Z1335" s="171">
        <f>_xll.qlInterestRateIndexValueDate(IborIndex,Y1335,Trigger)</f>
        <v>48501</v>
      </c>
      <c r="AA1335" s="172">
        <v>1.0524150023040626E-2</v>
      </c>
      <c r="AB1335" s="169">
        <v>1.0505570041177137E-2</v>
      </c>
    </row>
    <row r="1336" spans="20:28" x14ac:dyDescent="0.2">
      <c r="T1336" s="130"/>
      <c r="U1336" s="151"/>
      <c r="X1336" s="170" t="str">
        <f t="shared" si="29"/>
        <v>1w</v>
      </c>
      <c r="Y1336" s="168">
        <f>_xll.qlCalendarAdvance(LiborCalendar,Y1335,X1336,"f",FALSE)</f>
        <v>48506</v>
      </c>
      <c r="Z1336" s="171">
        <f>_xll.qlInterestRateIndexValueDate(IborIndex,Y1336,Trigger)</f>
        <v>48508</v>
      </c>
      <c r="AA1336" s="172">
        <v>1.0524888626970817E-2</v>
      </c>
      <c r="AB1336" s="169">
        <v>1.0506237881280356E-2</v>
      </c>
    </row>
    <row r="1337" spans="20:28" x14ac:dyDescent="0.2">
      <c r="T1337" s="130"/>
      <c r="U1337" s="151"/>
      <c r="X1337" s="170" t="str">
        <f t="shared" si="29"/>
        <v>1w</v>
      </c>
      <c r="Y1337" s="168">
        <f>_xll.qlCalendarAdvance(LiborCalendar,Y1336,X1337,"f",FALSE)</f>
        <v>48513</v>
      </c>
      <c r="Z1337" s="171">
        <f>_xll.qlInterestRateIndexValueDate(IborIndex,Y1337,Trigger)</f>
        <v>48515</v>
      </c>
      <c r="AA1337" s="172">
        <v>1.0525637844448441E-2</v>
      </c>
      <c r="AB1337" s="169">
        <v>1.0506916306596281E-2</v>
      </c>
    </row>
    <row r="1338" spans="20:28" x14ac:dyDescent="0.2">
      <c r="T1338" s="130"/>
      <c r="U1338" s="151"/>
      <c r="X1338" s="170" t="str">
        <f t="shared" si="29"/>
        <v>1w</v>
      </c>
      <c r="Y1338" s="168">
        <f>_xll.qlCalendarAdvance(LiborCalendar,Y1337,X1338,"f",FALSE)</f>
        <v>48520</v>
      </c>
      <c r="Z1338" s="171">
        <f>_xll.qlInterestRateIndexValueDate(IborIndex,Y1338,Trigger)</f>
        <v>48522</v>
      </c>
      <c r="AA1338" s="172">
        <v>1.0526397675480447E-2</v>
      </c>
      <c r="AB1338" s="169">
        <v>1.0507605317204849E-2</v>
      </c>
    </row>
    <row r="1339" spans="20:28" x14ac:dyDescent="0.2">
      <c r="T1339" s="130"/>
      <c r="U1339" s="151"/>
      <c r="X1339" s="170" t="str">
        <f t="shared" si="29"/>
        <v>1w</v>
      </c>
      <c r="Y1339" s="168">
        <f>_xll.qlCalendarAdvance(LiborCalendar,Y1338,X1339,"f",FALSE)</f>
        <v>48527</v>
      </c>
      <c r="Z1339" s="171">
        <f>_xll.qlInterestRateIndexValueDate(IborIndex,Y1339,Trigger)</f>
        <v>48529</v>
      </c>
      <c r="AA1339" s="172">
        <v>1.0527168120073788E-2</v>
      </c>
      <c r="AB1339" s="169">
        <v>1.0508304913106059E-2</v>
      </c>
    </row>
    <row r="1340" spans="20:28" x14ac:dyDescent="0.2">
      <c r="T1340" s="130"/>
      <c r="U1340" s="151"/>
      <c r="X1340" s="170" t="str">
        <f t="shared" si="29"/>
        <v>1w</v>
      </c>
      <c r="Y1340" s="168">
        <f>_xll.qlCalendarAdvance(LiborCalendar,Y1339,X1340,"f",FALSE)</f>
        <v>48534</v>
      </c>
      <c r="Z1340" s="171">
        <f>_xll.qlInterestRateIndexValueDate(IborIndex,Y1340,Trigger)</f>
        <v>48536</v>
      </c>
      <c r="AA1340" s="172">
        <v>1.0527949178233676E-2</v>
      </c>
      <c r="AB1340" s="169">
        <v>1.050901509414004E-2</v>
      </c>
    </row>
    <row r="1341" spans="20:28" x14ac:dyDescent="0.2">
      <c r="T1341" s="130"/>
      <c r="U1341" s="151"/>
      <c r="X1341" s="170" t="str">
        <f t="shared" si="29"/>
        <v>1w</v>
      </c>
      <c r="Y1341" s="168">
        <f>_xll.qlCalendarAdvance(LiborCalendar,Y1340,X1341,"f",FALSE)</f>
        <v>48541</v>
      </c>
      <c r="Z1341" s="171">
        <f>_xll.qlInterestRateIndexValueDate(IborIndex,Y1341,Trigger)</f>
        <v>48543</v>
      </c>
      <c r="AA1341" s="172">
        <v>1.0528740849967062E-2</v>
      </c>
      <c r="AB1341" s="169">
        <v>1.0509735860546598E-2</v>
      </c>
    </row>
    <row r="1342" spans="20:28" x14ac:dyDescent="0.2">
      <c r="T1342" s="130"/>
      <c r="U1342" s="151"/>
      <c r="X1342" s="170" t="str">
        <f t="shared" si="29"/>
        <v>1w</v>
      </c>
      <c r="Y1342" s="168">
        <f>_xll.qlCalendarAdvance(LiborCalendar,Y1341,X1342,"f",FALSE)</f>
        <v>48548</v>
      </c>
      <c r="Z1342" s="171">
        <f>_xll.qlInterestRateIndexValueDate(IborIndex,Y1342,Trigger)</f>
        <v>48550</v>
      </c>
      <c r="AA1342" s="172">
        <v>1.052911690119096E-2</v>
      </c>
      <c r="AB1342" s="169">
        <v>1.0510467212085928E-2</v>
      </c>
    </row>
    <row r="1343" spans="20:28" x14ac:dyDescent="0.2">
      <c r="T1343" s="130"/>
      <c r="U1343" s="151"/>
      <c r="X1343" s="170" t="str">
        <f t="shared" si="29"/>
        <v>1w</v>
      </c>
      <c r="Y1343" s="168">
        <f>_xll.qlCalendarAdvance(LiborCalendar,Y1342,X1343,"f",FALSE)</f>
        <v>48555</v>
      </c>
      <c r="Z1343" s="171">
        <f>_xll.qlInterestRateIndexValueDate(IborIndex,Y1343,Trigger)</f>
        <v>48557</v>
      </c>
      <c r="AA1343" s="172">
        <v>1.0529928236461927E-2</v>
      </c>
      <c r="AB1343" s="169">
        <v>1.0511209148917899E-2</v>
      </c>
    </row>
    <row r="1344" spans="20:28" x14ac:dyDescent="0.2">
      <c r="T1344" s="130"/>
      <c r="U1344" s="151"/>
      <c r="X1344" s="170" t="str">
        <f t="shared" si="29"/>
        <v>1w</v>
      </c>
      <c r="Y1344" s="168">
        <f>_xll.qlCalendarAdvance(LiborCalendar,Y1343,X1344,"f",FALSE)</f>
        <v>48562</v>
      </c>
      <c r="Z1344" s="171">
        <f>_xll.qlInterestRateIndexValueDate(IborIndex,Y1344,Trigger)</f>
        <v>48564</v>
      </c>
      <c r="AA1344" s="172">
        <v>1.0530750184702065E-2</v>
      </c>
      <c r="AB1344" s="169">
        <v>1.0511961671042513E-2</v>
      </c>
    </row>
    <row r="1345" spans="20:28" x14ac:dyDescent="0.2">
      <c r="T1345" s="130"/>
      <c r="U1345" s="151"/>
      <c r="X1345" s="170" t="str">
        <f t="shared" si="29"/>
        <v>1w</v>
      </c>
      <c r="Y1345" s="168">
        <f>_xll.qlCalendarAdvance(LiborCalendar,Y1344,X1345,"f",FALSE)</f>
        <v>48569</v>
      </c>
      <c r="Z1345" s="171">
        <f>_xll.qlInterestRateIndexValueDate(IborIndex,Y1345,Trigger)</f>
        <v>48571</v>
      </c>
      <c r="AA1345" s="172">
        <v>1.0531582745916701E-2</v>
      </c>
      <c r="AB1345" s="169">
        <v>1.0512724778379834E-2</v>
      </c>
    </row>
    <row r="1346" spans="20:28" x14ac:dyDescent="0.2">
      <c r="T1346" s="130"/>
      <c r="U1346" s="151"/>
      <c r="X1346" s="170" t="str">
        <f t="shared" si="29"/>
        <v>1w</v>
      </c>
      <c r="Y1346" s="168">
        <f>_xll.qlCalendarAdvance(LiborCalendar,Y1345,X1346,"f",FALSE)</f>
        <v>48577</v>
      </c>
      <c r="Z1346" s="171">
        <f>_xll.qlInterestRateIndexValueDate(IborIndex,Y1346,Trigger)</f>
        <v>48579</v>
      </c>
      <c r="AA1346" s="172">
        <v>1.0532547239934686E-2</v>
      </c>
      <c r="AB1346" s="169">
        <v>1.051423808032359E-2</v>
      </c>
    </row>
    <row r="1347" spans="20:28" x14ac:dyDescent="0.2">
      <c r="T1347" s="130"/>
      <c r="U1347" s="151"/>
      <c r="X1347" s="170" t="str">
        <f t="shared" si="29"/>
        <v>1w</v>
      </c>
      <c r="Y1347" s="168">
        <f>_xll.qlCalendarAdvance(LiborCalendar,Y1346,X1347,"f",FALSE)</f>
        <v>48584</v>
      </c>
      <c r="Z1347" s="171">
        <f>_xll.qlInterestRateIndexValueDate(IborIndex,Y1347,Trigger)</f>
        <v>48586</v>
      </c>
      <c r="AA1347" s="172">
        <v>1.0533402543260628E-2</v>
      </c>
      <c r="AB1347" s="169">
        <v>1.0514815944313582E-2</v>
      </c>
    </row>
    <row r="1348" spans="20:28" x14ac:dyDescent="0.2">
      <c r="T1348" s="130"/>
      <c r="U1348" s="151"/>
      <c r="X1348" s="170" t="str">
        <f t="shared" si="29"/>
        <v>1w</v>
      </c>
      <c r="Y1348" s="168">
        <f>_xll.qlCalendarAdvance(LiborCalendar,Y1347,X1348,"f",FALSE)</f>
        <v>48591</v>
      </c>
      <c r="Z1348" s="171">
        <f>_xll.qlInterestRateIndexValueDate(IborIndex,Y1348,Trigger)</f>
        <v>48593</v>
      </c>
      <c r="AA1348" s="172">
        <v>1.0534268459581497E-2</v>
      </c>
      <c r="AB1348" s="169">
        <v>1.0515613878352426E-2</v>
      </c>
    </row>
    <row r="1349" spans="20:28" x14ac:dyDescent="0.2">
      <c r="T1349" s="130"/>
      <c r="U1349" s="151"/>
      <c r="X1349" s="170" t="str">
        <f t="shared" si="29"/>
        <v>1w</v>
      </c>
      <c r="Y1349" s="168">
        <f>_xll.qlCalendarAdvance(LiborCalendar,Y1348,X1349,"f",FALSE)</f>
        <v>48598</v>
      </c>
      <c r="Z1349" s="171">
        <f>_xll.qlInterestRateIndexValueDate(IborIndex,Y1349,Trigger)</f>
        <v>48600</v>
      </c>
      <c r="AA1349" s="172">
        <v>1.0535144988905287E-2</v>
      </c>
      <c r="AB1349" s="169">
        <v>1.0516422398243463E-2</v>
      </c>
    </row>
    <row r="1350" spans="20:28" x14ac:dyDescent="0.2">
      <c r="T1350" s="130"/>
      <c r="U1350" s="151"/>
      <c r="X1350" s="170" t="str">
        <f t="shared" si="29"/>
        <v>1w</v>
      </c>
      <c r="Y1350" s="168">
        <f>_xll.qlCalendarAdvance(LiborCalendar,Y1349,X1350,"f",FALSE)</f>
        <v>48605</v>
      </c>
      <c r="Z1350" s="171">
        <f>_xll.qlInterestRateIndexValueDate(IborIndex,Y1350,Trigger)</f>
        <v>48607</v>
      </c>
      <c r="AA1350" s="172">
        <v>1.0536032131239104E-2</v>
      </c>
      <c r="AB1350" s="169">
        <v>1.0517241504066632E-2</v>
      </c>
    </row>
    <row r="1351" spans="20:28" x14ac:dyDescent="0.2">
      <c r="T1351" s="130"/>
      <c r="U1351" s="151"/>
      <c r="X1351" s="170" t="str">
        <f t="shared" si="29"/>
        <v>1w</v>
      </c>
      <c r="Y1351" s="168">
        <f>_xll.qlCalendarAdvance(LiborCalendar,Y1350,X1351,"f",FALSE)</f>
        <v>48612</v>
      </c>
      <c r="Z1351" s="171">
        <f>_xll.qlInterestRateIndexValueDate(IborIndex,Y1351,Trigger)</f>
        <v>48614</v>
      </c>
      <c r="AA1351" s="172">
        <v>1.0536709728500231E-2</v>
      </c>
      <c r="AB1351" s="169">
        <v>1.0518071195715351E-2</v>
      </c>
    </row>
    <row r="1352" spans="20:28" x14ac:dyDescent="0.2">
      <c r="T1352" s="130"/>
      <c r="U1352" s="151"/>
      <c r="X1352" s="170" t="str">
        <f t="shared" si="29"/>
        <v>1w</v>
      </c>
      <c r="Y1352" s="168">
        <f>_xll.qlCalendarAdvance(LiborCalendar,Y1351,X1352,"f",FALSE)</f>
        <v>48619</v>
      </c>
      <c r="Z1352" s="171">
        <f>_xll.qlInterestRateIndexValueDate(IborIndex,Y1352,Trigger)</f>
        <v>48621</v>
      </c>
      <c r="AA1352" s="172">
        <v>1.0537617312269269E-2</v>
      </c>
      <c r="AB1352" s="169">
        <v>1.0518911473242909E-2</v>
      </c>
    </row>
    <row r="1353" spans="20:28" x14ac:dyDescent="0.2">
      <c r="T1353" s="130"/>
      <c r="U1353" s="151"/>
      <c r="X1353" s="170" t="str">
        <f t="shared" si="29"/>
        <v>1w</v>
      </c>
      <c r="Y1353" s="168">
        <f>_xll.qlCalendarAdvance(LiborCalendar,Y1352,X1353,"f",FALSE)</f>
        <v>48626</v>
      </c>
      <c r="Z1353" s="171">
        <f>_xll.qlInterestRateIndexValueDate(IborIndex,Y1353,Trigger)</f>
        <v>48628</v>
      </c>
      <c r="AA1353" s="172">
        <v>1.0538535508757099E-2</v>
      </c>
      <c r="AB1353" s="169">
        <v>1.0519762336649308E-2</v>
      </c>
    </row>
    <row r="1354" spans="20:28" x14ac:dyDescent="0.2">
      <c r="T1354" s="130"/>
      <c r="U1354" s="151"/>
      <c r="X1354" s="170" t="str">
        <f t="shared" si="29"/>
        <v>1w</v>
      </c>
      <c r="Y1354" s="168">
        <f>_xll.qlCalendarAdvance(LiborCalendar,Y1353,X1354,"f",FALSE)</f>
        <v>48633</v>
      </c>
      <c r="Z1354" s="171">
        <f>_xll.qlInterestRateIndexValueDate(IborIndex,Y1354,Trigger)</f>
        <v>48635</v>
      </c>
      <c r="AA1354" s="172">
        <v>1.0539464317969113E-2</v>
      </c>
      <c r="AB1354" s="169">
        <v>1.0520623785907901E-2</v>
      </c>
    </row>
    <row r="1355" spans="20:28" x14ac:dyDescent="0.2">
      <c r="T1355" s="130"/>
      <c r="U1355" s="151"/>
      <c r="X1355" s="170" t="str">
        <f t="shared" si="29"/>
        <v>1w</v>
      </c>
      <c r="Y1355" s="168">
        <f>_xll.qlCalendarAdvance(LiborCalendar,Y1354,X1355,"f",FALSE)</f>
        <v>48640</v>
      </c>
      <c r="Z1355" s="171">
        <f>_xll.qlInterestRateIndexValueDate(IborIndex,Y1355,Trigger)</f>
        <v>48642</v>
      </c>
      <c r="AA1355" s="172">
        <v>1.0541744719081262E-2</v>
      </c>
      <c r="AB1355" s="169">
        <v>1.052149582107198E-2</v>
      </c>
    </row>
    <row r="1356" spans="20:28" x14ac:dyDescent="0.2">
      <c r="T1356" s="130"/>
      <c r="U1356" s="151"/>
      <c r="X1356" s="170" t="str">
        <f t="shared" si="29"/>
        <v>1w</v>
      </c>
      <c r="Y1356" s="168">
        <f>_xll.qlCalendarAdvance(LiborCalendar,Y1355,X1356,"f",FALSE)</f>
        <v>48647</v>
      </c>
      <c r="Z1356" s="171">
        <f>_xll.qlInterestRateIndexValueDate(IborIndex,Y1356,Trigger)</f>
        <v>48649</v>
      </c>
      <c r="AA1356" s="172">
        <v>1.0542474988815423E-2</v>
      </c>
      <c r="AB1356" s="169">
        <v>1.0522378442061608E-2</v>
      </c>
    </row>
    <row r="1357" spans="20:28" x14ac:dyDescent="0.2">
      <c r="T1357" s="130"/>
      <c r="U1357" s="151"/>
      <c r="X1357" s="170" t="str">
        <f t="shared" si="29"/>
        <v>1w</v>
      </c>
      <c r="Y1357" s="168">
        <f>_xll.qlCalendarAdvance(LiborCalendar,Y1356,X1357,"f",FALSE)</f>
        <v>48654</v>
      </c>
      <c r="Z1357" s="171">
        <f>_xll.qlInterestRateIndexValueDate(IborIndex,Y1357,Trigger)</f>
        <v>48656</v>
      </c>
      <c r="AA1357" s="172">
        <v>1.0543439567556559E-2</v>
      </c>
      <c r="AB1357" s="169">
        <v>1.0523271648956722E-2</v>
      </c>
    </row>
    <row r="1358" spans="20:28" x14ac:dyDescent="0.2">
      <c r="T1358" s="130"/>
      <c r="U1358" s="151"/>
      <c r="X1358" s="170" t="str">
        <f t="shared" si="29"/>
        <v>1w</v>
      </c>
      <c r="Y1358" s="168">
        <f>_xll.qlCalendarAdvance(LiborCalendar,Y1357,X1358,"f",FALSE)</f>
        <v>48661</v>
      </c>
      <c r="Z1358" s="171">
        <f>_xll.qlInterestRateIndexValueDate(IborIndex,Y1358,Trigger)</f>
        <v>48663</v>
      </c>
      <c r="AA1358" s="172">
        <v>1.0544414760619882E-2</v>
      </c>
      <c r="AB1358" s="169">
        <v>1.0524175441704031E-2</v>
      </c>
    </row>
    <row r="1359" spans="20:28" x14ac:dyDescent="0.2">
      <c r="T1359" s="130"/>
      <c r="U1359" s="151"/>
      <c r="X1359" s="170" t="str">
        <f t="shared" si="29"/>
        <v>1w</v>
      </c>
      <c r="Y1359" s="168">
        <f>_xll.qlCalendarAdvance(LiborCalendar,Y1358,X1359,"f",FALSE)</f>
        <v>48668</v>
      </c>
      <c r="Z1359" s="171">
        <f>_xll.qlInterestRateIndexValueDate(IborIndex,Y1359,Trigger)</f>
        <v>48670</v>
      </c>
      <c r="AA1359" s="172">
        <v>1.0544720521986056E-2</v>
      </c>
      <c r="AB1359" s="169">
        <v>1.0525089820356825E-2</v>
      </c>
    </row>
    <row r="1360" spans="20:28" x14ac:dyDescent="0.2">
      <c r="T1360" s="130"/>
      <c r="U1360" s="151"/>
      <c r="X1360" s="170" t="str">
        <f t="shared" si="29"/>
        <v>1w</v>
      </c>
      <c r="Y1360" s="168">
        <f>_xll.qlCalendarAdvance(LiborCalendar,Y1359,X1360,"f",FALSE)</f>
        <v>48675</v>
      </c>
      <c r="Z1360" s="171">
        <f>_xll.qlInterestRateIndexValueDate(IborIndex,Y1360,Trigger)</f>
        <v>48677</v>
      </c>
      <c r="AA1360" s="172">
        <v>1.0545714581972909E-2</v>
      </c>
      <c r="AB1360" s="169">
        <v>1.0526014784835169E-2</v>
      </c>
    </row>
    <row r="1361" spans="20:28" x14ac:dyDescent="0.2">
      <c r="T1361" s="130"/>
      <c r="U1361" s="151"/>
      <c r="X1361" s="170" t="str">
        <f t="shared" si="29"/>
        <v>1w</v>
      </c>
      <c r="Y1361" s="168">
        <f>_xll.qlCalendarAdvance(LiborCalendar,Y1360,X1361,"f",FALSE)</f>
        <v>48682</v>
      </c>
      <c r="Z1361" s="171">
        <f>_xll.qlInterestRateIndexValueDate(IborIndex,Y1361,Trigger)</f>
        <v>48688</v>
      </c>
      <c r="AA1361" s="172">
        <v>1.0547298119653671E-2</v>
      </c>
      <c r="AB1361" s="169">
        <v>1.0527046621211511E-2</v>
      </c>
    </row>
    <row r="1362" spans="20:28" x14ac:dyDescent="0.2">
      <c r="T1362" s="130"/>
      <c r="U1362" s="151"/>
      <c r="X1362" s="170" t="str">
        <f t="shared" si="29"/>
        <v>1w</v>
      </c>
      <c r="Y1362" s="168">
        <f>_xll.qlCalendarAdvance(LiborCalendar,Y1361,X1362,"f",FALSE)</f>
        <v>48689</v>
      </c>
      <c r="Z1362" s="171">
        <f>_xll.qlInterestRateIndexValueDate(IborIndex,Y1362,Trigger)</f>
        <v>48691</v>
      </c>
      <c r="AA1362" s="172">
        <v>1.0547734542172893E-2</v>
      </c>
      <c r="AB1362" s="169">
        <v>1.0527896471455023E-2</v>
      </c>
    </row>
    <row r="1363" spans="20:28" x14ac:dyDescent="0.2">
      <c r="T1363" s="130"/>
      <c r="U1363" s="151"/>
      <c r="X1363" s="170" t="str">
        <f t="shared" si="29"/>
        <v>1w</v>
      </c>
      <c r="Y1363" s="168">
        <f>_xll.qlCalendarAdvance(LiborCalendar,Y1362,X1363,"f",FALSE)</f>
        <v>48696</v>
      </c>
      <c r="Z1363" s="171">
        <f>_xll.qlInterestRateIndexValueDate(IborIndex,Y1363,Trigger)</f>
        <v>48698</v>
      </c>
      <c r="AA1363" s="172">
        <v>1.0548760442400959E-2</v>
      </c>
      <c r="AB1363" s="169">
        <v>1.0529075965663992E-2</v>
      </c>
    </row>
    <row r="1364" spans="20:28" x14ac:dyDescent="0.2">
      <c r="T1364" s="130"/>
      <c r="U1364" s="151"/>
      <c r="X1364" s="170" t="str">
        <f t="shared" si="29"/>
        <v>1w</v>
      </c>
      <c r="Y1364" s="168">
        <f>_xll.qlCalendarAdvance(LiborCalendar,Y1363,X1364,"f",FALSE)</f>
        <v>48703</v>
      </c>
      <c r="Z1364" s="171">
        <f>_xll.qlInterestRateIndexValueDate(IborIndex,Y1364,Trigger)</f>
        <v>48705</v>
      </c>
      <c r="AA1364" s="172">
        <v>1.0550488820234311E-2</v>
      </c>
      <c r="AB1364" s="169">
        <v>1.0529820501563592E-2</v>
      </c>
    </row>
    <row r="1365" spans="20:28" x14ac:dyDescent="0.2">
      <c r="T1365" s="130"/>
      <c r="U1365" s="151"/>
      <c r="X1365" s="170" t="str">
        <f t="shared" ref="X1365:X1428" si="30">X1364</f>
        <v>1w</v>
      </c>
      <c r="Y1365" s="168">
        <f>_xll.qlCalendarAdvance(LiborCalendar,Y1364,X1365,"f",FALSE)</f>
        <v>48710</v>
      </c>
      <c r="Z1365" s="171">
        <f>_xll.qlInterestRateIndexValueDate(IborIndex,Y1365,Trigger)</f>
        <v>48712</v>
      </c>
      <c r="AA1365" s="172">
        <v>1.05515383137885E-2</v>
      </c>
      <c r="AB1365" s="169">
        <v>1.0530798395462782E-2</v>
      </c>
    </row>
    <row r="1366" spans="20:28" x14ac:dyDescent="0.2">
      <c r="T1366" s="130"/>
      <c r="U1366" s="151"/>
      <c r="X1366" s="170" t="str">
        <f t="shared" si="30"/>
        <v>1w</v>
      </c>
      <c r="Y1366" s="168">
        <f>_xll.qlCalendarAdvance(LiborCalendar,Y1365,X1366,"f",FALSE)</f>
        <v>48717</v>
      </c>
      <c r="Z1366" s="171">
        <f>_xll.qlInterestRateIndexValueDate(IborIndex,Y1366,Trigger)</f>
        <v>48719</v>
      </c>
      <c r="AA1366" s="172">
        <v>1.0552598421730355E-2</v>
      </c>
      <c r="AB1366" s="169">
        <v>1.0531786875187521E-2</v>
      </c>
    </row>
    <row r="1367" spans="20:28" x14ac:dyDescent="0.2">
      <c r="T1367" s="130"/>
      <c r="U1367" s="151"/>
      <c r="X1367" s="170" t="str">
        <f t="shared" si="30"/>
        <v>1w</v>
      </c>
      <c r="Y1367" s="168">
        <f>_xll.qlCalendarAdvance(LiborCalendar,Y1366,X1367,"f",FALSE)</f>
        <v>48724</v>
      </c>
      <c r="Z1367" s="171">
        <f>_xll.qlInterestRateIndexValueDate(IborIndex,Y1367,Trigger)</f>
        <v>48726</v>
      </c>
      <c r="AA1367" s="172">
        <v>1.0553902292500831E-2</v>
      </c>
      <c r="AB1367" s="169">
        <v>1.0533011852560392E-2</v>
      </c>
    </row>
    <row r="1368" spans="20:28" x14ac:dyDescent="0.2">
      <c r="T1368" s="130"/>
      <c r="U1368" s="151"/>
      <c r="X1368" s="170" t="str">
        <f t="shared" si="30"/>
        <v>1w</v>
      </c>
      <c r="Y1368" s="168">
        <f>_xll.qlCalendarAdvance(LiborCalendar,Y1367,X1368,"f",FALSE)</f>
        <v>48731</v>
      </c>
      <c r="Z1368" s="171">
        <f>_xll.qlInterestRateIndexValueDate(IborIndex,Y1368,Trigger)</f>
        <v>48733</v>
      </c>
      <c r="AA1368" s="172">
        <v>1.0554750480820437E-2</v>
      </c>
      <c r="AB1368" s="169">
        <v>1.0533795592326811E-2</v>
      </c>
    </row>
    <row r="1369" spans="20:28" x14ac:dyDescent="0.2">
      <c r="T1369" s="130"/>
      <c r="U1369" s="151"/>
      <c r="X1369" s="170" t="str">
        <f t="shared" si="30"/>
        <v>1w</v>
      </c>
      <c r="Y1369" s="168">
        <f>_xll.qlCalendarAdvance(LiborCalendar,Y1368,X1369,"f",FALSE)</f>
        <v>48738</v>
      </c>
      <c r="Z1369" s="171">
        <f>_xll.qlInterestRateIndexValueDate(IborIndex,Y1369,Trigger)</f>
        <v>48740</v>
      </c>
      <c r="AA1369" s="172">
        <v>1.0555842431985671E-2</v>
      </c>
      <c r="AB1369" s="169">
        <v>1.0534815829661426E-2</v>
      </c>
    </row>
    <row r="1370" spans="20:28" x14ac:dyDescent="0.2">
      <c r="T1370" s="130"/>
      <c r="U1370" s="151"/>
      <c r="X1370" s="170" t="str">
        <f t="shared" si="30"/>
        <v>1w</v>
      </c>
      <c r="Y1370" s="168">
        <f>_xll.qlCalendarAdvance(LiborCalendar,Y1369,X1370,"f",FALSE)</f>
        <v>48745</v>
      </c>
      <c r="Z1370" s="171">
        <f>_xll.qlInterestRateIndexValueDate(IborIndex,Y1370,Trigger)</f>
        <v>48747</v>
      </c>
      <c r="AA1370" s="172">
        <v>1.0556944997576838E-2</v>
      </c>
      <c r="AB1370" s="169">
        <v>1.0535846652901526E-2</v>
      </c>
    </row>
    <row r="1371" spans="20:28" x14ac:dyDescent="0.2">
      <c r="T1371" s="130"/>
      <c r="U1371" s="151"/>
      <c r="X1371" s="170" t="str">
        <f t="shared" si="30"/>
        <v>1w</v>
      </c>
      <c r="Y1371" s="168">
        <f>_xll.qlCalendarAdvance(LiborCalendar,Y1370,X1371,"f",FALSE)</f>
        <v>48752</v>
      </c>
      <c r="Z1371" s="171">
        <f>_xll.qlInterestRateIndexValueDate(IborIndex,Y1371,Trigger)</f>
        <v>48754</v>
      </c>
      <c r="AA1371" s="172">
        <v>1.0558058177601592E-2</v>
      </c>
      <c r="AB1371" s="169">
        <v>1.0536888062020466E-2</v>
      </c>
    </row>
    <row r="1372" spans="20:28" x14ac:dyDescent="0.2">
      <c r="T1372" s="130"/>
      <c r="U1372" s="151"/>
      <c r="X1372" s="170" t="str">
        <f t="shared" si="30"/>
        <v>1w</v>
      </c>
      <c r="Y1372" s="168">
        <f>_xll.qlCalendarAdvance(LiborCalendar,Y1371,X1372,"f",FALSE)</f>
        <v>48759</v>
      </c>
      <c r="Z1372" s="171">
        <f>_xll.qlInterestRateIndexValueDate(IborIndex,Y1372,Trigger)</f>
        <v>48761</v>
      </c>
      <c r="AA1372" s="172">
        <v>1.0559181972070139E-2</v>
      </c>
      <c r="AB1372" s="169">
        <v>1.0537940057018247E-2</v>
      </c>
    </row>
    <row r="1373" spans="20:28" x14ac:dyDescent="0.2">
      <c r="T1373" s="130"/>
      <c r="U1373" s="151"/>
      <c r="X1373" s="170" t="str">
        <f t="shared" si="30"/>
        <v>1w</v>
      </c>
      <c r="Y1373" s="168">
        <f>_xll.qlCalendarAdvance(LiborCalendar,Y1372,X1373,"f",FALSE)</f>
        <v>48766</v>
      </c>
      <c r="Z1373" s="171">
        <f>_xll.qlInterestRateIndexValueDate(IborIndex,Y1373,Trigger)</f>
        <v>48768</v>
      </c>
      <c r="AA1373" s="172">
        <v>1.0560316380992682E-2</v>
      </c>
      <c r="AB1373" s="169">
        <v>1.0539002637894868E-2</v>
      </c>
    </row>
    <row r="1374" spans="20:28" x14ac:dyDescent="0.2">
      <c r="T1374" s="130"/>
      <c r="U1374" s="151"/>
      <c r="X1374" s="170" t="str">
        <f t="shared" si="30"/>
        <v>1w</v>
      </c>
      <c r="Y1374" s="168">
        <f>_xll.qlCalendarAdvance(LiborCalendar,Y1373,X1374,"f",FALSE)</f>
        <v>48773</v>
      </c>
      <c r="Z1374" s="171">
        <f>_xll.qlInterestRateIndexValueDate(IborIndex,Y1374,Trigger)</f>
        <v>48775</v>
      </c>
      <c r="AA1374" s="172">
        <v>1.0561461404376025E-2</v>
      </c>
      <c r="AB1374" s="169">
        <v>1.0540075804623683E-2</v>
      </c>
    </row>
    <row r="1375" spans="20:28" x14ac:dyDescent="0.2">
      <c r="T1375" s="130"/>
      <c r="U1375" s="151"/>
      <c r="X1375" s="170" t="str">
        <f t="shared" si="30"/>
        <v>1w</v>
      </c>
      <c r="Y1375" s="168">
        <f>_xll.qlCalendarAdvance(LiborCalendar,Y1374,X1375,"f",FALSE)</f>
        <v>48780</v>
      </c>
      <c r="Z1375" s="171">
        <f>_xll.qlInterestRateIndexValueDate(IborIndex,Y1375,Trigger)</f>
        <v>48782</v>
      </c>
      <c r="AA1375" s="172">
        <v>1.0562617042232924E-2</v>
      </c>
      <c r="AB1375" s="169">
        <v>1.0541159557257984E-2</v>
      </c>
    </row>
    <row r="1376" spans="20:28" x14ac:dyDescent="0.2">
      <c r="T1376" s="130"/>
      <c r="U1376" s="151"/>
      <c r="X1376" s="170" t="str">
        <f t="shared" si="30"/>
        <v>1w</v>
      </c>
      <c r="Y1376" s="168">
        <f>_xll.qlCalendarAdvance(LiborCalendar,Y1375,X1376,"f",FALSE)</f>
        <v>48787</v>
      </c>
      <c r="Z1376" s="171">
        <f>_xll.qlInterestRateIndexValueDate(IborIndex,Y1376,Trigger)</f>
        <v>48789</v>
      </c>
      <c r="AA1376" s="172">
        <v>1.0563783294571031E-2</v>
      </c>
      <c r="AB1376" s="169">
        <v>1.0542253895771125E-2</v>
      </c>
    </row>
    <row r="1377" spans="20:28" x14ac:dyDescent="0.2">
      <c r="T1377" s="130"/>
      <c r="U1377" s="151"/>
      <c r="X1377" s="170" t="str">
        <f t="shared" si="30"/>
        <v>1w</v>
      </c>
      <c r="Y1377" s="168">
        <f>_xll.qlCalendarAdvance(LiborCalendar,Y1376,X1377,"f",FALSE)</f>
        <v>48794</v>
      </c>
      <c r="Z1377" s="171">
        <f>_xll.qlInterestRateIndexValueDate(IborIndex,Y1377,Trigger)</f>
        <v>48796</v>
      </c>
      <c r="AA1377" s="172">
        <v>1.0564960161400551E-2</v>
      </c>
      <c r="AB1377" s="169">
        <v>1.0543358820136461E-2</v>
      </c>
    </row>
    <row r="1378" spans="20:28" x14ac:dyDescent="0.2">
      <c r="T1378" s="130"/>
      <c r="U1378" s="151"/>
      <c r="X1378" s="170" t="str">
        <f t="shared" si="30"/>
        <v>1w</v>
      </c>
      <c r="Y1378" s="168">
        <f>_xll.qlCalendarAdvance(LiborCalendar,Y1377,X1378,"f",FALSE)</f>
        <v>48801</v>
      </c>
      <c r="Z1378" s="171">
        <f>_xll.qlInterestRateIndexValueDate(IborIndex,Y1378,Trigger)</f>
        <v>48803</v>
      </c>
      <c r="AA1378" s="172">
        <v>1.0566147642730839E-2</v>
      </c>
      <c r="AB1378" s="169">
        <v>1.0544474330407283E-2</v>
      </c>
    </row>
    <row r="1379" spans="20:28" x14ac:dyDescent="0.2">
      <c r="T1379" s="130"/>
      <c r="U1379" s="151"/>
      <c r="X1379" s="170" t="str">
        <f t="shared" si="30"/>
        <v>1w</v>
      </c>
      <c r="Y1379" s="168">
        <f>_xll.qlCalendarAdvance(LiborCalendar,Y1378,X1379,"f",FALSE)</f>
        <v>48808</v>
      </c>
      <c r="Z1379" s="171">
        <f>_xll.qlInterestRateIndexValueDate(IborIndex,Y1379,Trigger)</f>
        <v>48810</v>
      </c>
      <c r="AA1379" s="172">
        <v>1.05673457385721E-2</v>
      </c>
      <c r="AB1379" s="169">
        <v>1.0545600426530299E-2</v>
      </c>
    </row>
    <row r="1380" spans="20:28" x14ac:dyDescent="0.2">
      <c r="T1380" s="130"/>
      <c r="U1380" s="151"/>
      <c r="X1380" s="170" t="str">
        <f t="shared" si="30"/>
        <v>1w</v>
      </c>
      <c r="Y1380" s="168">
        <f>_xll.qlCalendarAdvance(LiborCalendar,Y1379,X1380,"f",FALSE)</f>
        <v>48815</v>
      </c>
      <c r="Z1380" s="171">
        <f>_xll.qlInterestRateIndexValueDate(IborIndex,Y1380,Trigger)</f>
        <v>48817</v>
      </c>
      <c r="AA1380" s="172">
        <v>1.0568554448934538E-2</v>
      </c>
      <c r="AB1380" s="169">
        <v>1.0546973258771519E-2</v>
      </c>
    </row>
    <row r="1381" spans="20:28" x14ac:dyDescent="0.2">
      <c r="T1381" s="130"/>
      <c r="U1381" s="151"/>
      <c r="X1381" s="170" t="str">
        <f t="shared" si="30"/>
        <v>1w</v>
      </c>
      <c r="Y1381" s="168">
        <f>_xll.qlCalendarAdvance(LiborCalendar,Y1380,X1381,"f",FALSE)</f>
        <v>48822</v>
      </c>
      <c r="Z1381" s="171">
        <f>_xll.qlInterestRateIndexValueDate(IborIndex,Y1381,Trigger)</f>
        <v>48824</v>
      </c>
      <c r="AA1381" s="172">
        <v>1.0569041551423479E-2</v>
      </c>
      <c r="AB1381" s="169">
        <v>1.0547884376412853E-2</v>
      </c>
    </row>
    <row r="1382" spans="20:28" x14ac:dyDescent="0.2">
      <c r="T1382" s="130"/>
      <c r="U1382" s="151"/>
      <c r="X1382" s="170" t="str">
        <f t="shared" si="30"/>
        <v>1w</v>
      </c>
      <c r="Y1382" s="168">
        <f>_xll.qlCalendarAdvance(LiborCalendar,Y1381,X1382,"f",FALSE)</f>
        <v>48829</v>
      </c>
      <c r="Z1382" s="171">
        <f>_xll.qlInterestRateIndexValueDate(IborIndex,Y1382,Trigger)</f>
        <v>48831</v>
      </c>
      <c r="AA1382" s="172">
        <v>1.0570269108326199E-2</v>
      </c>
      <c r="AB1382" s="169">
        <v>1.0549042230199035E-2</v>
      </c>
    </row>
    <row r="1383" spans="20:28" x14ac:dyDescent="0.2">
      <c r="T1383" s="130"/>
      <c r="U1383" s="151"/>
      <c r="X1383" s="170" t="str">
        <f t="shared" si="30"/>
        <v>1w</v>
      </c>
      <c r="Y1383" s="168">
        <f>_xll.qlCalendarAdvance(LiborCalendar,Y1382,X1383,"f",FALSE)</f>
        <v>48836</v>
      </c>
      <c r="Z1383" s="171">
        <f>_xll.qlInterestRateIndexValueDate(IborIndex,Y1383,Trigger)</f>
        <v>48838</v>
      </c>
      <c r="AA1383" s="172">
        <v>1.0571507278831226E-2</v>
      </c>
      <c r="AB1383" s="169">
        <v>1.0550210669837412E-2</v>
      </c>
    </row>
    <row r="1384" spans="20:28" x14ac:dyDescent="0.2">
      <c r="T1384" s="130"/>
      <c r="U1384" s="151"/>
      <c r="X1384" s="170" t="str">
        <f t="shared" si="30"/>
        <v>1w</v>
      </c>
      <c r="Y1384" s="168">
        <f>_xll.qlCalendarAdvance(LiborCalendar,Y1383,X1384,"f",FALSE)</f>
        <v>48843</v>
      </c>
      <c r="Z1384" s="171">
        <f>_xll.qlInterestRateIndexValueDate(IborIndex,Y1384,Trigger)</f>
        <v>48845</v>
      </c>
      <c r="AA1384" s="172">
        <v>1.0572756062949096E-2</v>
      </c>
      <c r="AB1384" s="169">
        <v>1.0551389695381275E-2</v>
      </c>
    </row>
    <row r="1385" spans="20:28" x14ac:dyDescent="0.2">
      <c r="T1385" s="130"/>
      <c r="U1385" s="151"/>
      <c r="X1385" s="170" t="str">
        <f t="shared" si="30"/>
        <v>1w</v>
      </c>
      <c r="Y1385" s="168">
        <f>_xll.qlCalendarAdvance(LiborCalendar,Y1384,X1385,"f",FALSE)</f>
        <v>48850</v>
      </c>
      <c r="Z1385" s="171">
        <f>_xll.qlInterestRateIndexValueDate(IborIndex,Y1385,Trigger)</f>
        <v>48852</v>
      </c>
      <c r="AA1385" s="172">
        <v>1.0574015460690355E-2</v>
      </c>
      <c r="AB1385" s="169">
        <v>1.0552579306777332E-2</v>
      </c>
    </row>
    <row r="1386" spans="20:28" x14ac:dyDescent="0.2">
      <c r="T1386" s="130"/>
      <c r="U1386" s="151"/>
      <c r="X1386" s="170" t="str">
        <f t="shared" si="30"/>
        <v>1w</v>
      </c>
      <c r="Y1386" s="168">
        <f>_xll.qlCalendarAdvance(LiborCalendar,Y1385,X1386,"f",FALSE)</f>
        <v>48857</v>
      </c>
      <c r="Z1386" s="171">
        <f>_xll.qlInterestRateIndexValueDate(IborIndex,Y1386,Trigger)</f>
        <v>48859</v>
      </c>
      <c r="AA1386" s="172">
        <v>1.0576029616610879E-2</v>
      </c>
      <c r="AB1386" s="169">
        <v>1.055377950405223E-2</v>
      </c>
    </row>
    <row r="1387" spans="20:28" x14ac:dyDescent="0.2">
      <c r="T1387" s="130"/>
      <c r="U1387" s="151"/>
      <c r="X1387" s="170" t="str">
        <f t="shared" si="30"/>
        <v>1w</v>
      </c>
      <c r="Y1387" s="168">
        <f>_xll.qlCalendarAdvance(LiborCalendar,Y1386,X1387,"f",FALSE)</f>
        <v>48864</v>
      </c>
      <c r="Z1387" s="171">
        <f>_xll.qlInterestRateIndexValueDate(IborIndex,Y1387,Trigger)</f>
        <v>48866</v>
      </c>
      <c r="AA1387" s="172">
        <v>1.0577312628904732E-2</v>
      </c>
      <c r="AB1387" s="169">
        <v>1.0554990287232613E-2</v>
      </c>
    </row>
    <row r="1388" spans="20:28" x14ac:dyDescent="0.2">
      <c r="T1388" s="130"/>
      <c r="U1388" s="151"/>
      <c r="X1388" s="170" t="str">
        <f t="shared" si="30"/>
        <v>1w</v>
      </c>
      <c r="Y1388" s="168">
        <f>_xll.qlCalendarAdvance(LiborCalendar,Y1387,X1388,"f",FALSE)</f>
        <v>48871</v>
      </c>
      <c r="Z1388" s="171">
        <f>_xll.qlInterestRateIndexValueDate(IborIndex,Y1388,Trigger)</f>
        <v>48873</v>
      </c>
      <c r="AA1388" s="172">
        <v>1.05786062558014E-2</v>
      </c>
      <c r="AB1388" s="169">
        <v>1.0556211656265191E-2</v>
      </c>
    </row>
    <row r="1389" spans="20:28" x14ac:dyDescent="0.2">
      <c r="T1389" s="130"/>
      <c r="U1389" s="151"/>
      <c r="X1389" s="170" t="str">
        <f t="shared" si="30"/>
        <v>1w</v>
      </c>
      <c r="Y1389" s="168">
        <f>_xll.qlCalendarAdvance(LiborCalendar,Y1388,X1389,"f",FALSE)</f>
        <v>48878</v>
      </c>
      <c r="Z1389" s="171">
        <f>_xll.qlInterestRateIndexValueDate(IborIndex,Y1389,Trigger)</f>
        <v>48880</v>
      </c>
      <c r="AA1389" s="172">
        <v>1.0579910497311936E-2</v>
      </c>
      <c r="AB1389" s="169">
        <v>1.0557443611203254E-2</v>
      </c>
    </row>
    <row r="1390" spans="20:28" x14ac:dyDescent="0.2">
      <c r="T1390" s="130"/>
      <c r="U1390" s="151"/>
      <c r="X1390" s="170" t="str">
        <f t="shared" si="30"/>
        <v>1w</v>
      </c>
      <c r="Y1390" s="168">
        <f>_xll.qlCalendarAdvance(LiborCalendar,Y1389,X1390,"f",FALSE)</f>
        <v>48885</v>
      </c>
      <c r="Z1390" s="171">
        <f>_xll.qlInterestRateIndexValueDate(IborIndex,Y1390,Trigger)</f>
        <v>48887</v>
      </c>
      <c r="AA1390" s="172">
        <v>1.0581225353447394E-2</v>
      </c>
      <c r="AB1390" s="169">
        <v>1.0558686151993513E-2</v>
      </c>
    </row>
    <row r="1391" spans="20:28" x14ac:dyDescent="0.2">
      <c r="T1391" s="130"/>
      <c r="U1391" s="151"/>
      <c r="X1391" s="170" t="str">
        <f t="shared" si="30"/>
        <v>1w</v>
      </c>
      <c r="Y1391" s="168">
        <f>_xll.qlCalendarAdvance(LiborCalendar,Y1390,X1391,"f",FALSE)</f>
        <v>48892</v>
      </c>
      <c r="Z1391" s="171">
        <f>_xll.qlInterestRateIndexValueDate(IborIndex,Y1391,Trigger)</f>
        <v>48894</v>
      </c>
      <c r="AA1391" s="172">
        <v>1.0582550824219683E-2</v>
      </c>
      <c r="AB1391" s="169">
        <v>1.0559939278689257E-2</v>
      </c>
    </row>
    <row r="1392" spans="20:28" x14ac:dyDescent="0.2">
      <c r="T1392" s="130"/>
      <c r="U1392" s="151"/>
      <c r="X1392" s="170" t="str">
        <f t="shared" si="30"/>
        <v>1w</v>
      </c>
      <c r="Y1392" s="168">
        <f>_xll.qlCalendarAdvance(LiborCalendar,Y1391,X1392,"f",FALSE)</f>
        <v>48899</v>
      </c>
      <c r="Z1392" s="171">
        <f>_xll.qlInterestRateIndexValueDate(IborIndex,Y1392,Trigger)</f>
        <v>48901</v>
      </c>
      <c r="AA1392" s="172">
        <v>1.0583886909638155E-2</v>
      </c>
      <c r="AB1392" s="169">
        <v>1.0561202991263841E-2</v>
      </c>
    </row>
    <row r="1393" spans="20:28" x14ac:dyDescent="0.2">
      <c r="T1393" s="130"/>
      <c r="U1393" s="151"/>
      <c r="X1393" s="170" t="str">
        <f t="shared" si="30"/>
        <v>1w</v>
      </c>
      <c r="Y1393" s="168">
        <f>_xll.qlCalendarAdvance(LiborCalendar,Y1392,X1393,"f",FALSE)</f>
        <v>48906</v>
      </c>
      <c r="Z1393" s="171">
        <f>_xll.qlInterestRateIndexValueDate(IborIndex,Y1393,Trigger)</f>
        <v>48908</v>
      </c>
      <c r="AA1393" s="172">
        <v>1.0585233609714717E-2</v>
      </c>
      <c r="AB1393" s="169">
        <v>1.0562477289717265E-2</v>
      </c>
    </row>
    <row r="1394" spans="20:28" x14ac:dyDescent="0.2">
      <c r="T1394" s="130"/>
      <c r="U1394" s="151"/>
      <c r="X1394" s="170" t="str">
        <f t="shared" si="30"/>
        <v>1w</v>
      </c>
      <c r="Y1394" s="168">
        <f>_xll.qlCalendarAdvance(LiborCalendar,Y1393,X1394,"f",FALSE)</f>
        <v>48913</v>
      </c>
      <c r="Z1394" s="171">
        <f>_xll.qlInterestRateIndexValueDate(IborIndex,Y1394,Trigger)</f>
        <v>48915</v>
      </c>
      <c r="AA1394" s="172">
        <v>1.0585573394037873E-2</v>
      </c>
      <c r="AB1394" s="169">
        <v>1.0563762174049529E-2</v>
      </c>
    </row>
    <row r="1395" spans="20:28" x14ac:dyDescent="0.2">
      <c r="T1395" s="130"/>
      <c r="U1395" s="151"/>
      <c r="X1395" s="170" t="str">
        <f t="shared" si="30"/>
        <v>1w</v>
      </c>
      <c r="Y1395" s="168">
        <f>_xll.qlCalendarAdvance(LiborCalendar,Y1394,X1395,"f",FALSE)</f>
        <v>48920</v>
      </c>
      <c r="Z1395" s="171">
        <f>_xll.qlInterestRateIndexValueDate(IborIndex,Y1395,Trigger)</f>
        <v>48922</v>
      </c>
      <c r="AA1395" s="172">
        <v>1.0586938130370704E-2</v>
      </c>
      <c r="AB1395" s="169">
        <v>1.0565057644260634E-2</v>
      </c>
    </row>
    <row r="1396" spans="20:28" x14ac:dyDescent="0.2">
      <c r="T1396" s="130"/>
      <c r="U1396" s="151"/>
      <c r="X1396" s="170" t="str">
        <f t="shared" si="30"/>
        <v>1w</v>
      </c>
      <c r="Y1396" s="168">
        <f>_xll.qlCalendarAdvance(LiborCalendar,Y1395,X1396,"f",FALSE)</f>
        <v>48927</v>
      </c>
      <c r="Z1396" s="171">
        <f>_xll.qlInterestRateIndexValueDate(IborIndex,Y1396,Trigger)</f>
        <v>48929</v>
      </c>
      <c r="AA1396" s="172">
        <v>1.0588313480123013E-2</v>
      </c>
      <c r="AB1396" s="169">
        <v>1.0566363700350578E-2</v>
      </c>
    </row>
    <row r="1397" spans="20:28" x14ac:dyDescent="0.2">
      <c r="T1397" s="130"/>
      <c r="U1397" s="151"/>
      <c r="X1397" s="170" t="str">
        <f t="shared" si="30"/>
        <v>1w</v>
      </c>
      <c r="Y1397" s="168">
        <f>_xll.qlCalendarAdvance(LiborCalendar,Y1396,X1397,"f",FALSE)</f>
        <v>48934</v>
      </c>
      <c r="Z1397" s="171">
        <f>_xll.qlInterestRateIndexValueDate(IborIndex,Y1397,Trigger)</f>
        <v>48936</v>
      </c>
      <c r="AA1397" s="172">
        <v>1.058969944330812E-2</v>
      </c>
      <c r="AB1397" s="169">
        <v>1.0568179661065713E-2</v>
      </c>
    </row>
    <row r="1398" spans="20:28" x14ac:dyDescent="0.2">
      <c r="T1398" s="130"/>
      <c r="U1398" s="151"/>
      <c r="X1398" s="170" t="str">
        <f t="shared" si="30"/>
        <v>1w</v>
      </c>
      <c r="Y1398" s="168">
        <f>_xll.qlCalendarAdvance(LiborCalendar,Y1397,X1398,"f",FALSE)</f>
        <v>48941</v>
      </c>
      <c r="Z1398" s="171">
        <f>_xll.qlInterestRateIndexValueDate(IborIndex,Y1398,Trigger)</f>
        <v>48943</v>
      </c>
      <c r="AA1398" s="172">
        <v>1.0591353475681535E-2</v>
      </c>
      <c r="AB1398" s="169">
        <v>1.0569257984396341E-2</v>
      </c>
    </row>
    <row r="1399" spans="20:28" x14ac:dyDescent="0.2">
      <c r="T1399" s="130"/>
      <c r="U1399" s="151"/>
      <c r="X1399" s="170" t="str">
        <f t="shared" si="30"/>
        <v>1w</v>
      </c>
      <c r="Y1399" s="168">
        <f>_xll.qlCalendarAdvance(LiborCalendar,Y1398,X1399,"f",FALSE)</f>
        <v>48948</v>
      </c>
      <c r="Z1399" s="171">
        <f>_xll.qlInterestRateIndexValueDate(IborIndex,Y1399,Trigger)</f>
        <v>48950</v>
      </c>
      <c r="AA1399" s="172">
        <v>1.0592503210015813E-2</v>
      </c>
      <c r="AB1399" s="169">
        <v>1.057034538397339E-2</v>
      </c>
    </row>
    <row r="1400" spans="20:28" x14ac:dyDescent="0.2">
      <c r="T1400" s="130"/>
      <c r="U1400" s="151"/>
      <c r="X1400" s="170" t="str">
        <f t="shared" si="30"/>
        <v>1w</v>
      </c>
      <c r="Y1400" s="168">
        <f>_xll.qlCalendarAdvance(LiborCalendar,Y1399,X1400,"f",FALSE)</f>
        <v>48955</v>
      </c>
      <c r="Z1400" s="171">
        <f>_xll.qlInterestRateIndexValueDate(IborIndex,Y1400,Trigger)</f>
        <v>48957</v>
      </c>
      <c r="AA1400" s="172">
        <v>1.059392101356238E-2</v>
      </c>
      <c r="AB1400" s="169">
        <v>1.0571693783631986E-2</v>
      </c>
    </row>
    <row r="1401" spans="20:28" x14ac:dyDescent="0.2">
      <c r="T1401" s="130"/>
      <c r="U1401" s="151"/>
      <c r="X1401" s="170" t="str">
        <f t="shared" si="30"/>
        <v>1w</v>
      </c>
      <c r="Y1401" s="168">
        <f>_xll.qlCalendarAdvance(LiborCalendar,Y1400,X1401,"f",FALSE)</f>
        <v>48962</v>
      </c>
      <c r="Z1401" s="171">
        <f>_xll.qlInterestRateIndexValueDate(IborIndex,Y1401,Trigger)</f>
        <v>48964</v>
      </c>
      <c r="AA1401" s="172">
        <v>1.0595349430583489E-2</v>
      </c>
      <c r="AB1401" s="169">
        <v>1.0573052769142777E-2</v>
      </c>
    </row>
    <row r="1402" spans="20:28" x14ac:dyDescent="0.2">
      <c r="T1402" s="130"/>
      <c r="U1402" s="151"/>
      <c r="X1402" s="170" t="str">
        <f t="shared" si="30"/>
        <v>1w</v>
      </c>
      <c r="Y1402" s="168">
        <f>_xll.qlCalendarAdvance(LiborCalendar,Y1401,X1402,"f",FALSE)</f>
        <v>48969</v>
      </c>
      <c r="Z1402" s="171">
        <f>_xll.qlInterestRateIndexValueDate(IborIndex,Y1402,Trigger)</f>
        <v>48971</v>
      </c>
      <c r="AA1402" s="172">
        <v>1.0596788461093354E-2</v>
      </c>
      <c r="AB1402" s="169">
        <v>1.0574422340559053E-2</v>
      </c>
    </row>
    <row r="1403" spans="20:28" x14ac:dyDescent="0.2">
      <c r="T1403" s="130"/>
      <c r="U1403" s="151"/>
      <c r="X1403" s="170" t="str">
        <f t="shared" si="30"/>
        <v>1w</v>
      </c>
      <c r="Y1403" s="168">
        <f>_xll.qlCalendarAdvance(LiborCalendar,Y1402,X1403,"f",FALSE)</f>
        <v>48976</v>
      </c>
      <c r="Z1403" s="171">
        <f>_xll.qlInterestRateIndexValueDate(IborIndex,Y1403,Trigger)</f>
        <v>48978</v>
      </c>
      <c r="AA1403" s="172">
        <v>1.0597976730257976E-2</v>
      </c>
      <c r="AB1403" s="169">
        <v>1.057580249785417E-2</v>
      </c>
    </row>
    <row r="1404" spans="20:28" x14ac:dyDescent="0.2">
      <c r="T1404" s="130"/>
      <c r="U1404" s="151"/>
      <c r="X1404" s="170" t="str">
        <f t="shared" si="30"/>
        <v>1w</v>
      </c>
      <c r="Y1404" s="168">
        <f>_xll.qlCalendarAdvance(LiborCalendar,Y1403,X1404,"f",FALSE)</f>
        <v>48983</v>
      </c>
      <c r="Z1404" s="171">
        <f>_xll.qlInterestRateIndexValueDate(IborIndex,Y1404,Trigger)</f>
        <v>48985</v>
      </c>
      <c r="AA1404" s="172">
        <v>1.0599436186756102E-2</v>
      </c>
      <c r="AB1404" s="169">
        <v>1.0577193241028127E-2</v>
      </c>
    </row>
    <row r="1405" spans="20:28" x14ac:dyDescent="0.2">
      <c r="T1405" s="130"/>
      <c r="U1405" s="151"/>
      <c r="X1405" s="170" t="str">
        <f t="shared" si="30"/>
        <v>1w</v>
      </c>
      <c r="Y1405" s="168">
        <f>_xll.qlCalendarAdvance(LiborCalendar,Y1404,X1405,"f",FALSE)</f>
        <v>48990</v>
      </c>
      <c r="Z1405" s="171">
        <f>_xll.qlInterestRateIndexValueDate(IborIndex,Y1405,Trigger)</f>
        <v>48992</v>
      </c>
      <c r="AA1405" s="172">
        <v>1.0600906256458027E-2</v>
      </c>
      <c r="AB1405" s="169">
        <v>1.0578594570107569E-2</v>
      </c>
    </row>
    <row r="1406" spans="20:28" x14ac:dyDescent="0.2">
      <c r="T1406" s="130"/>
      <c r="U1406" s="151"/>
      <c r="X1406" s="170" t="str">
        <f t="shared" si="30"/>
        <v>1w</v>
      </c>
      <c r="Y1406" s="168">
        <f>_xll.qlCalendarAdvance(LiborCalendar,Y1405,X1406,"f",FALSE)</f>
        <v>48997</v>
      </c>
      <c r="Z1406" s="171">
        <f>_xll.qlInterestRateIndexValueDate(IborIndex,Y1406,Trigger)</f>
        <v>48999</v>
      </c>
      <c r="AA1406" s="172">
        <v>1.0602386939373631E-2</v>
      </c>
      <c r="AB1406" s="169">
        <v>1.0580006485039206E-2</v>
      </c>
    </row>
    <row r="1407" spans="20:28" x14ac:dyDescent="0.2">
      <c r="T1407" s="130"/>
      <c r="U1407" s="151"/>
      <c r="X1407" s="170" t="str">
        <f t="shared" si="30"/>
        <v>1w</v>
      </c>
      <c r="Y1407" s="168">
        <f>_xll.qlCalendarAdvance(LiborCalendar,Y1406,X1407,"f",FALSE)</f>
        <v>49004</v>
      </c>
      <c r="Z1407" s="171">
        <f>_xll.qlInterestRateIndexValueDate(IborIndex,Y1407,Trigger)</f>
        <v>49006</v>
      </c>
      <c r="AA1407" s="172">
        <v>1.0605201956285863E-2</v>
      </c>
      <c r="AB1407" s="169">
        <v>1.0581428985902974E-2</v>
      </c>
    </row>
    <row r="1408" spans="20:28" x14ac:dyDescent="0.2">
      <c r="T1408" s="130"/>
      <c r="U1408" s="151"/>
      <c r="X1408" s="170" t="str">
        <f t="shared" si="30"/>
        <v>1w</v>
      </c>
      <c r="Y1408" s="168">
        <f>_xll.qlCalendarAdvance(LiborCalendar,Y1407,X1408,"f",FALSE)</f>
        <v>49011</v>
      </c>
      <c r="Z1408" s="171">
        <f>_xll.qlInterestRateIndexValueDate(IborIndex,Y1408,Trigger)</f>
        <v>49013</v>
      </c>
      <c r="AA1408" s="172">
        <v>1.060670787762158E-2</v>
      </c>
      <c r="AB1408" s="169">
        <v>1.0582862072618937E-2</v>
      </c>
    </row>
    <row r="1409" spans="20:28" x14ac:dyDescent="0.2">
      <c r="T1409" s="130"/>
      <c r="U1409" s="151"/>
      <c r="X1409" s="170" t="str">
        <f t="shared" si="30"/>
        <v>1w</v>
      </c>
      <c r="Y1409" s="168">
        <f>_xll.qlCalendarAdvance(LiborCalendar,Y1408,X1409,"f",FALSE)</f>
        <v>49018</v>
      </c>
      <c r="Z1409" s="171">
        <f>_xll.qlInterestRateIndexValueDate(IborIndex,Y1409,Trigger)</f>
        <v>49020</v>
      </c>
      <c r="AA1409" s="172">
        <v>1.0608224413803321E-2</v>
      </c>
      <c r="AB1409" s="169">
        <v>1.0584305745240385E-2</v>
      </c>
    </row>
    <row r="1410" spans="20:28" x14ac:dyDescent="0.2">
      <c r="T1410" s="130"/>
      <c r="U1410" s="151"/>
      <c r="X1410" s="170" t="str">
        <f t="shared" si="30"/>
        <v>1w</v>
      </c>
      <c r="Y1410" s="168">
        <f>_xll.qlCalendarAdvance(LiborCalendar,Y1409,X1410,"f",FALSE)</f>
        <v>49025</v>
      </c>
      <c r="Z1410" s="171">
        <f>_xll.qlInterestRateIndexValueDate(IborIndex,Y1410,Trigger)</f>
        <v>49027</v>
      </c>
      <c r="AA1410" s="172">
        <v>1.0609751564845541E-2</v>
      </c>
      <c r="AB1410" s="169">
        <v>1.0585760003740674E-2</v>
      </c>
    </row>
    <row r="1411" spans="20:28" x14ac:dyDescent="0.2">
      <c r="T1411" s="130"/>
      <c r="U1411" s="151"/>
      <c r="X1411" s="170" t="str">
        <f t="shared" si="30"/>
        <v>1w</v>
      </c>
      <c r="Y1411" s="168">
        <f>_xll.qlCalendarAdvance(LiborCalendar,Y1410,X1411,"f",FALSE)</f>
        <v>49032</v>
      </c>
      <c r="Z1411" s="171">
        <f>_xll.qlInterestRateIndexValueDate(IborIndex,Y1411,Trigger)</f>
        <v>49034</v>
      </c>
      <c r="AA1411" s="172">
        <v>1.0610485218316496E-2</v>
      </c>
      <c r="AB1411" s="169">
        <v>1.0587224848119803E-2</v>
      </c>
    </row>
    <row r="1412" spans="20:28" x14ac:dyDescent="0.2">
      <c r="T1412" s="130"/>
      <c r="U1412" s="151"/>
      <c r="X1412" s="170" t="str">
        <f t="shared" si="30"/>
        <v>1w</v>
      </c>
      <c r="Y1412" s="168">
        <f>_xll.qlCalendarAdvance(LiborCalendar,Y1411,X1412,"f",FALSE)</f>
        <v>49039</v>
      </c>
      <c r="Z1412" s="171">
        <f>_xll.qlInterestRateIndexValueDate(IborIndex,Y1412,Trigger)</f>
        <v>49045</v>
      </c>
      <c r="AA1412" s="172">
        <v>1.0612919364634852E-2</v>
      </c>
      <c r="AB1412" s="169">
        <v>1.0589024306115746E-2</v>
      </c>
    </row>
    <row r="1413" spans="20:28" x14ac:dyDescent="0.2">
      <c r="T1413" s="130"/>
      <c r="U1413" s="151"/>
      <c r="X1413" s="170" t="str">
        <f t="shared" si="30"/>
        <v>1w</v>
      </c>
      <c r="Y1413" s="168">
        <f>_xll.qlCalendarAdvance(LiborCalendar,Y1412,X1413,"f",FALSE)</f>
        <v>49046</v>
      </c>
      <c r="Z1413" s="171">
        <f>_xll.qlInterestRateIndexValueDate(IborIndex,Y1413,Trigger)</f>
        <v>49048</v>
      </c>
      <c r="AA1413" s="172">
        <v>1.0613587771553237E-2</v>
      </c>
      <c r="AB1413" s="169">
        <v>1.0590186294594517E-2</v>
      </c>
    </row>
    <row r="1414" spans="20:28" x14ac:dyDescent="0.2">
      <c r="T1414" s="130"/>
      <c r="U1414" s="151"/>
      <c r="X1414" s="170" t="str">
        <f t="shared" si="30"/>
        <v>1w</v>
      </c>
      <c r="Y1414" s="168">
        <f>_xll.qlCalendarAdvance(LiborCalendar,Y1413,X1414,"f",FALSE)</f>
        <v>49053</v>
      </c>
      <c r="Z1414" s="171">
        <f>_xll.qlInterestRateIndexValueDate(IborIndex,Y1414,Trigger)</f>
        <v>49055</v>
      </c>
      <c r="AA1414" s="172">
        <v>1.0615154969091574E-2</v>
      </c>
      <c r="AB1414" s="169">
        <v>1.0591682896636812E-2</v>
      </c>
    </row>
    <row r="1415" spans="20:28" x14ac:dyDescent="0.2">
      <c r="T1415" s="130"/>
      <c r="U1415" s="151"/>
      <c r="X1415" s="170" t="str">
        <f t="shared" si="30"/>
        <v>1w</v>
      </c>
      <c r="Y1415" s="168">
        <f>_xll.qlCalendarAdvance(LiborCalendar,Y1414,X1415,"f",FALSE)</f>
        <v>49060</v>
      </c>
      <c r="Z1415" s="171">
        <f>_xll.qlInterestRateIndexValueDate(IborIndex,Y1415,Trigger)</f>
        <v>49062</v>
      </c>
      <c r="AA1415" s="172">
        <v>1.0617546543400087E-2</v>
      </c>
      <c r="AB1415" s="169">
        <v>1.0593454064196095E-2</v>
      </c>
    </row>
    <row r="1416" spans="20:28" x14ac:dyDescent="0.2">
      <c r="T1416" s="130"/>
      <c r="U1416" s="151"/>
      <c r="X1416" s="170" t="str">
        <f t="shared" si="30"/>
        <v>1w</v>
      </c>
      <c r="Y1416" s="168">
        <f>_xll.qlCalendarAdvance(LiborCalendar,Y1415,X1416,"f",FALSE)</f>
        <v>49067</v>
      </c>
      <c r="Z1416" s="171">
        <f>_xll.qlInterestRateIndexValueDate(IborIndex,Y1416,Trigger)</f>
        <v>49069</v>
      </c>
      <c r="AA1416" s="172">
        <v>1.0619137383869656E-2</v>
      </c>
      <c r="AB1416" s="169">
        <v>1.0594707858437857E-2</v>
      </c>
    </row>
    <row r="1417" spans="20:28" x14ac:dyDescent="0.2">
      <c r="T1417" s="130"/>
      <c r="U1417" s="151"/>
      <c r="X1417" s="170" t="str">
        <f t="shared" si="30"/>
        <v>1w</v>
      </c>
      <c r="Y1417" s="168">
        <f>_xll.qlCalendarAdvance(LiborCalendar,Y1416,X1417,"f",FALSE)</f>
        <v>49074</v>
      </c>
      <c r="Z1417" s="171">
        <f>_xll.qlInterestRateIndexValueDate(IborIndex,Y1417,Trigger)</f>
        <v>49076</v>
      </c>
      <c r="AA1417" s="172">
        <v>1.0620738839288995E-2</v>
      </c>
      <c r="AB1417" s="169">
        <v>1.0596236218196609E-2</v>
      </c>
    </row>
    <row r="1418" spans="20:28" x14ac:dyDescent="0.2">
      <c r="T1418" s="130"/>
      <c r="U1418" s="151"/>
      <c r="X1418" s="170" t="str">
        <f t="shared" si="30"/>
        <v>1w</v>
      </c>
      <c r="Y1418" s="168">
        <f>_xll.qlCalendarAdvance(LiborCalendar,Y1417,X1418,"f",FALSE)</f>
        <v>49081</v>
      </c>
      <c r="Z1418" s="171">
        <f>_xll.qlInterestRateIndexValueDate(IborIndex,Y1418,Trigger)</f>
        <v>49083</v>
      </c>
      <c r="AA1418" s="172">
        <v>1.0622350909672562E-2</v>
      </c>
      <c r="AB1418" s="169">
        <v>1.0597775163807555E-2</v>
      </c>
    </row>
    <row r="1419" spans="20:28" x14ac:dyDescent="0.2">
      <c r="T1419" s="130"/>
      <c r="U1419" s="151"/>
      <c r="X1419" s="170" t="str">
        <f t="shared" si="30"/>
        <v>1w</v>
      </c>
      <c r="Y1419" s="168">
        <f>_xll.qlCalendarAdvance(LiborCalendar,Y1418,X1419,"f",FALSE)</f>
        <v>49088</v>
      </c>
      <c r="Z1419" s="171">
        <f>_xll.qlInterestRateIndexValueDate(IborIndex,Y1419,Trigger)</f>
        <v>49090</v>
      </c>
      <c r="AA1419" s="172">
        <v>1.0624248235691806E-2</v>
      </c>
      <c r="AB1419" s="169">
        <v>1.0599591880111614E-2</v>
      </c>
    </row>
    <row r="1420" spans="20:28" x14ac:dyDescent="0.2">
      <c r="T1420" s="130"/>
      <c r="U1420" s="151"/>
      <c r="X1420" s="170" t="str">
        <f t="shared" si="30"/>
        <v>1w</v>
      </c>
      <c r="Y1420" s="168">
        <f>_xll.qlCalendarAdvance(LiborCalendar,Y1419,X1420,"f",FALSE)</f>
        <v>49095</v>
      </c>
      <c r="Z1420" s="171">
        <f>_xll.qlInterestRateIndexValueDate(IborIndex,Y1420,Trigger)</f>
        <v>49097</v>
      </c>
      <c r="AA1420" s="172">
        <v>1.0625606895383397E-2</v>
      </c>
      <c r="AB1420" s="169">
        <v>1.0600884812719258E-2</v>
      </c>
    </row>
    <row r="1421" spans="20:28" x14ac:dyDescent="0.2">
      <c r="T1421" s="130"/>
      <c r="U1421" s="151"/>
      <c r="X1421" s="170" t="str">
        <f t="shared" si="30"/>
        <v>1w</v>
      </c>
      <c r="Y1421" s="168">
        <f>_xll.qlCalendarAdvance(LiborCalendar,Y1420,X1421,"f",FALSE)</f>
        <v>49102</v>
      </c>
      <c r="Z1421" s="171">
        <f>_xll.qlInterestRateIndexValueDate(IborIndex,Y1421,Trigger)</f>
        <v>49104</v>
      </c>
      <c r="AA1421" s="172">
        <v>1.0627250810737879E-2</v>
      </c>
      <c r="AB1421" s="169">
        <v>1.0602455516020015E-2</v>
      </c>
    </row>
    <row r="1422" spans="20:28" x14ac:dyDescent="0.2">
      <c r="T1422" s="130"/>
      <c r="U1422" s="151"/>
      <c r="X1422" s="170" t="str">
        <f t="shared" si="30"/>
        <v>1w</v>
      </c>
      <c r="Y1422" s="168">
        <f>_xll.qlCalendarAdvance(LiborCalendar,Y1421,X1422,"f",FALSE)</f>
        <v>49109</v>
      </c>
      <c r="Z1422" s="171">
        <f>_xll.qlInterestRateIndexValueDate(IborIndex,Y1422,Trigger)</f>
        <v>49111</v>
      </c>
      <c r="AA1422" s="172">
        <v>1.0628905341110162E-2</v>
      </c>
      <c r="AB1422" s="169">
        <v>1.0604036805226258E-2</v>
      </c>
    </row>
    <row r="1423" spans="20:28" x14ac:dyDescent="0.2">
      <c r="T1423" s="130"/>
      <c r="U1423" s="151"/>
      <c r="X1423" s="170" t="str">
        <f t="shared" si="30"/>
        <v>1w</v>
      </c>
      <c r="Y1423" s="168">
        <f>_xll.qlCalendarAdvance(LiborCalendar,Y1422,X1423,"f",FALSE)</f>
        <v>49116</v>
      </c>
      <c r="Z1423" s="171">
        <f>_xll.qlInterestRateIndexValueDate(IborIndex,Y1423,Trigger)</f>
        <v>49118</v>
      </c>
      <c r="AA1423" s="172">
        <v>1.0630570486513851E-2</v>
      </c>
      <c r="AB1423" s="169">
        <v>1.0605628680311341E-2</v>
      </c>
    </row>
    <row r="1424" spans="20:28" x14ac:dyDescent="0.2">
      <c r="T1424" s="130"/>
      <c r="U1424" s="151"/>
      <c r="X1424" s="170" t="str">
        <f t="shared" si="30"/>
        <v>1w</v>
      </c>
      <c r="Y1424" s="168">
        <f>_xll.qlCalendarAdvance(LiborCalendar,Y1423,X1424,"f",FALSE)</f>
        <v>49123</v>
      </c>
      <c r="Z1424" s="171">
        <f>_xll.qlInterestRateIndexValueDate(IborIndex,Y1424,Trigger)</f>
        <v>49125</v>
      </c>
      <c r="AA1424" s="172">
        <v>1.0631410714546347E-2</v>
      </c>
      <c r="AB1424" s="169">
        <v>1.0607231141301909E-2</v>
      </c>
    </row>
    <row r="1425" spans="20:28" x14ac:dyDescent="0.2">
      <c r="T1425" s="130"/>
      <c r="U1425" s="151"/>
      <c r="X1425" s="170" t="str">
        <f t="shared" si="30"/>
        <v>1w</v>
      </c>
      <c r="Y1425" s="168">
        <f>_xll.qlCalendarAdvance(LiborCalendar,Y1424,X1425,"f",FALSE)</f>
        <v>49130</v>
      </c>
      <c r="Z1425" s="171">
        <f>_xll.qlInterestRateIndexValueDate(IborIndex,Y1425,Trigger)</f>
        <v>49132</v>
      </c>
      <c r="AA1425" s="172">
        <v>1.0633932622469026E-2</v>
      </c>
      <c r="AB1425" s="169">
        <v>1.0608844188197963E-2</v>
      </c>
    </row>
    <row r="1426" spans="20:28" x14ac:dyDescent="0.2">
      <c r="T1426" s="130"/>
      <c r="U1426" s="151"/>
      <c r="X1426" s="170" t="str">
        <f t="shared" si="30"/>
        <v>1w</v>
      </c>
      <c r="Y1426" s="168">
        <f>_xll.qlCalendarAdvance(LiborCalendar,Y1425,X1426,"f",FALSE)</f>
        <v>49137</v>
      </c>
      <c r="Z1426" s="171">
        <f>_xll.qlInterestRateIndexValueDate(IborIndex,Y1426,Trigger)</f>
        <v>49139</v>
      </c>
      <c r="AA1426" s="172">
        <v>1.0635629613050274E-2</v>
      </c>
      <c r="AB1426" s="169">
        <v>1.0610467820946212E-2</v>
      </c>
    </row>
    <row r="1427" spans="20:28" x14ac:dyDescent="0.2">
      <c r="T1427" s="130"/>
      <c r="U1427" s="151"/>
      <c r="X1427" s="170" t="str">
        <f t="shared" si="30"/>
        <v>1w</v>
      </c>
      <c r="Y1427" s="168">
        <f>_xll.qlCalendarAdvance(LiborCalendar,Y1426,X1427,"f",FALSE)</f>
        <v>49144</v>
      </c>
      <c r="Z1427" s="171">
        <f>_xll.qlInterestRateIndexValueDate(IborIndex,Y1427,Trigger)</f>
        <v>49146</v>
      </c>
      <c r="AA1427" s="172">
        <v>1.0637337218716503E-2</v>
      </c>
      <c r="AB1427" s="169">
        <v>1.0612102039626592E-2</v>
      </c>
    </row>
    <row r="1428" spans="20:28" x14ac:dyDescent="0.2">
      <c r="T1428" s="130"/>
      <c r="U1428" s="151"/>
      <c r="X1428" s="170" t="str">
        <f t="shared" si="30"/>
        <v>1w</v>
      </c>
      <c r="Y1428" s="168">
        <f>_xll.qlCalendarAdvance(LiborCalendar,Y1427,X1428,"f",FALSE)</f>
        <v>49151</v>
      </c>
      <c r="Z1428" s="171">
        <f>_xll.qlInterestRateIndexValueDate(IborIndex,Y1428,Trigger)</f>
        <v>49153</v>
      </c>
      <c r="AA1428" s="172">
        <v>1.0639055439485573E-2</v>
      </c>
      <c r="AB1428" s="169">
        <v>1.0613746844185812E-2</v>
      </c>
    </row>
    <row r="1429" spans="20:28" x14ac:dyDescent="0.2">
      <c r="T1429" s="130"/>
      <c r="U1429" s="151"/>
      <c r="X1429" s="170" t="str">
        <f t="shared" ref="X1429:X1492" si="31">X1428</f>
        <v>1w</v>
      </c>
      <c r="Y1429" s="168">
        <f>_xll.qlCalendarAdvance(LiborCalendar,Y1428,X1429,"f",FALSE)</f>
        <v>49158</v>
      </c>
      <c r="Z1429" s="171">
        <f>_xll.qlInterestRateIndexValueDate(IborIndex,Y1429,Trigger)</f>
        <v>49160</v>
      </c>
      <c r="AA1429" s="172">
        <v>1.0640784275369386E-2</v>
      </c>
      <c r="AB1429" s="169">
        <v>1.0615402234650517E-2</v>
      </c>
    </row>
    <row r="1430" spans="20:28" x14ac:dyDescent="0.2">
      <c r="T1430" s="130"/>
      <c r="U1430" s="151"/>
      <c r="X1430" s="170" t="str">
        <f t="shared" si="31"/>
        <v>1w</v>
      </c>
      <c r="Y1430" s="168">
        <f>_xll.qlCalendarAdvance(LiborCalendar,Y1429,X1430,"f",FALSE)</f>
        <v>49165</v>
      </c>
      <c r="Z1430" s="171">
        <f>_xll.qlInterestRateIndexValueDate(IborIndex,Y1430,Trigger)</f>
        <v>49167</v>
      </c>
      <c r="AA1430" s="172">
        <v>1.0642523726382401E-2</v>
      </c>
      <c r="AB1430" s="169">
        <v>1.0617068210994063E-2</v>
      </c>
    </row>
    <row r="1431" spans="20:28" x14ac:dyDescent="0.2">
      <c r="T1431" s="130"/>
      <c r="U1431" s="151"/>
      <c r="X1431" s="170" t="str">
        <f t="shared" si="31"/>
        <v>1w</v>
      </c>
      <c r="Y1431" s="168">
        <f>_xll.qlCalendarAdvance(LiborCalendar,Y1430,X1431,"f",FALSE)</f>
        <v>49172</v>
      </c>
      <c r="Z1431" s="171">
        <f>_xll.qlInterestRateIndexValueDate(IborIndex,Y1431,Trigger)</f>
        <v>49174</v>
      </c>
      <c r="AA1431" s="172">
        <v>1.0644273792540774E-2</v>
      </c>
      <c r="AB1431" s="169">
        <v>1.0618744773243094E-2</v>
      </c>
    </row>
    <row r="1432" spans="20:28" x14ac:dyDescent="0.2">
      <c r="T1432" s="130"/>
      <c r="U1432" s="151"/>
      <c r="X1432" s="170" t="str">
        <f t="shared" si="31"/>
        <v>1w</v>
      </c>
      <c r="Y1432" s="168">
        <f>_xll.qlCalendarAdvance(LiborCalendar,Y1431,X1432,"f",FALSE)</f>
        <v>49179</v>
      </c>
      <c r="Z1432" s="171">
        <f>_xll.qlInterestRateIndexValueDate(IborIndex,Y1432,Trigger)</f>
        <v>49181</v>
      </c>
      <c r="AA1432" s="172">
        <v>1.0646034473856411E-2</v>
      </c>
      <c r="AB1432" s="169">
        <v>1.0620709558297747E-2</v>
      </c>
    </row>
    <row r="1433" spans="20:28" x14ac:dyDescent="0.2">
      <c r="T1433" s="130"/>
      <c r="U1433" s="151"/>
      <c r="X1433" s="170" t="str">
        <f t="shared" si="31"/>
        <v>1w</v>
      </c>
      <c r="Y1433" s="168">
        <f>_xll.qlCalendarAdvance(LiborCalendar,Y1432,X1433,"f",FALSE)</f>
        <v>49186</v>
      </c>
      <c r="Z1433" s="171">
        <f>_xll.qlInterestRateIndexValueDate(IborIndex,Y1433,Trigger)</f>
        <v>49188</v>
      </c>
      <c r="AA1433" s="172">
        <v>1.0646948390111858E-2</v>
      </c>
      <c r="AB1433" s="169">
        <v>1.0622129655457613E-2</v>
      </c>
    </row>
    <row r="1434" spans="20:28" x14ac:dyDescent="0.2">
      <c r="T1434" s="130"/>
      <c r="U1434" s="151"/>
      <c r="X1434" s="170" t="str">
        <f t="shared" si="31"/>
        <v>1w</v>
      </c>
      <c r="Y1434" s="168">
        <f>_xll.qlCalendarAdvance(LiborCalendar,Y1433,X1434,"f",FALSE)</f>
        <v>49193</v>
      </c>
      <c r="Z1434" s="171">
        <f>_xll.qlInterestRateIndexValueDate(IborIndex,Y1434,Trigger)</f>
        <v>49195</v>
      </c>
      <c r="AA1434" s="172">
        <v>1.0648727869410715E-2</v>
      </c>
      <c r="AB1434" s="169">
        <v>1.0623837975396455E-2</v>
      </c>
    </row>
    <row r="1435" spans="20:28" x14ac:dyDescent="0.2">
      <c r="T1435" s="130"/>
      <c r="U1435" s="151"/>
      <c r="X1435" s="170" t="str">
        <f t="shared" si="31"/>
        <v>1w</v>
      </c>
      <c r="Y1435" s="168">
        <f>_xll.qlCalendarAdvance(LiborCalendar,Y1434,X1435,"f",FALSE)</f>
        <v>49200</v>
      </c>
      <c r="Z1435" s="171">
        <f>_xll.qlInterestRateIndexValueDate(IborIndex,Y1435,Trigger)</f>
        <v>49202</v>
      </c>
      <c r="AA1435" s="172">
        <v>1.0650517962942583E-2</v>
      </c>
      <c r="AB1435" s="169">
        <v>1.0625556881240783E-2</v>
      </c>
    </row>
    <row r="1436" spans="20:28" x14ac:dyDescent="0.2">
      <c r="T1436" s="130"/>
      <c r="U1436" s="151"/>
      <c r="X1436" s="170" t="str">
        <f t="shared" si="31"/>
        <v>1w</v>
      </c>
      <c r="Y1436" s="168">
        <f>_xll.qlCalendarAdvance(LiborCalendar,Y1435,X1436,"f",FALSE)</f>
        <v>49207</v>
      </c>
      <c r="Z1436" s="171">
        <f>_xll.qlInterestRateIndexValueDate(IborIndex,Y1436,Trigger)</f>
        <v>49209</v>
      </c>
      <c r="AA1436" s="172">
        <v>1.0652318670720636E-2</v>
      </c>
      <c r="AB1436" s="169">
        <v>1.0627286372963951E-2</v>
      </c>
    </row>
    <row r="1437" spans="20:28" x14ac:dyDescent="0.2">
      <c r="T1437" s="130"/>
      <c r="U1437" s="151"/>
      <c r="X1437" s="170" t="str">
        <f t="shared" si="31"/>
        <v>1w</v>
      </c>
      <c r="Y1437" s="168">
        <f>_xll.qlCalendarAdvance(LiborCalendar,Y1436,X1437,"f",FALSE)</f>
        <v>49214</v>
      </c>
      <c r="Z1437" s="171">
        <f>_xll.qlInterestRateIndexValueDate(IborIndex,Y1437,Trigger)</f>
        <v>49216</v>
      </c>
      <c r="AA1437" s="172">
        <v>1.0654129992760686E-2</v>
      </c>
      <c r="AB1437" s="169">
        <v>1.062902645061925E-2</v>
      </c>
    </row>
    <row r="1438" spans="20:28" x14ac:dyDescent="0.2">
      <c r="T1438" s="130"/>
      <c r="U1438" s="151"/>
      <c r="X1438" s="170" t="str">
        <f t="shared" si="31"/>
        <v>1w</v>
      </c>
      <c r="Y1438" s="168">
        <f>_xll.qlCalendarAdvance(LiborCalendar,Y1437,X1438,"f",FALSE)</f>
        <v>49221</v>
      </c>
      <c r="Z1438" s="171">
        <f>_xll.qlInterestRateIndexValueDate(IborIndex,Y1438,Trigger)</f>
        <v>49223</v>
      </c>
      <c r="AA1438" s="172">
        <v>1.0656821480910812E-2</v>
      </c>
      <c r="AB1438" s="169">
        <v>1.0630777114180034E-2</v>
      </c>
    </row>
    <row r="1439" spans="20:28" x14ac:dyDescent="0.2">
      <c r="T1439" s="130"/>
      <c r="U1439" s="151"/>
      <c r="X1439" s="170" t="str">
        <f t="shared" si="31"/>
        <v>1w</v>
      </c>
      <c r="Y1439" s="168">
        <f>_xll.qlCalendarAdvance(LiborCalendar,Y1438,X1439,"f",FALSE)</f>
        <v>49228</v>
      </c>
      <c r="Z1439" s="171">
        <f>_xll.qlInterestRateIndexValueDate(IborIndex,Y1439,Trigger)</f>
        <v>49230</v>
      </c>
      <c r="AA1439" s="172">
        <v>1.0658656468751637E-2</v>
      </c>
      <c r="AB1439" s="169">
        <v>1.0632538363619659E-2</v>
      </c>
    </row>
    <row r="1440" spans="20:28" x14ac:dyDescent="0.2">
      <c r="T1440" s="130"/>
      <c r="U1440" s="151"/>
      <c r="X1440" s="170" t="str">
        <f t="shared" si="31"/>
        <v>1w</v>
      </c>
      <c r="Y1440" s="168">
        <f>_xll.qlCalendarAdvance(LiborCalendar,Y1439,X1440,"f",FALSE)</f>
        <v>49235</v>
      </c>
      <c r="Z1440" s="171">
        <f>_xll.qlInterestRateIndexValueDate(IborIndex,Y1440,Trigger)</f>
        <v>49237</v>
      </c>
      <c r="AA1440" s="172">
        <v>1.0660502071869631E-2</v>
      </c>
      <c r="AB1440" s="169">
        <v>1.0634310198964769E-2</v>
      </c>
    </row>
    <row r="1441" spans="20:28" x14ac:dyDescent="0.2">
      <c r="T1441" s="130"/>
      <c r="U1441" s="151"/>
      <c r="X1441" s="170" t="str">
        <f t="shared" si="31"/>
        <v>1w</v>
      </c>
      <c r="Y1441" s="168">
        <f>_xll.qlCalendarAdvance(LiborCalendar,Y1440,X1441,"f",FALSE)</f>
        <v>49242</v>
      </c>
      <c r="Z1441" s="171">
        <f>_xll.qlInterestRateIndexValueDate(IborIndex,Y1441,Trigger)</f>
        <v>49244</v>
      </c>
      <c r="AA1441" s="172">
        <v>1.0662358290281799E-2</v>
      </c>
      <c r="AB1441" s="169">
        <v>1.063609262018872E-2</v>
      </c>
    </row>
    <row r="1442" spans="20:28" x14ac:dyDescent="0.2">
      <c r="T1442" s="130"/>
      <c r="U1442" s="151"/>
      <c r="X1442" s="170" t="str">
        <f t="shared" si="31"/>
        <v>1w</v>
      </c>
      <c r="Y1442" s="168">
        <f>_xll.qlCalendarAdvance(LiborCalendar,Y1441,X1442,"f",FALSE)</f>
        <v>49249</v>
      </c>
      <c r="Z1442" s="171">
        <f>_xll.qlInterestRateIndexValueDate(IborIndex,Y1442,Trigger)</f>
        <v>49251</v>
      </c>
      <c r="AA1442" s="172">
        <v>1.0664225124002599E-2</v>
      </c>
      <c r="AB1442" s="169">
        <v>1.0637885627344801E-2</v>
      </c>
    </row>
    <row r="1443" spans="20:28" x14ac:dyDescent="0.2">
      <c r="T1443" s="130"/>
      <c r="U1443" s="151"/>
      <c r="X1443" s="170" t="str">
        <f t="shared" si="31"/>
        <v>1w</v>
      </c>
      <c r="Y1443" s="168">
        <f>_xll.qlCalendarAdvance(LiborCalendar,Y1442,X1443,"f",FALSE)</f>
        <v>49256</v>
      </c>
      <c r="Z1443" s="171">
        <f>_xll.qlInterestRateIndexValueDate(IborIndex,Y1443,Trigger)</f>
        <v>49258</v>
      </c>
      <c r="AA1443" s="172">
        <v>1.0666102573047339E-2</v>
      </c>
      <c r="AB1443" s="169">
        <v>1.0639689220406368E-2</v>
      </c>
    </row>
    <row r="1444" spans="20:28" x14ac:dyDescent="0.2">
      <c r="T1444" s="130"/>
      <c r="U1444" s="151"/>
      <c r="X1444" s="170" t="str">
        <f t="shared" si="31"/>
        <v>1w</v>
      </c>
      <c r="Y1444" s="168">
        <f>_xll.qlCalendarAdvance(LiborCalendar,Y1443,X1444,"f",FALSE)</f>
        <v>49263</v>
      </c>
      <c r="Z1444" s="171">
        <f>_xll.qlInterestRateIndexValueDate(IborIndex,Y1444,Trigger)</f>
        <v>49265</v>
      </c>
      <c r="AA1444" s="172">
        <v>1.0667990637431325E-2</v>
      </c>
      <c r="AB1444" s="169">
        <v>1.064150339937342E-2</v>
      </c>
    </row>
    <row r="1445" spans="20:28" x14ac:dyDescent="0.2">
      <c r="T1445" s="130"/>
      <c r="U1445" s="151"/>
      <c r="X1445" s="170" t="str">
        <f t="shared" si="31"/>
        <v>1w</v>
      </c>
      <c r="Y1445" s="168">
        <f>_xll.qlCalendarAdvance(LiborCalendar,Y1444,X1445,"f",FALSE)</f>
        <v>49270</v>
      </c>
      <c r="Z1445" s="171">
        <f>_xll.qlInterestRateIndexValueDate(IborIndex,Y1445,Trigger)</f>
        <v>49272</v>
      </c>
      <c r="AA1445" s="172">
        <v>1.0669889317170715E-2</v>
      </c>
      <c r="AB1445" s="169">
        <v>1.0643328164219312E-2</v>
      </c>
    </row>
    <row r="1446" spans="20:28" x14ac:dyDescent="0.2">
      <c r="T1446" s="130"/>
      <c r="U1446" s="151"/>
      <c r="X1446" s="170" t="str">
        <f t="shared" si="31"/>
        <v>1w</v>
      </c>
      <c r="Y1446" s="168">
        <f>_xll.qlCalendarAdvance(LiborCalendar,Y1445,X1446,"f",FALSE)</f>
        <v>49277</v>
      </c>
      <c r="Z1446" s="171">
        <f>_xll.qlInterestRateIndexValueDate(IborIndex,Y1446,Trigger)</f>
        <v>49279</v>
      </c>
      <c r="AA1446" s="172">
        <v>1.0670613343329194E-2</v>
      </c>
      <c r="AB1446" s="169">
        <v>1.0645163514997336E-2</v>
      </c>
    </row>
    <row r="1447" spans="20:28" x14ac:dyDescent="0.2">
      <c r="T1447" s="130"/>
      <c r="U1447" s="151"/>
      <c r="X1447" s="170" t="str">
        <f t="shared" si="31"/>
        <v>1w</v>
      </c>
      <c r="Y1447" s="168">
        <f>_xll.qlCalendarAdvance(LiborCalendar,Y1446,X1447,"f",FALSE)</f>
        <v>49284</v>
      </c>
      <c r="Z1447" s="171">
        <f>_xll.qlInterestRateIndexValueDate(IborIndex,Y1447,Trigger)</f>
        <v>49286</v>
      </c>
      <c r="AA1447" s="172">
        <v>1.0672529993880353E-2</v>
      </c>
      <c r="AB1447" s="169">
        <v>1.0647009451627554E-2</v>
      </c>
    </row>
    <row r="1448" spans="20:28" x14ac:dyDescent="0.2">
      <c r="T1448" s="130"/>
      <c r="U1448" s="151"/>
      <c r="X1448" s="170" t="str">
        <f t="shared" si="31"/>
        <v>1w</v>
      </c>
      <c r="Y1448" s="168">
        <f>_xll.qlCalendarAdvance(LiborCalendar,Y1447,X1448,"f",FALSE)</f>
        <v>49291</v>
      </c>
      <c r="Z1448" s="171">
        <f>_xll.qlInterestRateIndexValueDate(IborIndex,Y1448,Trigger)</f>
        <v>49293</v>
      </c>
      <c r="AA1448" s="172">
        <v>1.0674457258532222E-2</v>
      </c>
      <c r="AB1448" s="169">
        <v>1.0648865974216548E-2</v>
      </c>
    </row>
    <row r="1449" spans="20:28" x14ac:dyDescent="0.2">
      <c r="T1449" s="130"/>
      <c r="U1449" s="151"/>
      <c r="X1449" s="170" t="str">
        <f t="shared" si="31"/>
        <v>1w</v>
      </c>
      <c r="Y1449" s="168">
        <f>_xll.qlCalendarAdvance(LiborCalendar,Y1448,X1449,"f",FALSE)</f>
        <v>49298</v>
      </c>
      <c r="Z1449" s="171">
        <f>_xll.qlInterestRateIndexValueDate(IborIndex,Y1449,Trigger)</f>
        <v>49300</v>
      </c>
      <c r="AA1449" s="172">
        <v>1.0676395137299011E-2</v>
      </c>
      <c r="AB1449" s="169">
        <v>1.0651315939279371E-2</v>
      </c>
    </row>
    <row r="1450" spans="20:28" x14ac:dyDescent="0.2">
      <c r="T1450" s="130"/>
      <c r="U1450" s="151"/>
      <c r="X1450" s="170" t="str">
        <f t="shared" si="31"/>
        <v>1w</v>
      </c>
      <c r="Y1450" s="168">
        <f>_xll.qlCalendarAdvance(LiborCalendar,Y1449,X1450,"f",FALSE)</f>
        <v>49305</v>
      </c>
      <c r="Z1450" s="171">
        <f>_xll.qlInterestRateIndexValueDate(IborIndex,Y1450,Trigger)</f>
        <v>49307</v>
      </c>
      <c r="AA1450" s="172">
        <v>1.0678643083777936E-2</v>
      </c>
      <c r="AB1450" s="169">
        <v>1.0652902975549772E-2</v>
      </c>
    </row>
    <row r="1451" spans="20:28" x14ac:dyDescent="0.2">
      <c r="T1451" s="130"/>
      <c r="U1451" s="151"/>
      <c r="X1451" s="170" t="str">
        <f t="shared" si="31"/>
        <v>1w</v>
      </c>
      <c r="Y1451" s="168">
        <f>_xll.qlCalendarAdvance(LiborCalendar,Y1450,X1451,"f",FALSE)</f>
        <v>49312</v>
      </c>
      <c r="Z1451" s="171">
        <f>_xll.qlInterestRateIndexValueDate(IborIndex,Y1451,Trigger)</f>
        <v>49314</v>
      </c>
      <c r="AA1451" s="172">
        <v>1.0680302737241298E-2</v>
      </c>
      <c r="AB1451" s="169">
        <v>1.0654499057363154E-2</v>
      </c>
    </row>
    <row r="1452" spans="20:28" x14ac:dyDescent="0.2">
      <c r="T1452" s="130"/>
      <c r="U1452" s="151"/>
      <c r="X1452" s="170" t="str">
        <f t="shared" si="31"/>
        <v>1w</v>
      </c>
      <c r="Y1452" s="168">
        <f>_xll.qlCalendarAdvance(LiborCalendar,Y1451,X1452,"f",FALSE)</f>
        <v>49319</v>
      </c>
      <c r="Z1452" s="171">
        <f>_xll.qlInterestRateIndexValueDate(IborIndex,Y1452,Trigger)</f>
        <v>49321</v>
      </c>
      <c r="AA1452" s="172">
        <v>1.0682272458446995E-2</v>
      </c>
      <c r="AB1452" s="169">
        <v>1.065639792357409E-2</v>
      </c>
    </row>
    <row r="1453" spans="20:28" x14ac:dyDescent="0.2">
      <c r="T1453" s="130"/>
      <c r="U1453" s="151"/>
      <c r="X1453" s="170" t="str">
        <f t="shared" si="31"/>
        <v>1w</v>
      </c>
      <c r="Y1453" s="168">
        <f>_xll.qlCalendarAdvance(LiborCalendar,Y1452,X1453,"f",FALSE)</f>
        <v>49326</v>
      </c>
      <c r="Z1453" s="171">
        <f>_xll.qlInterestRateIndexValueDate(IborIndex,Y1453,Trigger)</f>
        <v>49328</v>
      </c>
      <c r="AA1453" s="172">
        <v>1.0684252793830673E-2</v>
      </c>
      <c r="AB1453" s="169">
        <v>1.0658307375663867E-2</v>
      </c>
    </row>
    <row r="1454" spans="20:28" x14ac:dyDescent="0.2">
      <c r="T1454" s="130"/>
      <c r="U1454" s="151"/>
      <c r="X1454" s="170" t="str">
        <f t="shared" si="31"/>
        <v>1w</v>
      </c>
      <c r="Y1454" s="168">
        <f>_xll.qlCalendarAdvance(LiborCalendar,Y1453,X1454,"f",FALSE)</f>
        <v>49333</v>
      </c>
      <c r="Z1454" s="171">
        <f>_xll.qlInterestRateIndexValueDate(IborIndex,Y1454,Trigger)</f>
        <v>49335</v>
      </c>
      <c r="AA1454" s="172">
        <v>1.0686243743407431E-2</v>
      </c>
      <c r="AB1454" s="169">
        <v>1.0660227413685774E-2</v>
      </c>
    </row>
    <row r="1455" spans="20:28" x14ac:dyDescent="0.2">
      <c r="T1455" s="130"/>
      <c r="U1455" s="151"/>
      <c r="X1455" s="170" t="str">
        <f t="shared" si="31"/>
        <v>1w</v>
      </c>
      <c r="Y1455" s="168">
        <f>_xll.qlCalendarAdvance(LiborCalendar,Y1454,X1455,"f",FALSE)</f>
        <v>49340</v>
      </c>
      <c r="Z1455" s="171">
        <f>_xll.qlInterestRateIndexValueDate(IborIndex,Y1455,Trigger)</f>
        <v>49342</v>
      </c>
      <c r="AA1455" s="172">
        <v>1.0687941853193151E-2</v>
      </c>
      <c r="AB1455" s="169">
        <v>1.0662158037586522E-2</v>
      </c>
    </row>
    <row r="1456" spans="20:28" x14ac:dyDescent="0.2">
      <c r="T1456" s="130"/>
      <c r="U1456" s="151"/>
      <c r="X1456" s="170" t="str">
        <f t="shared" si="31"/>
        <v>1w</v>
      </c>
      <c r="Y1456" s="168">
        <f>_xll.qlCalendarAdvance(LiborCalendar,Y1455,X1456,"f",FALSE)</f>
        <v>49347</v>
      </c>
      <c r="Z1456" s="171">
        <f>_xll.qlInterestRateIndexValueDate(IborIndex,Y1456,Trigger)</f>
        <v>49349</v>
      </c>
      <c r="AA1456" s="172">
        <v>1.0689953213402324E-2</v>
      </c>
      <c r="AB1456" s="169">
        <v>1.0664099247419401E-2</v>
      </c>
    </row>
    <row r="1457" spans="20:28" x14ac:dyDescent="0.2">
      <c r="T1457" s="130"/>
      <c r="U1457" s="151"/>
      <c r="X1457" s="170" t="str">
        <f t="shared" si="31"/>
        <v>1w</v>
      </c>
      <c r="Y1457" s="168">
        <f>_xll.qlCalendarAdvance(LiborCalendar,Y1456,X1457,"f",FALSE)</f>
        <v>49354</v>
      </c>
      <c r="Z1457" s="171">
        <f>_xll.qlInterestRateIndexValueDate(IborIndex,Y1457,Trigger)</f>
        <v>49356</v>
      </c>
      <c r="AA1457" s="172">
        <v>1.0691975186052759E-2</v>
      </c>
      <c r="AB1457" s="169">
        <v>1.0666051043157765E-2</v>
      </c>
    </row>
    <row r="1458" spans="20:28" x14ac:dyDescent="0.2">
      <c r="T1458" s="130"/>
      <c r="U1458" s="151"/>
      <c r="X1458" s="170" t="str">
        <f t="shared" si="31"/>
        <v>1w</v>
      </c>
      <c r="Y1458" s="168">
        <f>_xll.qlCalendarAdvance(LiborCalendar,Y1457,X1458,"f",FALSE)</f>
        <v>49361</v>
      </c>
      <c r="Z1458" s="171">
        <f>_xll.qlInterestRateIndexValueDate(IborIndex,Y1458,Trigger)</f>
        <v>49363</v>
      </c>
      <c r="AA1458" s="172">
        <v>1.0694007022353765E-2</v>
      </c>
      <c r="AB1458" s="169">
        <v>1.066801342482826E-2</v>
      </c>
    </row>
    <row r="1459" spans="20:28" x14ac:dyDescent="0.2">
      <c r="T1459" s="130"/>
      <c r="U1459" s="151"/>
      <c r="X1459" s="170" t="str">
        <f t="shared" si="31"/>
        <v>1w</v>
      </c>
      <c r="Y1459" s="168">
        <f>_xll.qlCalendarAdvance(LiborCalendar,Y1458,X1459,"f",FALSE)</f>
        <v>49368</v>
      </c>
      <c r="Z1459" s="171">
        <f>_xll.qlInterestRateIndexValueDate(IborIndex,Y1459,Trigger)</f>
        <v>49370</v>
      </c>
      <c r="AA1459" s="172">
        <v>1.0697574310073147E-2</v>
      </c>
      <c r="AB1459" s="169">
        <v>1.0669986392377595E-2</v>
      </c>
    </row>
    <row r="1460" spans="20:28" x14ac:dyDescent="0.2">
      <c r="T1460" s="130"/>
      <c r="U1460" s="151"/>
      <c r="X1460" s="170" t="str">
        <f t="shared" si="31"/>
        <v>1w</v>
      </c>
      <c r="Y1460" s="168">
        <f>_xll.qlCalendarAdvance(LiborCalendar,Y1459,X1460,"f",FALSE)</f>
        <v>49375</v>
      </c>
      <c r="Z1460" s="171">
        <f>_xll.qlInterestRateIndexValueDate(IborIndex,Y1460,Trigger)</f>
        <v>49377</v>
      </c>
      <c r="AA1460" s="172">
        <v>1.0699615946568757E-2</v>
      </c>
      <c r="AB1460" s="169">
        <v>1.0671969945832416E-2</v>
      </c>
    </row>
    <row r="1461" spans="20:28" x14ac:dyDescent="0.2">
      <c r="T1461" s="130"/>
      <c r="U1461" s="151"/>
      <c r="X1461" s="170" t="str">
        <f t="shared" si="31"/>
        <v>1w</v>
      </c>
      <c r="Y1461" s="168">
        <f>_xll.qlCalendarAdvance(LiborCalendar,Y1460,X1461,"f",FALSE)</f>
        <v>49382</v>
      </c>
      <c r="Z1461" s="171">
        <f>_xll.qlInterestRateIndexValueDate(IborIndex,Y1461,Trigger)</f>
        <v>49384</v>
      </c>
      <c r="AA1461" s="172">
        <v>1.0701657140287486E-2</v>
      </c>
      <c r="AB1461" s="169">
        <v>1.0673964085219367E-2</v>
      </c>
    </row>
    <row r="1462" spans="20:28" x14ac:dyDescent="0.2">
      <c r="T1462" s="130"/>
      <c r="U1462" s="151"/>
      <c r="X1462" s="170" t="str">
        <f t="shared" si="31"/>
        <v>1w</v>
      </c>
      <c r="Y1462" s="168">
        <f>_xll.qlCalendarAdvance(LiborCalendar,Y1461,X1462,"f",FALSE)</f>
        <v>49389</v>
      </c>
      <c r="Z1462" s="171">
        <f>_xll.qlInterestRateIndexValueDate(IborIndex,Y1462,Trigger)</f>
        <v>49395</v>
      </c>
      <c r="AA1462" s="172">
        <v>1.070425082551652E-2</v>
      </c>
      <c r="AB1462" s="169">
        <v>1.0676514510716828E-2</v>
      </c>
    </row>
    <row r="1463" spans="20:28" x14ac:dyDescent="0.2">
      <c r="T1463" s="130"/>
      <c r="U1463" s="151"/>
      <c r="X1463" s="170" t="str">
        <f t="shared" si="31"/>
        <v>1w</v>
      </c>
      <c r="Y1463" s="168">
        <f>_xll.qlCalendarAdvance(LiborCalendar,Y1462,X1463,"f",FALSE)</f>
        <v>49396</v>
      </c>
      <c r="Z1463" s="171">
        <f>_xll.qlInterestRateIndexValueDate(IborIndex,Y1463,Trigger)</f>
        <v>49398</v>
      </c>
      <c r="AA1463" s="172">
        <v>1.0704818901719244E-2</v>
      </c>
      <c r="AB1463" s="169">
        <v>1.0677984121736372E-2</v>
      </c>
    </row>
    <row r="1464" spans="20:28" x14ac:dyDescent="0.2">
      <c r="T1464" s="130"/>
      <c r="U1464" s="151"/>
      <c r="X1464" s="170" t="str">
        <f t="shared" si="31"/>
        <v>1w</v>
      </c>
      <c r="Y1464" s="168">
        <f>_xll.qlCalendarAdvance(LiborCalendar,Y1463,X1464,"f",FALSE)</f>
        <v>49403</v>
      </c>
      <c r="Z1464" s="171">
        <f>_xll.qlInterestRateIndexValueDate(IborIndex,Y1464,Trigger)</f>
        <v>49405</v>
      </c>
      <c r="AA1464" s="172">
        <v>1.070684561373416E-2</v>
      </c>
      <c r="AB1464" s="169">
        <v>1.0680010018839781E-2</v>
      </c>
    </row>
    <row r="1465" spans="20:28" x14ac:dyDescent="0.2">
      <c r="T1465" s="130"/>
      <c r="U1465" s="151"/>
      <c r="X1465" s="170" t="str">
        <f t="shared" si="31"/>
        <v>1w</v>
      </c>
      <c r="Y1465" s="168">
        <f>_xll.qlCalendarAdvance(LiborCalendar,Y1464,X1465,"f",FALSE)</f>
        <v>49410</v>
      </c>
      <c r="Z1465" s="171">
        <f>_xll.qlInterestRateIndexValueDate(IborIndex,Y1465,Trigger)</f>
        <v>49412</v>
      </c>
      <c r="AA1465" s="172">
        <v>1.070886094255491E-2</v>
      </c>
      <c r="AB1465" s="169">
        <v>1.068204650187532E-2</v>
      </c>
    </row>
    <row r="1466" spans="20:28" x14ac:dyDescent="0.2">
      <c r="T1466" s="130"/>
      <c r="U1466" s="151"/>
      <c r="X1466" s="170" t="str">
        <f t="shared" si="31"/>
        <v>1w</v>
      </c>
      <c r="Y1466" s="168">
        <f>_xll.qlCalendarAdvance(LiborCalendar,Y1465,X1466,"f",FALSE)</f>
        <v>49417</v>
      </c>
      <c r="Z1466" s="171">
        <f>_xll.qlInterestRateIndexValueDate(IborIndex,Y1466,Trigger)</f>
        <v>49419</v>
      </c>
      <c r="AA1466" s="172">
        <v>1.0710861926917729E-2</v>
      </c>
      <c r="AB1466" s="169">
        <v>1.0684093570816344E-2</v>
      </c>
    </row>
    <row r="1467" spans="20:28" x14ac:dyDescent="0.2">
      <c r="T1467" s="130"/>
      <c r="U1467" s="151"/>
      <c r="X1467" s="170" t="str">
        <f t="shared" si="31"/>
        <v>1w</v>
      </c>
      <c r="Y1467" s="168">
        <f>_xll.qlCalendarAdvance(LiborCalendar,Y1466,X1467,"f",FALSE)</f>
        <v>49424</v>
      </c>
      <c r="Z1467" s="171">
        <f>_xll.qlInterestRateIndexValueDate(IborIndex,Y1467,Trigger)</f>
        <v>49426</v>
      </c>
      <c r="AA1467" s="172">
        <v>1.0712845605552709E-2</v>
      </c>
      <c r="AB1467" s="169">
        <v>1.06861512256895E-2</v>
      </c>
    </row>
    <row r="1468" spans="20:28" x14ac:dyDescent="0.2">
      <c r="T1468" s="130"/>
      <c r="U1468" s="151"/>
      <c r="X1468" s="170" t="str">
        <f t="shared" si="31"/>
        <v>1w</v>
      </c>
      <c r="Y1468" s="168">
        <f>_xll.qlCalendarAdvance(LiborCalendar,Y1467,X1468,"f",FALSE)</f>
        <v>49431</v>
      </c>
      <c r="Z1468" s="171">
        <f>_xll.qlInterestRateIndexValueDate(IborIndex,Y1468,Trigger)</f>
        <v>49433</v>
      </c>
      <c r="AA1468" s="172">
        <v>1.0715692270690046E-2</v>
      </c>
      <c r="AB1468" s="169">
        <v>1.0688526331235071E-2</v>
      </c>
    </row>
    <row r="1469" spans="20:28" x14ac:dyDescent="0.2">
      <c r="T1469" s="130"/>
      <c r="U1469" s="151"/>
      <c r="X1469" s="170" t="str">
        <f t="shared" si="31"/>
        <v>1w</v>
      </c>
      <c r="Y1469" s="168">
        <f>_xll.qlCalendarAdvance(LiborCalendar,Y1468,X1469,"f",FALSE)</f>
        <v>49438</v>
      </c>
      <c r="Z1469" s="171">
        <f>_xll.qlInterestRateIndexValueDate(IborIndex,Y1469,Trigger)</f>
        <v>49440</v>
      </c>
      <c r="AA1469" s="172">
        <v>1.071762671007319E-2</v>
      </c>
      <c r="AB1469" s="169">
        <v>1.0690298293152267E-2</v>
      </c>
    </row>
    <row r="1470" spans="20:28" x14ac:dyDescent="0.2">
      <c r="T1470" s="130"/>
      <c r="U1470" s="151"/>
      <c r="X1470" s="170" t="str">
        <f t="shared" si="31"/>
        <v>1w</v>
      </c>
      <c r="Y1470" s="168">
        <f>_xll.qlCalendarAdvance(LiborCalendar,Y1469,X1470,"f",FALSE)</f>
        <v>49445</v>
      </c>
      <c r="Z1470" s="171">
        <f>_xll.qlInterestRateIndexValueDate(IborIndex,Y1470,Trigger)</f>
        <v>49447</v>
      </c>
      <c r="AA1470" s="172">
        <v>1.0719534941176535E-2</v>
      </c>
      <c r="AB1470" s="169">
        <v>1.069237947810997E-2</v>
      </c>
    </row>
    <row r="1471" spans="20:28" x14ac:dyDescent="0.2">
      <c r="T1471" s="130"/>
      <c r="U1471" s="151"/>
      <c r="X1471" s="170" t="str">
        <f t="shared" si="31"/>
        <v>1w</v>
      </c>
      <c r="Y1471" s="168">
        <f>_xll.qlCalendarAdvance(LiborCalendar,Y1470,X1471,"f",FALSE)</f>
        <v>49452</v>
      </c>
      <c r="Z1471" s="171">
        <f>_xll.qlInterestRateIndexValueDate(IborIndex,Y1471,Trigger)</f>
        <v>49454</v>
      </c>
      <c r="AA1471" s="172">
        <v>1.0721703653212998E-2</v>
      </c>
      <c r="AB1471" s="169">
        <v>1.0694740081449439E-2</v>
      </c>
    </row>
    <row r="1472" spans="20:28" x14ac:dyDescent="0.2">
      <c r="T1472" s="130"/>
      <c r="U1472" s="151"/>
      <c r="X1472" s="170" t="str">
        <f t="shared" si="31"/>
        <v>1w</v>
      </c>
      <c r="Y1472" s="168">
        <f>_xll.qlCalendarAdvance(LiborCalendar,Y1471,X1472,"f",FALSE)</f>
        <v>49459</v>
      </c>
      <c r="Z1472" s="171">
        <f>_xll.qlInterestRateIndexValueDate(IborIndex,Y1472,Trigger)</f>
        <v>49461</v>
      </c>
      <c r="AA1472" s="172">
        <v>1.0723267929001775E-2</v>
      </c>
      <c r="AB1472" s="169">
        <v>1.0696463903840936E-2</v>
      </c>
    </row>
    <row r="1473" spans="20:28" x14ac:dyDescent="0.2">
      <c r="T1473" s="130"/>
      <c r="U1473" s="151"/>
      <c r="X1473" s="170" t="str">
        <f t="shared" si="31"/>
        <v>1w</v>
      </c>
      <c r="Y1473" s="168">
        <f>_xll.qlCalendarAdvance(LiborCalendar,Y1472,X1473,"f",FALSE)</f>
        <v>49466</v>
      </c>
      <c r="Z1473" s="171">
        <f>_xll.qlInterestRateIndexValueDate(IborIndex,Y1473,Trigger)</f>
        <v>49468</v>
      </c>
      <c r="AA1473" s="172">
        <v>1.0725092596483564E-2</v>
      </c>
      <c r="AB1473" s="169">
        <v>1.0698464402061347E-2</v>
      </c>
    </row>
    <row r="1474" spans="20:28" x14ac:dyDescent="0.2">
      <c r="T1474" s="130"/>
      <c r="U1474" s="151"/>
      <c r="X1474" s="170" t="str">
        <f t="shared" si="31"/>
        <v>1w</v>
      </c>
      <c r="Y1474" s="168">
        <f>_xll.qlCalendarAdvance(LiborCalendar,Y1473,X1474,"f",FALSE)</f>
        <v>49473</v>
      </c>
      <c r="Z1474" s="171">
        <f>_xll.qlInterestRateIndexValueDate(IborIndex,Y1474,Trigger)</f>
        <v>49475</v>
      </c>
      <c r="AA1474" s="172">
        <v>1.0726889379625411E-2</v>
      </c>
      <c r="AB1474" s="169">
        <v>1.0700437090500614E-2</v>
      </c>
    </row>
    <row r="1475" spans="20:28" x14ac:dyDescent="0.2">
      <c r="T1475" s="130"/>
      <c r="U1475" s="151"/>
      <c r="X1475" s="170" t="str">
        <f t="shared" si="31"/>
        <v>1w</v>
      </c>
      <c r="Y1475" s="168">
        <f>_xll.qlCalendarAdvance(LiborCalendar,Y1474,X1475,"f",FALSE)</f>
        <v>49480</v>
      </c>
      <c r="Z1475" s="171">
        <f>_xll.qlInterestRateIndexValueDate(IborIndex,Y1475,Trigger)</f>
        <v>49482</v>
      </c>
      <c r="AA1475" s="172">
        <v>1.0728658278389046E-2</v>
      </c>
      <c r="AB1475" s="169">
        <v>1.0702381969185382E-2</v>
      </c>
    </row>
    <row r="1476" spans="20:28" x14ac:dyDescent="0.2">
      <c r="T1476" s="130"/>
      <c r="U1476" s="151"/>
      <c r="X1476" s="170" t="str">
        <f t="shared" si="31"/>
        <v>1w</v>
      </c>
      <c r="Y1476" s="168">
        <f>_xll.qlCalendarAdvance(LiborCalendar,Y1475,X1476,"f",FALSE)</f>
        <v>49487</v>
      </c>
      <c r="Z1476" s="171">
        <f>_xll.qlInterestRateIndexValueDate(IborIndex,Y1476,Trigger)</f>
        <v>49489</v>
      </c>
      <c r="AA1476" s="172">
        <v>1.0729562463280244E-2</v>
      </c>
      <c r="AB1476" s="169">
        <v>1.070429903811565E-2</v>
      </c>
    </row>
    <row r="1477" spans="20:28" x14ac:dyDescent="0.2">
      <c r="T1477" s="130"/>
      <c r="U1477" s="151"/>
      <c r="X1477" s="170" t="str">
        <f t="shared" si="31"/>
        <v>1w</v>
      </c>
      <c r="Y1477" s="168">
        <f>_xll.qlCalendarAdvance(LiborCalendar,Y1476,X1477,"f",FALSE)</f>
        <v>49494</v>
      </c>
      <c r="Z1477" s="171">
        <f>_xll.qlInterestRateIndexValueDate(IborIndex,Y1477,Trigger)</f>
        <v>49496</v>
      </c>
      <c r="AA1477" s="172">
        <v>1.0732112422623515E-2</v>
      </c>
      <c r="AB1477" s="169">
        <v>1.0706188297238128E-2</v>
      </c>
    </row>
    <row r="1478" spans="20:28" x14ac:dyDescent="0.2">
      <c r="T1478" s="130"/>
      <c r="U1478" s="151"/>
      <c r="X1478" s="170" t="str">
        <f t="shared" si="31"/>
        <v>1w</v>
      </c>
      <c r="Y1478" s="168">
        <f>_xll.qlCalendarAdvance(LiborCalendar,Y1477,X1478,"f",FALSE)</f>
        <v>49501</v>
      </c>
      <c r="Z1478" s="171">
        <f>_xll.qlInterestRateIndexValueDate(IborIndex,Y1478,Trigger)</f>
        <v>49503</v>
      </c>
      <c r="AA1478" s="172">
        <v>1.0733797668020363E-2</v>
      </c>
      <c r="AB1478" s="169">
        <v>1.0708049746632753E-2</v>
      </c>
    </row>
    <row r="1479" spans="20:28" x14ac:dyDescent="0.2">
      <c r="T1479" s="130"/>
      <c r="U1479" s="151"/>
      <c r="X1479" s="170" t="str">
        <f t="shared" si="31"/>
        <v>1w</v>
      </c>
      <c r="Y1479" s="168">
        <f>_xll.qlCalendarAdvance(LiborCalendar,Y1478,X1479,"f",FALSE)</f>
        <v>49508</v>
      </c>
      <c r="Z1479" s="171">
        <f>_xll.qlInterestRateIndexValueDate(IborIndex,Y1479,Trigger)</f>
        <v>49510</v>
      </c>
      <c r="AA1479" s="172">
        <v>1.0735455028886783E-2</v>
      </c>
      <c r="AB1479" s="169">
        <v>1.0709883386192942E-2</v>
      </c>
    </row>
    <row r="1480" spans="20:28" x14ac:dyDescent="0.2">
      <c r="T1480" s="130"/>
      <c r="U1480" s="151"/>
      <c r="X1480" s="170" t="str">
        <f t="shared" si="31"/>
        <v>1w</v>
      </c>
      <c r="Y1480" s="168">
        <f>_xll.qlCalendarAdvance(LiborCalendar,Y1479,X1480,"f",FALSE)</f>
        <v>49515</v>
      </c>
      <c r="Z1480" s="171">
        <f>_xll.qlInterestRateIndexValueDate(IborIndex,Y1480,Trigger)</f>
        <v>49517</v>
      </c>
      <c r="AA1480" s="172">
        <v>1.0737084505187906E-2</v>
      </c>
      <c r="AB1480" s="169">
        <v>1.0711689216025277E-2</v>
      </c>
    </row>
    <row r="1481" spans="20:28" x14ac:dyDescent="0.2">
      <c r="T1481" s="130"/>
      <c r="U1481" s="151"/>
      <c r="X1481" s="170" t="str">
        <f t="shared" si="31"/>
        <v>1w</v>
      </c>
      <c r="Y1481" s="168">
        <f>_xll.qlCalendarAdvance(LiborCalendar,Y1480,X1481,"f",FALSE)</f>
        <v>49522</v>
      </c>
      <c r="Z1481" s="171">
        <f>_xll.qlInterestRateIndexValueDate(IborIndex,Y1481,Trigger)</f>
        <v>49524</v>
      </c>
      <c r="AA1481" s="172">
        <v>1.0738686096888021E-2</v>
      </c>
      <c r="AB1481" s="169">
        <v>1.0713467236076468E-2</v>
      </c>
    </row>
    <row r="1482" spans="20:28" x14ac:dyDescent="0.2">
      <c r="T1482" s="130"/>
      <c r="U1482" s="151"/>
      <c r="X1482" s="170" t="str">
        <f t="shared" si="31"/>
        <v>1w</v>
      </c>
      <c r="Y1482" s="168">
        <f>_xll.qlCalendarAdvance(LiborCalendar,Y1481,X1482,"f",FALSE)</f>
        <v>49529</v>
      </c>
      <c r="Z1482" s="171">
        <f>_xll.qlInterestRateIndexValueDate(IborIndex,Y1482,Trigger)</f>
        <v>49531</v>
      </c>
      <c r="AA1482" s="172">
        <v>1.0740259803951406E-2</v>
      </c>
      <c r="AB1482" s="169">
        <v>1.0715217446346514E-2</v>
      </c>
    </row>
    <row r="1483" spans="20:28" x14ac:dyDescent="0.2">
      <c r="T1483" s="130"/>
      <c r="U1483" s="151"/>
      <c r="X1483" s="170" t="str">
        <f t="shared" si="31"/>
        <v>1w</v>
      </c>
      <c r="Y1483" s="168">
        <f>_xll.qlCalendarAdvance(LiborCalendar,Y1482,X1483,"f",FALSE)</f>
        <v>49536</v>
      </c>
      <c r="Z1483" s="171">
        <f>_xll.qlInterestRateIndexValueDate(IborIndex,Y1483,Trigger)</f>
        <v>49538</v>
      </c>
      <c r="AA1483" s="172">
        <v>1.074180562634405E-2</v>
      </c>
      <c r="AB1483" s="169">
        <v>1.0716939846835416E-2</v>
      </c>
    </row>
    <row r="1484" spans="20:28" x14ac:dyDescent="0.2">
      <c r="T1484" s="130"/>
      <c r="U1484" s="151"/>
      <c r="X1484" s="170" t="str">
        <f t="shared" si="31"/>
        <v>1w</v>
      </c>
      <c r="Y1484" s="168">
        <f>_xll.qlCalendarAdvance(LiborCalendar,Y1483,X1484,"f",FALSE)</f>
        <v>49543</v>
      </c>
      <c r="Z1484" s="171">
        <f>_xll.qlInterestRateIndexValueDate(IborIndex,Y1484,Trigger)</f>
        <v>49545</v>
      </c>
      <c r="AA1484" s="172">
        <v>1.0743323564032785E-2</v>
      </c>
      <c r="AB1484" s="169">
        <v>1.0718913818661413E-2</v>
      </c>
    </row>
    <row r="1485" spans="20:28" x14ac:dyDescent="0.2">
      <c r="T1485" s="130"/>
      <c r="U1485" s="151"/>
      <c r="X1485" s="170" t="str">
        <f t="shared" si="31"/>
        <v>1w</v>
      </c>
      <c r="Y1485" s="168">
        <f>_xll.qlCalendarAdvance(LiborCalendar,Y1484,X1485,"f",FALSE)</f>
        <v>49550</v>
      </c>
      <c r="Z1485" s="171">
        <f>_xll.qlInterestRateIndexValueDate(IborIndex,Y1485,Trigger)</f>
        <v>49552</v>
      </c>
      <c r="AA1485" s="172">
        <v>1.0744029272351373E-2</v>
      </c>
      <c r="AB1485" s="169">
        <v>1.0720301218469785E-2</v>
      </c>
    </row>
    <row r="1486" spans="20:28" x14ac:dyDescent="0.2">
      <c r="T1486" s="130"/>
      <c r="U1486" s="151"/>
      <c r="X1486" s="170" t="str">
        <f t="shared" si="31"/>
        <v>1w</v>
      </c>
      <c r="Y1486" s="168">
        <f>_xll.qlCalendarAdvance(LiborCalendar,Y1485,X1486,"f",FALSE)</f>
        <v>49557</v>
      </c>
      <c r="Z1486" s="171">
        <f>_xll.qlInterestRateIndexValueDate(IborIndex,Y1486,Trigger)</f>
        <v>49559</v>
      </c>
      <c r="AA1486" s="172">
        <v>1.0745497284575682E-2</v>
      </c>
      <c r="AB1486" s="169">
        <v>1.0721940189588608E-2</v>
      </c>
    </row>
    <row r="1487" spans="20:28" x14ac:dyDescent="0.2">
      <c r="T1487" s="130"/>
      <c r="U1487" s="151"/>
      <c r="X1487" s="170" t="str">
        <f t="shared" si="31"/>
        <v>1w</v>
      </c>
      <c r="Y1487" s="168">
        <f>_xll.qlCalendarAdvance(LiborCalendar,Y1486,X1487,"f",FALSE)</f>
        <v>49564</v>
      </c>
      <c r="Z1487" s="171">
        <f>_xll.qlInterestRateIndexValueDate(IborIndex,Y1487,Trigger)</f>
        <v>49566</v>
      </c>
      <c r="AA1487" s="172">
        <v>1.0746937414481997E-2</v>
      </c>
      <c r="AB1487" s="169">
        <v>1.0723551350952931E-2</v>
      </c>
    </row>
    <row r="1488" spans="20:28" x14ac:dyDescent="0.2">
      <c r="T1488" s="130"/>
      <c r="U1488" s="151"/>
      <c r="X1488" s="170" t="str">
        <f t="shared" si="31"/>
        <v>1w</v>
      </c>
      <c r="Y1488" s="168">
        <f>_xll.qlCalendarAdvance(LiborCalendar,Y1487,X1488,"f",FALSE)</f>
        <v>49571</v>
      </c>
      <c r="Z1488" s="171">
        <f>_xll.qlInterestRateIndexValueDate(IborIndex,Y1488,Trigger)</f>
        <v>49573</v>
      </c>
      <c r="AA1488" s="172">
        <v>1.0748349662037819E-2</v>
      </c>
      <c r="AB1488" s="169">
        <v>1.0725134702509465E-2</v>
      </c>
    </row>
    <row r="1489" spans="20:28" x14ac:dyDescent="0.2">
      <c r="T1489" s="130"/>
      <c r="U1489" s="151"/>
      <c r="X1489" s="170" t="str">
        <f t="shared" si="31"/>
        <v>1w</v>
      </c>
      <c r="Y1489" s="168">
        <f>_xll.qlCalendarAdvance(LiborCalendar,Y1488,X1489,"f",FALSE)</f>
        <v>49578</v>
      </c>
      <c r="Z1489" s="171">
        <f>_xll.qlInterestRateIndexValueDate(IborIndex,Y1489,Trigger)</f>
        <v>49580</v>
      </c>
      <c r="AA1489" s="172">
        <v>1.0750494980779186E-2</v>
      </c>
      <c r="AB1489" s="169">
        <v>1.0726690244311499E-2</v>
      </c>
    </row>
    <row r="1490" spans="20:28" x14ac:dyDescent="0.2">
      <c r="T1490" s="130"/>
      <c r="U1490" s="151"/>
      <c r="X1490" s="170" t="str">
        <f t="shared" si="31"/>
        <v>1w</v>
      </c>
      <c r="Y1490" s="168">
        <f>_xll.qlCalendarAdvance(LiborCalendar,Y1489,X1490,"f",FALSE)</f>
        <v>49585</v>
      </c>
      <c r="Z1490" s="171">
        <f>_xll.qlInterestRateIndexValueDate(IborIndex,Y1490,Trigger)</f>
        <v>49587</v>
      </c>
      <c r="AA1490" s="172">
        <v>1.0751845609570121E-2</v>
      </c>
      <c r="AB1490" s="169">
        <v>1.0728217976305743E-2</v>
      </c>
    </row>
    <row r="1491" spans="20:28" x14ac:dyDescent="0.2">
      <c r="T1491" s="130"/>
      <c r="U1491" s="151"/>
      <c r="X1491" s="170" t="str">
        <f t="shared" si="31"/>
        <v>1w</v>
      </c>
      <c r="Y1491" s="168">
        <f>_xll.qlCalendarAdvance(LiborCalendar,Y1490,X1491,"f",FALSE)</f>
        <v>49592</v>
      </c>
      <c r="Z1491" s="171">
        <f>_xll.qlInterestRateIndexValueDate(IborIndex,Y1491,Trigger)</f>
        <v>49594</v>
      </c>
      <c r="AA1491" s="172">
        <v>1.0753168353437752E-2</v>
      </c>
      <c r="AB1491" s="169">
        <v>1.0729717898518842E-2</v>
      </c>
    </row>
    <row r="1492" spans="20:28" x14ac:dyDescent="0.2">
      <c r="T1492" s="130"/>
      <c r="U1492" s="151"/>
      <c r="X1492" s="170" t="str">
        <f t="shared" si="31"/>
        <v>1w</v>
      </c>
      <c r="Y1492" s="168">
        <f>_xll.qlCalendarAdvance(LiborCalendar,Y1491,X1492,"f",FALSE)</f>
        <v>49599</v>
      </c>
      <c r="Z1492" s="171">
        <f>_xll.qlInterestRateIndexValueDate(IborIndex,Y1492,Trigger)</f>
        <v>49601</v>
      </c>
      <c r="AA1492" s="172">
        <v>1.0754463212354862E-2</v>
      </c>
      <c r="AB1492" s="169">
        <v>1.0731190010924152E-2</v>
      </c>
    </row>
    <row r="1493" spans="20:28" x14ac:dyDescent="0.2">
      <c r="T1493" s="130"/>
      <c r="U1493" s="151"/>
      <c r="X1493" s="170" t="str">
        <f t="shared" ref="X1493:X1556" si="32">X1492</f>
        <v>1w</v>
      </c>
      <c r="Y1493" s="168">
        <f>_xll.qlCalendarAdvance(LiborCalendar,Y1492,X1493,"f",FALSE)</f>
        <v>49606</v>
      </c>
      <c r="Z1493" s="171">
        <f>_xll.qlInterestRateIndexValueDate(IborIndex,Y1493,Trigger)</f>
        <v>49608</v>
      </c>
      <c r="AA1493" s="172">
        <v>1.075573018629169E-2</v>
      </c>
      <c r="AB1493" s="169">
        <v>1.0732634313574962E-2</v>
      </c>
    </row>
    <row r="1494" spans="20:28" x14ac:dyDescent="0.2">
      <c r="T1494" s="130"/>
      <c r="U1494" s="151"/>
      <c r="X1494" s="170" t="str">
        <f t="shared" si="32"/>
        <v>1w</v>
      </c>
      <c r="Y1494" s="168">
        <f>_xll.qlCalendarAdvance(LiborCalendar,Y1493,X1494,"f",FALSE)</f>
        <v>49613</v>
      </c>
      <c r="Z1494" s="171">
        <f>_xll.qlInterestRateIndexValueDate(IborIndex,Y1494,Trigger)</f>
        <v>49615</v>
      </c>
      <c r="AA1494" s="172">
        <v>1.0756969275221023E-2</v>
      </c>
      <c r="AB1494" s="169">
        <v>1.0734050806417983E-2</v>
      </c>
    </row>
    <row r="1495" spans="20:28" x14ac:dyDescent="0.2">
      <c r="T1495" s="130"/>
      <c r="U1495" s="151"/>
      <c r="X1495" s="170" t="str">
        <f t="shared" si="32"/>
        <v>1w</v>
      </c>
      <c r="Y1495" s="168">
        <f>_xll.qlCalendarAdvance(LiborCalendar,Y1494,X1495,"f",FALSE)</f>
        <v>49620</v>
      </c>
      <c r="Z1495" s="171">
        <f>_xll.qlInterestRateIndexValueDate(IborIndex,Y1495,Trigger)</f>
        <v>49622</v>
      </c>
      <c r="AA1495" s="172">
        <v>1.0758180479114799E-2</v>
      </c>
      <c r="AB1495" s="169">
        <v>1.0735439489453213E-2</v>
      </c>
    </row>
    <row r="1496" spans="20:28" x14ac:dyDescent="0.2">
      <c r="T1496" s="130"/>
      <c r="U1496" s="151"/>
      <c r="X1496" s="170" t="str">
        <f t="shared" si="32"/>
        <v>1w</v>
      </c>
      <c r="Y1496" s="168">
        <f>_xll.qlCalendarAdvance(LiborCalendar,Y1495,X1496,"f",FALSE)</f>
        <v>49627</v>
      </c>
      <c r="Z1496" s="171">
        <f>_xll.qlInterestRateIndexValueDate(IborIndex,Y1496,Trigger)</f>
        <v>49629</v>
      </c>
      <c r="AA1496" s="172">
        <v>1.0759363797949208E-2</v>
      </c>
      <c r="AB1496" s="169">
        <v>1.0736800362733945E-2</v>
      </c>
    </row>
    <row r="1497" spans="20:28" x14ac:dyDescent="0.2">
      <c r="T1497" s="130"/>
      <c r="U1497" s="151"/>
      <c r="X1497" s="170" t="str">
        <f t="shared" si="32"/>
        <v>1w</v>
      </c>
      <c r="Y1497" s="168">
        <f>_xll.qlCalendarAdvance(LiborCalendar,Y1496,X1497,"f",FALSE)</f>
        <v>49634</v>
      </c>
      <c r="Z1497" s="171">
        <f>_xll.qlInterestRateIndexValueDate(IborIndex,Y1497,Trigger)</f>
        <v>49636</v>
      </c>
      <c r="AA1497" s="172">
        <v>1.0760519231696186E-2</v>
      </c>
      <c r="AB1497" s="169">
        <v>1.0738133426153595E-2</v>
      </c>
    </row>
    <row r="1498" spans="20:28" x14ac:dyDescent="0.2">
      <c r="T1498" s="130"/>
      <c r="U1498" s="151"/>
      <c r="X1498" s="170" t="str">
        <f t="shared" si="32"/>
        <v>1w</v>
      </c>
      <c r="Y1498" s="168">
        <f>_xll.qlCalendarAdvance(LiborCalendar,Y1497,X1498,"f",FALSE)</f>
        <v>49641</v>
      </c>
      <c r="Z1498" s="171">
        <f>_xll.qlInterestRateIndexValueDate(IborIndex,Y1498,Trigger)</f>
        <v>49643</v>
      </c>
      <c r="AA1498" s="172">
        <v>1.0760938602127755E-2</v>
      </c>
      <c r="AB1498" s="169">
        <v>1.0739438679845392E-2</v>
      </c>
    </row>
    <row r="1499" spans="20:28" x14ac:dyDescent="0.2">
      <c r="T1499" s="130"/>
      <c r="U1499" s="151"/>
      <c r="X1499" s="170" t="str">
        <f t="shared" si="32"/>
        <v>1w</v>
      </c>
      <c r="Y1499" s="168">
        <f>_xll.qlCalendarAdvance(LiborCalendar,Y1498,X1499,"f",FALSE)</f>
        <v>49648</v>
      </c>
      <c r="Z1499" s="171">
        <f>_xll.qlInterestRateIndexValueDate(IborIndex,Y1499,Trigger)</f>
        <v>49650</v>
      </c>
      <c r="AA1499" s="172">
        <v>1.0762044142006299E-2</v>
      </c>
      <c r="AB1499" s="169">
        <v>1.0740716123702754E-2</v>
      </c>
    </row>
    <row r="1500" spans="20:28" x14ac:dyDescent="0.2">
      <c r="T1500" s="130"/>
      <c r="U1500" s="151"/>
      <c r="X1500" s="170" t="str">
        <f t="shared" si="32"/>
        <v>1w</v>
      </c>
      <c r="Y1500" s="168">
        <f>_xll.qlCalendarAdvance(LiborCalendar,Y1499,X1500,"f",FALSE)</f>
        <v>49655</v>
      </c>
      <c r="Z1500" s="171">
        <f>_xll.qlInterestRateIndexValueDate(IborIndex,Y1500,Trigger)</f>
        <v>49657</v>
      </c>
      <c r="AA1500" s="172">
        <v>1.0763121799215482E-2</v>
      </c>
      <c r="AB1500" s="169">
        <v>1.0741965757805616E-2</v>
      </c>
    </row>
    <row r="1501" spans="20:28" x14ac:dyDescent="0.2">
      <c r="T1501" s="130"/>
      <c r="U1501" s="151"/>
      <c r="X1501" s="170" t="str">
        <f t="shared" si="32"/>
        <v>1w</v>
      </c>
      <c r="Y1501" s="168">
        <f>_xll.qlCalendarAdvance(LiborCalendar,Y1500,X1501,"f",FALSE)</f>
        <v>49662</v>
      </c>
      <c r="Z1501" s="171">
        <f>_xll.qlInterestRateIndexValueDate(IborIndex,Y1501,Trigger)</f>
        <v>49664</v>
      </c>
      <c r="AA1501" s="172">
        <v>1.0764171573735104E-2</v>
      </c>
      <c r="AB1501" s="169">
        <v>1.0743187582074043E-2</v>
      </c>
    </row>
    <row r="1502" spans="20:28" x14ac:dyDescent="0.2">
      <c r="T1502" s="130"/>
      <c r="U1502" s="151"/>
      <c r="X1502" s="170" t="str">
        <f t="shared" si="32"/>
        <v>1w</v>
      </c>
      <c r="Y1502" s="168">
        <f>_xll.qlCalendarAdvance(LiborCalendar,Y1501,X1502,"f",FALSE)</f>
        <v>49670</v>
      </c>
      <c r="Z1502" s="171">
        <f>_xll.qlInterestRateIndexValueDate(IborIndex,Y1502,Trigger)</f>
        <v>49674</v>
      </c>
      <c r="AA1502" s="172">
        <v>1.0765622883642519E-2</v>
      </c>
      <c r="AB1502" s="169">
        <v>1.0744641066993132E-2</v>
      </c>
    </row>
    <row r="1503" spans="20:28" x14ac:dyDescent="0.2">
      <c r="T1503" s="130"/>
      <c r="U1503" s="151"/>
      <c r="X1503" s="170" t="str">
        <f t="shared" si="32"/>
        <v>1w</v>
      </c>
      <c r="Y1503" s="168">
        <f>_xll.qlCalendarAdvance(LiborCalendar,Y1502,X1503,"f",FALSE)</f>
        <v>49677</v>
      </c>
      <c r="Z1503" s="171">
        <f>_xll.qlInterestRateIndexValueDate(IborIndex,Y1503,Trigger)</f>
        <v>49681</v>
      </c>
      <c r="AA1503" s="172">
        <v>1.0766604942965174E-2</v>
      </c>
      <c r="AB1503" s="169">
        <v>1.0745555339051194E-2</v>
      </c>
    </row>
    <row r="1504" spans="20:28" x14ac:dyDescent="0.2">
      <c r="T1504" s="130"/>
      <c r="U1504" s="151"/>
      <c r="X1504" s="170" t="str">
        <f t="shared" si="32"/>
        <v>1w</v>
      </c>
      <c r="Y1504" s="168">
        <f>_xll.qlCalendarAdvance(LiborCalendar,Y1503,X1504,"f",FALSE)</f>
        <v>49684</v>
      </c>
      <c r="Z1504" s="171">
        <f>_xll.qlInterestRateIndexValueDate(IborIndex,Y1504,Trigger)</f>
        <v>49688</v>
      </c>
      <c r="AA1504" s="172">
        <v>1.0767782754926895E-2</v>
      </c>
      <c r="AB1504" s="169">
        <v>1.0746685720839366E-2</v>
      </c>
    </row>
    <row r="1505" spans="20:28" x14ac:dyDescent="0.2">
      <c r="T1505" s="130"/>
      <c r="U1505" s="151"/>
      <c r="X1505" s="170" t="str">
        <f t="shared" si="32"/>
        <v>1w</v>
      </c>
      <c r="Y1505" s="168">
        <f>_xll.qlCalendarAdvance(LiborCalendar,Y1504,X1505,"f",FALSE)</f>
        <v>49691</v>
      </c>
      <c r="Z1505" s="171">
        <f>_xll.qlInterestRateIndexValueDate(IborIndex,Y1505,Trigger)</f>
        <v>49695</v>
      </c>
      <c r="AA1505" s="172">
        <v>1.076848541329847E-2</v>
      </c>
      <c r="AB1505" s="169">
        <v>1.0747788294391825E-2</v>
      </c>
    </row>
    <row r="1506" spans="20:28" x14ac:dyDescent="0.2">
      <c r="T1506" s="130"/>
      <c r="U1506" s="151"/>
      <c r="X1506" s="170" t="str">
        <f t="shared" si="32"/>
        <v>1w</v>
      </c>
      <c r="Y1506" s="168">
        <f>_xll.qlCalendarAdvance(LiborCalendar,Y1505,X1506,"f",FALSE)</f>
        <v>49698</v>
      </c>
      <c r="Z1506" s="171">
        <f>_xll.qlInterestRateIndexValueDate(IborIndex,Y1506,Trigger)</f>
        <v>49702</v>
      </c>
      <c r="AA1506" s="172">
        <v>1.076938382426958E-2</v>
      </c>
      <c r="AB1506" s="169">
        <v>1.0748863059868441E-2</v>
      </c>
    </row>
    <row r="1507" spans="20:28" x14ac:dyDescent="0.2">
      <c r="T1507" s="130"/>
      <c r="U1507" s="151"/>
      <c r="X1507" s="170" t="str">
        <f t="shared" si="32"/>
        <v>1w</v>
      </c>
      <c r="Y1507" s="168">
        <f>_xll.qlCalendarAdvance(LiborCalendar,Y1506,X1507,"f",FALSE)</f>
        <v>49705</v>
      </c>
      <c r="Z1507" s="171">
        <f>_xll.qlInterestRateIndexValueDate(IborIndex,Y1507,Trigger)</f>
        <v>49709</v>
      </c>
      <c r="AA1507" s="172">
        <v>1.0770472093266745E-2</v>
      </c>
      <c r="AB1507" s="169">
        <v>1.0749910017109343E-2</v>
      </c>
    </row>
    <row r="1508" spans="20:28" x14ac:dyDescent="0.2">
      <c r="T1508" s="130"/>
      <c r="U1508" s="151"/>
      <c r="X1508" s="170" t="str">
        <f t="shared" si="32"/>
        <v>1w</v>
      </c>
      <c r="Y1508" s="168">
        <f>_xll.qlCalendarAdvance(LiborCalendar,Y1507,X1508,"f",FALSE)</f>
        <v>49712</v>
      </c>
      <c r="Z1508" s="171">
        <f>_xll.qlInterestRateIndexValueDate(IborIndex,Y1508,Trigger)</f>
        <v>49716</v>
      </c>
      <c r="AA1508" s="172">
        <v>1.0771096997724987E-2</v>
      </c>
      <c r="AB1508" s="169">
        <v>1.0750929166274403E-2</v>
      </c>
    </row>
    <row r="1509" spans="20:28" x14ac:dyDescent="0.2">
      <c r="T1509" s="130"/>
      <c r="U1509" s="151"/>
      <c r="X1509" s="170" t="str">
        <f t="shared" si="32"/>
        <v>1w</v>
      </c>
      <c r="Y1509" s="168">
        <f>_xll.qlCalendarAdvance(LiborCalendar,Y1508,X1509,"f",FALSE)</f>
        <v>49719</v>
      </c>
      <c r="Z1509" s="171">
        <f>_xll.qlInterestRateIndexValueDate(IborIndex,Y1509,Trigger)</f>
        <v>49723</v>
      </c>
      <c r="AA1509" s="172">
        <v>1.0771911760173265E-2</v>
      </c>
      <c r="AB1509" s="169">
        <v>1.0751920507283685E-2</v>
      </c>
    </row>
    <row r="1510" spans="20:28" x14ac:dyDescent="0.2">
      <c r="T1510" s="130"/>
      <c r="U1510" s="151"/>
      <c r="X1510" s="170" t="str">
        <f t="shared" si="32"/>
        <v>1w</v>
      </c>
      <c r="Y1510" s="168">
        <f>_xll.qlCalendarAdvance(LiborCalendar,Y1509,X1510,"f",FALSE)</f>
        <v>49726</v>
      </c>
      <c r="Z1510" s="171">
        <f>_xll.qlInterestRateIndexValueDate(IborIndex,Y1510,Trigger)</f>
        <v>49730</v>
      </c>
      <c r="AA1510" s="172">
        <v>1.0772910478549129E-2</v>
      </c>
      <c r="AB1510" s="169">
        <v>1.0752884040137189E-2</v>
      </c>
    </row>
    <row r="1511" spans="20:28" x14ac:dyDescent="0.2">
      <c r="T1511" s="130"/>
      <c r="U1511" s="151"/>
      <c r="X1511" s="170" t="str">
        <f t="shared" si="32"/>
        <v>1w</v>
      </c>
      <c r="Y1511" s="168">
        <f>_xll.qlCalendarAdvance(LiborCalendar,Y1510,X1511,"f",FALSE)</f>
        <v>49733</v>
      </c>
      <c r="Z1511" s="171">
        <f>_xll.qlInterestRateIndexValueDate(IborIndex,Y1511,Trigger)</f>
        <v>49737</v>
      </c>
      <c r="AA1511" s="172">
        <v>1.0773667506216639E-2</v>
      </c>
      <c r="AB1511" s="169">
        <v>1.0753819764834915E-2</v>
      </c>
    </row>
    <row r="1512" spans="20:28" x14ac:dyDescent="0.2">
      <c r="T1512" s="130"/>
      <c r="U1512" s="151"/>
      <c r="X1512" s="170" t="str">
        <f t="shared" si="32"/>
        <v>1w</v>
      </c>
      <c r="Y1512" s="168">
        <f>_xll.qlCalendarAdvance(LiborCalendar,Y1511,X1512,"f",FALSE)</f>
        <v>49740</v>
      </c>
      <c r="Z1512" s="171">
        <f>_xll.qlInterestRateIndexValueDate(IborIndex,Y1512,Trigger)</f>
        <v>49744</v>
      </c>
      <c r="AA1512" s="172">
        <v>1.0774396650141007E-2</v>
      </c>
      <c r="AB1512" s="169">
        <v>1.0754727681376863E-2</v>
      </c>
    </row>
    <row r="1513" spans="20:28" x14ac:dyDescent="0.2">
      <c r="T1513" s="130"/>
      <c r="U1513" s="151"/>
      <c r="X1513" s="170" t="str">
        <f t="shared" si="32"/>
        <v>1w</v>
      </c>
      <c r="Y1513" s="168">
        <f>_xll.qlCalendarAdvance(LiborCalendar,Y1512,X1513,"f",FALSE)</f>
        <v>49747</v>
      </c>
      <c r="Z1513" s="171">
        <f>_xll.qlInterestRateIndexValueDate(IborIndex,Y1513,Trigger)</f>
        <v>49751</v>
      </c>
      <c r="AA1513" s="172">
        <v>1.0775097910309202E-2</v>
      </c>
      <c r="AB1513" s="169">
        <v>1.0755607789763033E-2</v>
      </c>
    </row>
    <row r="1514" spans="20:28" x14ac:dyDescent="0.2">
      <c r="T1514" s="130"/>
      <c r="U1514" s="151"/>
      <c r="X1514" s="170" t="str">
        <f t="shared" si="32"/>
        <v>1w</v>
      </c>
      <c r="Y1514" s="168">
        <f>_xll.qlCalendarAdvance(LiborCalendar,Y1513,X1514,"f",FALSE)</f>
        <v>49754</v>
      </c>
      <c r="Z1514" s="171">
        <f>_xll.qlInterestRateIndexValueDate(IborIndex,Y1514,Trigger)</f>
        <v>49758</v>
      </c>
      <c r="AA1514" s="172">
        <v>1.0775771286704715E-2</v>
      </c>
      <c r="AB1514" s="169">
        <v>1.0756460089993425E-2</v>
      </c>
    </row>
    <row r="1515" spans="20:28" x14ac:dyDescent="0.2">
      <c r="T1515" s="130"/>
      <c r="U1515" s="151"/>
      <c r="X1515" s="170" t="str">
        <f t="shared" si="32"/>
        <v>1w</v>
      </c>
      <c r="Y1515" s="168">
        <f>_xll.qlCalendarAdvance(LiborCalendar,Y1514,X1515,"f",FALSE)</f>
        <v>49761</v>
      </c>
      <c r="Z1515" s="171">
        <f>_xll.qlInterestRateIndexValueDate(IborIndex,Y1515,Trigger)</f>
        <v>49765</v>
      </c>
      <c r="AA1515" s="172">
        <v>1.077621479390831E-2</v>
      </c>
      <c r="AB1515" s="169">
        <v>1.0757284582147975E-2</v>
      </c>
    </row>
    <row r="1516" spans="20:28" x14ac:dyDescent="0.2">
      <c r="T1516" s="130"/>
      <c r="U1516" s="151"/>
      <c r="X1516" s="170" t="str">
        <f t="shared" si="32"/>
        <v>1w</v>
      </c>
      <c r="Y1516" s="168">
        <f>_xll.qlCalendarAdvance(LiborCalendar,Y1515,X1516,"f",FALSE)</f>
        <v>49768</v>
      </c>
      <c r="Z1516" s="171">
        <f>_xll.qlInterestRateIndexValueDate(IborIndex,Y1516,Trigger)</f>
        <v>49772</v>
      </c>
      <c r="AA1516" s="172">
        <v>1.0776834375896662E-2</v>
      </c>
      <c r="AB1516" s="169">
        <v>1.075808126606681E-2</v>
      </c>
    </row>
    <row r="1517" spans="20:28" x14ac:dyDescent="0.2">
      <c r="T1517" s="130"/>
      <c r="U1517" s="151"/>
      <c r="X1517" s="170" t="str">
        <f t="shared" si="32"/>
        <v>1w</v>
      </c>
      <c r="Y1517" s="168">
        <f>_xll.qlCalendarAdvance(LiborCalendar,Y1516,X1517,"f",FALSE)</f>
        <v>49775</v>
      </c>
      <c r="Z1517" s="171">
        <f>_xll.qlInterestRateIndexValueDate(IborIndex,Y1517,Trigger)</f>
        <v>49781</v>
      </c>
      <c r="AA1517" s="172">
        <v>1.0777590010400202E-2</v>
      </c>
      <c r="AB1517" s="169">
        <v>1.0759064712990707E-2</v>
      </c>
    </row>
    <row r="1518" spans="20:28" x14ac:dyDescent="0.2">
      <c r="T1518" s="130"/>
      <c r="U1518" s="151"/>
      <c r="X1518" s="170" t="str">
        <f t="shared" si="32"/>
        <v>1w</v>
      </c>
      <c r="Y1518" s="168">
        <f>_xll.qlCalendarAdvance(LiborCalendar,Y1517,X1518,"f",FALSE)</f>
        <v>49782</v>
      </c>
      <c r="Z1518" s="171">
        <f>_xll.qlInterestRateIndexValueDate(IborIndex,Y1518,Trigger)</f>
        <v>49786</v>
      </c>
      <c r="AA1518" s="172">
        <v>1.0777989890922744E-2</v>
      </c>
      <c r="AB1518" s="169">
        <v>1.0759591209517083E-2</v>
      </c>
    </row>
    <row r="1519" spans="20:28" x14ac:dyDescent="0.2">
      <c r="T1519" s="130"/>
      <c r="U1519" s="151"/>
      <c r="X1519" s="170" t="str">
        <f t="shared" si="32"/>
        <v>1w</v>
      </c>
      <c r="Y1519" s="168">
        <f>_xll.qlCalendarAdvance(LiborCalendar,Y1518,X1519,"f",FALSE)</f>
        <v>49789</v>
      </c>
      <c r="Z1519" s="171">
        <f>_xll.qlInterestRateIndexValueDate(IborIndex,Y1519,Trigger)</f>
        <v>49793</v>
      </c>
      <c r="AA1519" s="172">
        <v>1.0778525823934997E-2</v>
      </c>
      <c r="AB1519" s="169">
        <v>1.0760304468968585E-2</v>
      </c>
    </row>
    <row r="1520" spans="20:28" x14ac:dyDescent="0.2">
      <c r="T1520" s="130"/>
      <c r="U1520" s="151"/>
      <c r="X1520" s="170" t="str">
        <f t="shared" si="32"/>
        <v>1w</v>
      </c>
      <c r="Y1520" s="168">
        <f>_xll.qlCalendarAdvance(LiborCalendar,Y1519,X1520,"f",FALSE)</f>
        <v>49796</v>
      </c>
      <c r="Z1520" s="171">
        <f>_xll.qlInterestRateIndexValueDate(IborIndex,Y1520,Trigger)</f>
        <v>49801</v>
      </c>
      <c r="AA1520" s="172">
        <v>1.0779296005087965E-2</v>
      </c>
      <c r="AB1520" s="169">
        <v>1.0761085571910911E-2</v>
      </c>
    </row>
    <row r="1521" spans="20:28" x14ac:dyDescent="0.2">
      <c r="T1521" s="130"/>
      <c r="U1521" s="151"/>
      <c r="X1521" s="170" t="str">
        <f t="shared" si="32"/>
        <v>1w</v>
      </c>
      <c r="Y1521" s="168">
        <f>_xll.qlCalendarAdvance(LiborCalendar,Y1520,X1521,"f",FALSE)</f>
        <v>49803</v>
      </c>
      <c r="Z1521" s="171">
        <f>_xll.qlInterestRateIndexValueDate(IborIndex,Y1521,Trigger)</f>
        <v>49807</v>
      </c>
      <c r="AA1521" s="172">
        <v>1.0779704174733874E-2</v>
      </c>
      <c r="AB1521" s="169">
        <v>1.0761647563564125E-2</v>
      </c>
    </row>
    <row r="1522" spans="20:28" x14ac:dyDescent="0.2">
      <c r="T1522" s="130"/>
      <c r="U1522" s="151"/>
      <c r="X1522" s="170" t="str">
        <f t="shared" si="32"/>
        <v>1w</v>
      </c>
      <c r="Y1522" s="168">
        <f>_xll.qlCalendarAdvance(LiborCalendar,Y1521,X1522,"f",FALSE)</f>
        <v>49810</v>
      </c>
      <c r="Z1522" s="171">
        <f>_xll.qlInterestRateIndexValueDate(IborIndex,Y1522,Trigger)</f>
        <v>49814</v>
      </c>
      <c r="AA1522" s="172">
        <v>1.0780154480487429E-2</v>
      </c>
      <c r="AB1522" s="169">
        <v>1.0762277398548292E-2</v>
      </c>
    </row>
    <row r="1523" spans="20:28" x14ac:dyDescent="0.2">
      <c r="T1523" s="130"/>
      <c r="U1523" s="151"/>
      <c r="X1523" s="170" t="str">
        <f t="shared" si="32"/>
        <v>1w</v>
      </c>
      <c r="Y1523" s="168">
        <f>_xll.qlCalendarAdvance(LiborCalendar,Y1522,X1523,"f",FALSE)</f>
        <v>49817</v>
      </c>
      <c r="Z1523" s="171">
        <f>_xll.qlInterestRateIndexValueDate(IborIndex,Y1523,Trigger)</f>
        <v>49822</v>
      </c>
      <c r="AA1523" s="172">
        <v>1.0780634972108703E-2</v>
      </c>
      <c r="AB1523" s="169">
        <v>1.0762963159276495E-2</v>
      </c>
    </row>
    <row r="1524" spans="20:28" x14ac:dyDescent="0.2">
      <c r="T1524" s="130"/>
      <c r="U1524" s="151"/>
      <c r="X1524" s="170" t="str">
        <f t="shared" si="32"/>
        <v>1w</v>
      </c>
      <c r="Y1524" s="168">
        <f>_xll.qlCalendarAdvance(LiborCalendar,Y1523,X1524,"f",FALSE)</f>
        <v>49824</v>
      </c>
      <c r="Z1524" s="171">
        <f>_xll.qlInterestRateIndexValueDate(IborIndex,Y1524,Trigger)</f>
        <v>49829</v>
      </c>
      <c r="AA1524" s="172">
        <v>1.0781025526680863E-2</v>
      </c>
      <c r="AB1524" s="169">
        <v>1.0763533405366843E-2</v>
      </c>
    </row>
    <row r="1525" spans="20:28" x14ac:dyDescent="0.2">
      <c r="T1525" s="130"/>
      <c r="U1525" s="151"/>
      <c r="X1525" s="170" t="str">
        <f t="shared" si="32"/>
        <v>1w</v>
      </c>
      <c r="Y1525" s="168">
        <f>_xll.qlCalendarAdvance(LiborCalendar,Y1524,X1525,"f",FALSE)</f>
        <v>49831</v>
      </c>
      <c r="Z1525" s="171">
        <f>_xll.qlInterestRateIndexValueDate(IborIndex,Y1525,Trigger)</f>
        <v>49835</v>
      </c>
      <c r="AA1525" s="172">
        <v>1.0781338094436021E-2</v>
      </c>
      <c r="AB1525" s="169">
        <v>1.0764000054805933E-2</v>
      </c>
    </row>
    <row r="1526" spans="20:28" x14ac:dyDescent="0.2">
      <c r="T1526" s="130"/>
      <c r="U1526" s="151"/>
      <c r="X1526" s="170" t="str">
        <f t="shared" si="32"/>
        <v>1w</v>
      </c>
      <c r="Y1526" s="168">
        <f>_xll.qlCalendarAdvance(LiborCalendar,Y1525,X1526,"f",FALSE)</f>
        <v>49838</v>
      </c>
      <c r="Z1526" s="171">
        <f>_xll.qlInterestRateIndexValueDate(IborIndex,Y1526,Trigger)</f>
        <v>49842</v>
      </c>
      <c r="AA1526" s="172">
        <v>1.07816768646201E-2</v>
      </c>
      <c r="AB1526" s="169">
        <v>1.0764518657246924E-2</v>
      </c>
    </row>
    <row r="1527" spans="20:28" x14ac:dyDescent="0.2">
      <c r="T1527" s="130"/>
      <c r="U1527" s="151"/>
      <c r="X1527" s="170" t="str">
        <f t="shared" si="32"/>
        <v>1w</v>
      </c>
      <c r="Y1527" s="168">
        <f>_xll.qlCalendarAdvance(LiborCalendar,Y1526,X1527,"f",FALSE)</f>
        <v>49845</v>
      </c>
      <c r="Z1527" s="171">
        <f>_xll.qlInterestRateIndexValueDate(IborIndex,Y1527,Trigger)</f>
        <v>49849</v>
      </c>
      <c r="AA1527" s="172">
        <v>1.078198775089074E-2</v>
      </c>
      <c r="AB1527" s="169">
        <v>1.0765009451452201E-2</v>
      </c>
    </row>
    <row r="1528" spans="20:28" x14ac:dyDescent="0.2">
      <c r="T1528" s="130"/>
      <c r="U1528" s="151"/>
      <c r="X1528" s="170" t="str">
        <f t="shared" si="32"/>
        <v>1w</v>
      </c>
      <c r="Y1528" s="168">
        <f>_xll.qlCalendarAdvance(LiborCalendar,Y1527,X1528,"f",FALSE)</f>
        <v>49852</v>
      </c>
      <c r="Z1528" s="171">
        <f>_xll.qlInterestRateIndexValueDate(IborIndex,Y1528,Trigger)</f>
        <v>49856</v>
      </c>
      <c r="AA1528" s="172">
        <v>1.0782270753243596E-2</v>
      </c>
      <c r="AB1528" s="169">
        <v>1.0765472437661572E-2</v>
      </c>
    </row>
    <row r="1529" spans="20:28" x14ac:dyDescent="0.2">
      <c r="T1529" s="130"/>
      <c r="U1529" s="151"/>
      <c r="X1529" s="170" t="str">
        <f t="shared" si="32"/>
        <v>1w</v>
      </c>
      <c r="Y1529" s="168">
        <f>_xll.qlCalendarAdvance(LiborCalendar,Y1528,X1529,"f",FALSE)</f>
        <v>49859</v>
      </c>
      <c r="Z1529" s="171">
        <f>_xll.qlInterestRateIndexValueDate(IborIndex,Y1529,Trigger)</f>
        <v>49863</v>
      </c>
      <c r="AA1529" s="172">
        <v>1.0782525871671719E-2</v>
      </c>
      <c r="AB1529" s="169">
        <v>1.0765907615635228E-2</v>
      </c>
    </row>
    <row r="1530" spans="20:28" x14ac:dyDescent="0.2">
      <c r="T1530" s="130"/>
      <c r="U1530" s="151"/>
      <c r="X1530" s="170" t="str">
        <f t="shared" si="32"/>
        <v>1w</v>
      </c>
      <c r="Y1530" s="168">
        <f>_xll.qlCalendarAdvance(LiborCalendar,Y1529,X1530,"f",FALSE)</f>
        <v>49866</v>
      </c>
      <c r="Z1530" s="171">
        <f>_xll.qlInterestRateIndexValueDate(IborIndex,Y1530,Trigger)</f>
        <v>49870</v>
      </c>
      <c r="AA1530" s="172">
        <v>1.0782753106168155E-2</v>
      </c>
      <c r="AB1530" s="169">
        <v>1.0766314985453107E-2</v>
      </c>
    </row>
    <row r="1531" spans="20:28" x14ac:dyDescent="0.2">
      <c r="T1531" s="130"/>
      <c r="U1531" s="151"/>
      <c r="X1531" s="170" t="str">
        <f t="shared" si="32"/>
        <v>1w</v>
      </c>
      <c r="Y1531" s="168">
        <f>_xll.qlCalendarAdvance(LiborCalendar,Y1530,X1531,"f",FALSE)</f>
        <v>49873</v>
      </c>
      <c r="Z1531" s="171">
        <f>_xll.qlInterestRateIndexValueDate(IborIndex,Y1531,Trigger)</f>
        <v>49877</v>
      </c>
      <c r="AA1531" s="172">
        <v>1.0782952456731169E-2</v>
      </c>
      <c r="AB1531" s="169">
        <v>1.0766694547195144E-2</v>
      </c>
    </row>
    <row r="1532" spans="20:28" x14ac:dyDescent="0.2">
      <c r="T1532" s="130"/>
      <c r="U1532" s="151"/>
      <c r="X1532" s="170" t="str">
        <f t="shared" si="32"/>
        <v>1w</v>
      </c>
      <c r="Y1532" s="168">
        <f>_xll.qlCalendarAdvance(LiborCalendar,Y1531,X1532,"f",FALSE)</f>
        <v>49880</v>
      </c>
      <c r="Z1532" s="171">
        <f>_xll.qlInterestRateIndexValueDate(IborIndex,Y1532,Trigger)</f>
        <v>49884</v>
      </c>
      <c r="AA1532" s="172">
        <v>1.0783123923353809E-2</v>
      </c>
      <c r="AB1532" s="169">
        <v>1.076704630062153E-2</v>
      </c>
    </row>
    <row r="1533" spans="20:28" x14ac:dyDescent="0.2">
      <c r="T1533" s="130"/>
      <c r="U1533" s="151"/>
      <c r="X1533" s="170" t="str">
        <f t="shared" si="32"/>
        <v>1w</v>
      </c>
      <c r="Y1533" s="168">
        <f>_xll.qlCalendarAdvance(LiborCalendar,Y1532,X1533,"f",FALSE)</f>
        <v>49887</v>
      </c>
      <c r="Z1533" s="171">
        <f>_xll.qlInterestRateIndexValueDate(IborIndex,Y1533,Trigger)</f>
        <v>49891</v>
      </c>
      <c r="AA1533" s="172">
        <v>1.0783267506034335E-2</v>
      </c>
      <c r="AB1533" s="169">
        <v>1.076737024605201E-2</v>
      </c>
    </row>
    <row r="1534" spans="20:28" x14ac:dyDescent="0.2">
      <c r="T1534" s="130"/>
      <c r="U1534" s="151"/>
      <c r="X1534" s="170" t="str">
        <f t="shared" si="32"/>
        <v>1w</v>
      </c>
      <c r="Y1534" s="168">
        <f>_xll.qlCalendarAdvance(LiborCalendar,Y1533,X1534,"f",FALSE)</f>
        <v>49894</v>
      </c>
      <c r="Z1534" s="171">
        <f>_xll.qlInterestRateIndexValueDate(IborIndex,Y1534,Trigger)</f>
        <v>49898</v>
      </c>
      <c r="AA1534" s="172">
        <v>1.0783383204767539E-2</v>
      </c>
      <c r="AB1534" s="169">
        <v>1.0767666383246777E-2</v>
      </c>
    </row>
    <row r="1535" spans="20:28" x14ac:dyDescent="0.2">
      <c r="T1535" s="130"/>
      <c r="U1535" s="151"/>
      <c r="X1535" s="170" t="str">
        <f t="shared" si="32"/>
        <v>1w</v>
      </c>
      <c r="Y1535" s="168">
        <f>_xll.qlCalendarAdvance(LiborCalendar,Y1534,X1535,"f",FALSE)</f>
        <v>49901</v>
      </c>
      <c r="Z1535" s="171">
        <f>_xll.qlInterestRateIndexValueDate(IborIndex,Y1535,Trigger)</f>
        <v>49905</v>
      </c>
      <c r="AA1535" s="172">
        <v>1.0783471019553416E-2</v>
      </c>
      <c r="AB1535" s="169">
        <v>1.0767934712365701E-2</v>
      </c>
    </row>
    <row r="1536" spans="20:28" x14ac:dyDescent="0.2">
      <c r="T1536" s="130"/>
      <c r="U1536" s="151"/>
      <c r="X1536" s="170" t="str">
        <f t="shared" si="32"/>
        <v>1w</v>
      </c>
      <c r="Y1536" s="168">
        <f>_xll.qlCalendarAdvance(LiborCalendar,Y1535,X1536,"f",FALSE)</f>
        <v>49908</v>
      </c>
      <c r="Z1536" s="171">
        <f>_xll.qlInterestRateIndexValueDate(IborIndex,Y1536,Trigger)</f>
        <v>49913</v>
      </c>
      <c r="AA1536" s="172">
        <v>1.0783537235695551E-2</v>
      </c>
      <c r="AB1536" s="169">
        <v>1.0768207323339496E-2</v>
      </c>
    </row>
    <row r="1537" spans="20:28" x14ac:dyDescent="0.2">
      <c r="T1537" s="130"/>
      <c r="U1537" s="151"/>
      <c r="X1537" s="170" t="str">
        <f t="shared" si="32"/>
        <v>1w</v>
      </c>
      <c r="Y1537" s="168">
        <f>_xll.qlCalendarAdvance(LiborCalendar,Y1536,X1537,"f",FALSE)</f>
        <v>49915</v>
      </c>
      <c r="Z1537" s="171">
        <f>_xll.qlInterestRateIndexValueDate(IborIndex,Y1537,Trigger)</f>
        <v>49919</v>
      </c>
      <c r="AA1537" s="172">
        <v>1.0783404614427479E-2</v>
      </c>
      <c r="AB1537" s="169">
        <v>1.0768387945976343E-2</v>
      </c>
    </row>
    <row r="1538" spans="20:28" x14ac:dyDescent="0.2">
      <c r="T1538" s="130"/>
      <c r="U1538" s="151"/>
      <c r="X1538" s="170" t="str">
        <f t="shared" si="32"/>
        <v>1w</v>
      </c>
      <c r="Y1538" s="168">
        <f>_xll.qlCalendarAdvance(LiborCalendar,Y1537,X1538,"f",FALSE)</f>
        <v>49922</v>
      </c>
      <c r="Z1538" s="171">
        <f>_xll.qlInterestRateIndexValueDate(IborIndex,Y1538,Trigger)</f>
        <v>49926</v>
      </c>
      <c r="AA1538" s="172">
        <v>1.0783410768885521E-2</v>
      </c>
      <c r="AB1538" s="169">
        <v>1.0768572850627933E-2</v>
      </c>
    </row>
    <row r="1539" spans="20:28" x14ac:dyDescent="0.2">
      <c r="T1539" s="130"/>
      <c r="U1539" s="151"/>
      <c r="X1539" s="170" t="str">
        <f t="shared" si="32"/>
        <v>1w</v>
      </c>
      <c r="Y1539" s="168">
        <f>_xll.qlCalendarAdvance(LiborCalendar,Y1538,X1539,"f",FALSE)</f>
        <v>49929</v>
      </c>
      <c r="Z1539" s="171">
        <f>_xll.qlInterestRateIndexValueDate(IborIndex,Y1539,Trigger)</f>
        <v>49933</v>
      </c>
      <c r="AA1539" s="172">
        <v>1.0783389040224453E-2</v>
      </c>
      <c r="AB1539" s="169">
        <v>1.0768729947043809E-2</v>
      </c>
    </row>
    <row r="1540" spans="20:28" x14ac:dyDescent="0.2">
      <c r="T1540" s="130"/>
      <c r="U1540" s="151"/>
      <c r="X1540" s="170" t="str">
        <f t="shared" si="32"/>
        <v>1w</v>
      </c>
      <c r="Y1540" s="168">
        <f>_xll.qlCalendarAdvance(LiborCalendar,Y1539,X1540,"f",FALSE)</f>
        <v>49936</v>
      </c>
      <c r="Z1540" s="171">
        <f>_xll.qlInterestRateIndexValueDate(IborIndex,Y1540,Trigger)</f>
        <v>49940</v>
      </c>
      <c r="AA1540" s="172">
        <v>1.0783339428446032E-2</v>
      </c>
      <c r="AB1540" s="169">
        <v>1.0768859235383843E-2</v>
      </c>
    </row>
    <row r="1541" spans="20:28" x14ac:dyDescent="0.2">
      <c r="T1541" s="130"/>
      <c r="U1541" s="151"/>
      <c r="X1541" s="170" t="str">
        <f t="shared" si="32"/>
        <v>1w</v>
      </c>
      <c r="Y1541" s="168">
        <f>_xll.qlCalendarAdvance(LiborCalendar,Y1540,X1541,"f",FALSE)</f>
        <v>49943</v>
      </c>
      <c r="Z1541" s="171">
        <f>_xll.qlInterestRateIndexValueDate(IborIndex,Y1541,Trigger)</f>
        <v>49947</v>
      </c>
      <c r="AA1541" s="172">
        <v>1.0783261933549377E-2</v>
      </c>
      <c r="AB1541" s="169">
        <v>1.0768960715488163E-2</v>
      </c>
    </row>
    <row r="1542" spans="20:28" x14ac:dyDescent="0.2">
      <c r="T1542" s="130"/>
      <c r="U1542" s="151"/>
      <c r="X1542" s="170" t="str">
        <f t="shared" si="32"/>
        <v>1w</v>
      </c>
      <c r="Y1542" s="168">
        <f>_xll.qlCalendarAdvance(LiborCalendar,Y1541,X1542,"f",FALSE)</f>
        <v>49950</v>
      </c>
      <c r="Z1542" s="171">
        <f>_xll.qlInterestRateIndexValueDate(IborIndex,Y1542,Trigger)</f>
        <v>49954</v>
      </c>
      <c r="AA1542" s="172">
        <v>1.0783304972409556E-2</v>
      </c>
      <c r="AB1542" s="169">
        <v>1.0769034387516641E-2</v>
      </c>
    </row>
    <row r="1543" spans="20:28" x14ac:dyDescent="0.2">
      <c r="T1543" s="130"/>
      <c r="U1543" s="151"/>
      <c r="X1543" s="170" t="str">
        <f t="shared" si="32"/>
        <v>1w</v>
      </c>
      <c r="Y1543" s="168">
        <f>_xll.qlCalendarAdvance(LiborCalendar,Y1542,X1543,"f",FALSE)</f>
        <v>49957</v>
      </c>
      <c r="Z1543" s="171">
        <f>_xll.qlInterestRateIndexValueDate(IborIndex,Y1543,Trigger)</f>
        <v>49961</v>
      </c>
      <c r="AA1543" s="172">
        <v>1.078316971558816E-2</v>
      </c>
      <c r="AB1543" s="169">
        <v>1.0769080251309404E-2</v>
      </c>
    </row>
    <row r="1544" spans="20:28" x14ac:dyDescent="0.2">
      <c r="T1544" s="130"/>
      <c r="U1544" s="151"/>
      <c r="X1544" s="170" t="str">
        <f t="shared" si="32"/>
        <v>1w</v>
      </c>
      <c r="Y1544" s="168">
        <f>_xll.qlCalendarAdvance(LiborCalendar,Y1543,X1544,"f",FALSE)</f>
        <v>49964</v>
      </c>
      <c r="Z1544" s="171">
        <f>_xll.qlInterestRateIndexValueDate(IborIndex,Y1544,Trigger)</f>
        <v>49968</v>
      </c>
      <c r="AA1544" s="172">
        <v>1.0783006574824653E-2</v>
      </c>
      <c r="AB1544" s="169">
        <v>1.0769098307026326E-2</v>
      </c>
    </row>
    <row r="1545" spans="20:28" x14ac:dyDescent="0.2">
      <c r="T1545" s="130"/>
      <c r="U1545" s="151"/>
      <c r="X1545" s="170" t="str">
        <f t="shared" si="32"/>
        <v>1w</v>
      </c>
      <c r="Y1545" s="168">
        <f>_xll.qlCalendarAdvance(LiborCalendar,Y1544,X1545,"f",FALSE)</f>
        <v>49971</v>
      </c>
      <c r="Z1545" s="171">
        <f>_xll.qlInterestRateIndexValueDate(IborIndex,Y1545,Trigger)</f>
        <v>49975</v>
      </c>
      <c r="AA1545" s="172">
        <v>1.0782815550119035E-2</v>
      </c>
      <c r="AB1545" s="169">
        <v>1.0769088554587469E-2</v>
      </c>
    </row>
    <row r="1546" spans="20:28" x14ac:dyDescent="0.2">
      <c r="T1546" s="130"/>
      <c r="U1546" s="151"/>
      <c r="X1546" s="170" t="str">
        <f t="shared" si="32"/>
        <v>1w</v>
      </c>
      <c r="Y1546" s="168">
        <f>_xll.qlCalendarAdvance(LiborCalendar,Y1545,X1546,"f",FALSE)</f>
        <v>49978</v>
      </c>
      <c r="Z1546" s="171">
        <f>_xll.qlInterestRateIndexValueDate(IborIndex,Y1546,Trigger)</f>
        <v>49982</v>
      </c>
      <c r="AA1546" s="172">
        <v>1.0782596641478254E-2</v>
      </c>
      <c r="AB1546" s="169">
        <v>1.0769050993992835E-2</v>
      </c>
    </row>
    <row r="1547" spans="20:28" x14ac:dyDescent="0.2">
      <c r="T1547" s="130"/>
      <c r="U1547" s="151"/>
      <c r="X1547" s="170" t="str">
        <f t="shared" si="32"/>
        <v>1w</v>
      </c>
      <c r="Y1547" s="168">
        <f>_xll.qlCalendarAdvance(LiborCalendar,Y1546,X1547,"f",FALSE)</f>
        <v>49985</v>
      </c>
      <c r="Z1547" s="171">
        <f>_xll.qlInterestRateIndexValueDate(IborIndex,Y1547,Trigger)</f>
        <v>49989</v>
      </c>
      <c r="AA1547" s="172">
        <v>1.078234984890492E-2</v>
      </c>
      <c r="AB1547" s="169">
        <v>1.0768985625162486E-2</v>
      </c>
    </row>
    <row r="1548" spans="20:28" x14ac:dyDescent="0.2">
      <c r="T1548" s="130"/>
      <c r="U1548" s="151"/>
      <c r="X1548" s="170" t="str">
        <f t="shared" si="32"/>
        <v>1w</v>
      </c>
      <c r="Y1548" s="168">
        <f>_xll.qlCalendarAdvance(LiborCalendar,Y1547,X1548,"f",FALSE)</f>
        <v>49992</v>
      </c>
      <c r="Z1548" s="171">
        <f>_xll.qlInterestRateIndexValueDate(IborIndex,Y1548,Trigger)</f>
        <v>49996</v>
      </c>
      <c r="AA1548" s="172">
        <v>1.0782075172405115E-2</v>
      </c>
      <c r="AB1548" s="169">
        <v>1.0768892448256295E-2</v>
      </c>
    </row>
    <row r="1549" spans="20:28" x14ac:dyDescent="0.2">
      <c r="T1549" s="130"/>
      <c r="U1549" s="151"/>
      <c r="X1549" s="170" t="str">
        <f t="shared" si="32"/>
        <v>1w</v>
      </c>
      <c r="Y1549" s="168">
        <f>_xll.qlCalendarAdvance(LiborCalendar,Y1548,X1549,"f",FALSE)</f>
        <v>49999</v>
      </c>
      <c r="Z1549" s="171">
        <f>_xll.qlInterestRateIndexValueDate(IborIndex,Y1549,Trigger)</f>
        <v>50003</v>
      </c>
      <c r="AA1549" s="172">
        <v>1.078177261198492E-2</v>
      </c>
      <c r="AB1549" s="169">
        <v>1.0768771463194327E-2</v>
      </c>
    </row>
    <row r="1550" spans="20:28" x14ac:dyDescent="0.2">
      <c r="T1550" s="130"/>
      <c r="U1550" s="151"/>
      <c r="X1550" s="170" t="str">
        <f t="shared" si="32"/>
        <v>1w</v>
      </c>
      <c r="Y1550" s="168">
        <f>_xll.qlCalendarAdvance(LiborCalendar,Y1549,X1550,"f",FALSE)</f>
        <v>50006</v>
      </c>
      <c r="Z1550" s="171">
        <f>_xll.qlInterestRateIndexValueDate(IborIndex,Y1550,Trigger)</f>
        <v>50010</v>
      </c>
      <c r="AA1550" s="172">
        <v>1.078130973969138E-2</v>
      </c>
      <c r="AB1550" s="169">
        <v>1.076862266997658E-2</v>
      </c>
    </row>
    <row r="1551" spans="20:28" x14ac:dyDescent="0.2">
      <c r="T1551" s="130"/>
      <c r="U1551" s="151"/>
      <c r="X1551" s="170" t="str">
        <f t="shared" si="32"/>
        <v>1w</v>
      </c>
      <c r="Y1551" s="168">
        <f>_xll.qlCalendarAdvance(LiborCalendar,Y1550,X1551,"f",FALSE)</f>
        <v>50013</v>
      </c>
      <c r="Z1551" s="171">
        <f>_xll.qlInterestRateIndexValueDate(IborIndex,Y1551,Trigger)</f>
        <v>50017</v>
      </c>
      <c r="AA1551" s="172">
        <v>1.0780953413813566E-2</v>
      </c>
      <c r="AB1551" s="169">
        <v>1.0768446068603055E-2</v>
      </c>
    </row>
    <row r="1552" spans="20:28" x14ac:dyDescent="0.2">
      <c r="T1552" s="130"/>
      <c r="U1552" s="151"/>
      <c r="X1552" s="170" t="str">
        <f t="shared" si="32"/>
        <v>1w</v>
      </c>
      <c r="Y1552" s="168">
        <f>_xll.qlCalendarAdvance(LiborCalendar,Y1551,X1552,"f",FALSE)</f>
        <v>50020</v>
      </c>
      <c r="Z1552" s="171">
        <f>_xll.qlInterestRateIndexValueDate(IborIndex,Y1552,Trigger)</f>
        <v>50024</v>
      </c>
      <c r="AA1552" s="172">
        <v>1.0780569204868468E-2</v>
      </c>
      <c r="AB1552" s="169">
        <v>1.0768241659073752E-2</v>
      </c>
    </row>
    <row r="1553" spans="20:28" x14ac:dyDescent="0.2">
      <c r="T1553" s="130"/>
      <c r="U1553" s="151"/>
      <c r="X1553" s="170" t="str">
        <f t="shared" si="32"/>
        <v>1w</v>
      </c>
      <c r="Y1553" s="168">
        <f>_xll.qlCalendarAdvance(LiborCalendar,Y1552,X1553,"f",FALSE)</f>
        <v>50027</v>
      </c>
      <c r="Z1553" s="171">
        <f>_xll.qlInterestRateIndexValueDate(IborIndex,Y1553,Trigger)</f>
        <v>50031</v>
      </c>
      <c r="AA1553" s="172">
        <v>1.0780157112865748E-2</v>
      </c>
      <c r="AB1553" s="169">
        <v>1.0768009441388671E-2</v>
      </c>
    </row>
    <row r="1554" spans="20:28" x14ac:dyDescent="0.2">
      <c r="T1554" s="130"/>
      <c r="U1554" s="151"/>
      <c r="X1554" s="170" t="str">
        <f t="shared" si="32"/>
        <v>1w</v>
      </c>
      <c r="Y1554" s="168">
        <f>_xll.qlCalendarAdvance(LiborCalendar,Y1553,X1554,"f",FALSE)</f>
        <v>50038</v>
      </c>
      <c r="Z1554" s="171">
        <f>_xll.qlInterestRateIndexValueDate(IborIndex,Y1554,Trigger)</f>
        <v>50040</v>
      </c>
      <c r="AA1554" s="172">
        <v>1.0779462280047447E-2</v>
      </c>
      <c r="AB1554" s="169">
        <v>1.0767810769949371E-2</v>
      </c>
    </row>
    <row r="1555" spans="20:28" x14ac:dyDescent="0.2">
      <c r="T1555" s="130"/>
      <c r="U1555" s="151"/>
      <c r="X1555" s="170" t="str">
        <f t="shared" si="32"/>
        <v>1w</v>
      </c>
      <c r="Y1555" s="168">
        <f>_xll.qlCalendarAdvance(LiborCalendar,Y1554,X1555,"f",FALSE)</f>
        <v>50045</v>
      </c>
      <c r="Z1555" s="171">
        <f>_xll.qlInterestRateIndexValueDate(IborIndex,Y1555,Trigger)</f>
        <v>50047</v>
      </c>
      <c r="AA1555" s="172">
        <v>1.0778988461185968E-2</v>
      </c>
      <c r="AB1555" s="169">
        <v>1.0767374235660654E-2</v>
      </c>
    </row>
    <row r="1556" spans="20:28" x14ac:dyDescent="0.2">
      <c r="T1556" s="130"/>
      <c r="U1556" s="151"/>
      <c r="X1556" s="170" t="str">
        <f t="shared" si="32"/>
        <v>1w</v>
      </c>
      <c r="Y1556" s="168">
        <f>_xll.qlCalendarAdvance(LiborCalendar,Y1555,X1556,"f",FALSE)</f>
        <v>50052</v>
      </c>
      <c r="Z1556" s="171">
        <f>_xll.qlInterestRateIndexValueDate(IborIndex,Y1556,Trigger)</f>
        <v>50054</v>
      </c>
      <c r="AA1556" s="172">
        <v>1.0778486760128381E-2</v>
      </c>
      <c r="AB1556" s="169">
        <v>1.0767050648343712E-2</v>
      </c>
    </row>
    <row r="1557" spans="20:28" x14ac:dyDescent="0.2">
      <c r="T1557" s="130"/>
      <c r="U1557" s="151"/>
      <c r="X1557" s="170" t="str">
        <f t="shared" ref="X1557:X1620" si="33">X1556</f>
        <v>1w</v>
      </c>
      <c r="Y1557" s="168">
        <f>_xll.qlCalendarAdvance(LiborCalendar,Y1556,X1557,"f",FALSE)</f>
        <v>50059</v>
      </c>
      <c r="Z1557" s="171">
        <f>_xll.qlInterestRateIndexValueDate(IborIndex,Y1557,Trigger)</f>
        <v>50061</v>
      </c>
      <c r="AA1557" s="172">
        <v>1.0777957176887121E-2</v>
      </c>
      <c r="AB1557" s="169">
        <v>1.0766699252870993E-2</v>
      </c>
    </row>
    <row r="1558" spans="20:28" x14ac:dyDescent="0.2">
      <c r="T1558" s="130"/>
      <c r="U1558" s="151"/>
      <c r="X1558" s="170" t="str">
        <f t="shared" si="33"/>
        <v>1w</v>
      </c>
      <c r="Y1558" s="168">
        <f>_xll.qlCalendarAdvance(LiborCalendar,Y1557,X1558,"f",FALSE)</f>
        <v>50066</v>
      </c>
      <c r="Z1558" s="171">
        <f>_xll.qlInterestRateIndexValueDate(IborIndex,Y1558,Trigger)</f>
        <v>50068</v>
      </c>
      <c r="AA1558" s="172">
        <v>1.077739971147107E-2</v>
      </c>
      <c r="AB1558" s="169">
        <v>1.0766320049162559E-2</v>
      </c>
    </row>
    <row r="1559" spans="20:28" x14ac:dyDescent="0.2">
      <c r="T1559" s="130"/>
      <c r="U1559" s="151"/>
      <c r="X1559" s="170" t="str">
        <f t="shared" si="33"/>
        <v>1w</v>
      </c>
      <c r="Y1559" s="168">
        <f>_xll.qlCalendarAdvance(LiborCalendar,Y1558,X1559,"f",FALSE)</f>
        <v>50073</v>
      </c>
      <c r="Z1559" s="171">
        <f>_xll.qlInterestRateIndexValueDate(IborIndex,Y1559,Trigger)</f>
        <v>50075</v>
      </c>
      <c r="AA1559" s="172">
        <v>1.0776814363891773E-2</v>
      </c>
      <c r="AB1559" s="169">
        <v>1.0765913037378283E-2</v>
      </c>
    </row>
    <row r="1560" spans="20:28" x14ac:dyDescent="0.2">
      <c r="T1560" s="130"/>
      <c r="U1560" s="151"/>
      <c r="X1560" s="170" t="str">
        <f t="shared" si="33"/>
        <v>1w</v>
      </c>
      <c r="Y1560" s="168">
        <f>_xll.qlCalendarAdvance(LiborCalendar,Y1559,X1560,"f",FALSE)</f>
        <v>50080</v>
      </c>
      <c r="Z1560" s="171">
        <f>_xll.qlInterestRateIndexValueDate(IborIndex,Y1560,Trigger)</f>
        <v>50082</v>
      </c>
      <c r="AA1560" s="172">
        <v>1.0776088962895334E-2</v>
      </c>
      <c r="AB1560" s="169">
        <v>1.0765478217518165E-2</v>
      </c>
    </row>
    <row r="1561" spans="20:28" x14ac:dyDescent="0.2">
      <c r="T1561" s="130"/>
      <c r="U1561" s="151"/>
      <c r="X1561" s="170" t="str">
        <f t="shared" si="33"/>
        <v>1w</v>
      </c>
      <c r="Y1561" s="168">
        <f>_xll.qlCalendarAdvance(LiborCalendar,Y1560,X1561,"f",FALSE)</f>
        <v>50087</v>
      </c>
      <c r="Z1561" s="171">
        <f>_xll.qlInterestRateIndexValueDate(IborIndex,Y1561,Trigger)</f>
        <v>50089</v>
      </c>
      <c r="AA1561" s="172">
        <v>1.0775449861714368E-2</v>
      </c>
      <c r="AB1561" s="169">
        <v>1.0765015589342397E-2</v>
      </c>
    </row>
    <row r="1562" spans="20:28" x14ac:dyDescent="0.2">
      <c r="T1562" s="130"/>
      <c r="U1562" s="151"/>
      <c r="X1562" s="170" t="str">
        <f t="shared" si="33"/>
        <v>1w</v>
      </c>
      <c r="Y1562" s="168">
        <f>_xll.qlCalendarAdvance(LiborCalendar,Y1561,X1562,"f",FALSE)</f>
        <v>50094</v>
      </c>
      <c r="Z1562" s="171">
        <f>_xll.qlInterestRateIndexValueDate(IborIndex,Y1562,Trigger)</f>
        <v>50096</v>
      </c>
      <c r="AA1562" s="172">
        <v>1.0774891028308531E-2</v>
      </c>
      <c r="AB1562" s="169">
        <v>1.0764525153170723E-2</v>
      </c>
    </row>
    <row r="1563" spans="20:28" x14ac:dyDescent="0.2">
      <c r="T1563" s="130"/>
      <c r="U1563" s="151"/>
      <c r="X1563" s="170" t="str">
        <f t="shared" si="33"/>
        <v>1w</v>
      </c>
      <c r="Y1563" s="168">
        <f>_xll.qlCalendarAdvance(LiborCalendar,Y1562,X1563,"f",FALSE)</f>
        <v>50101</v>
      </c>
      <c r="Z1563" s="171">
        <f>_xll.qlInterestRateIndexValueDate(IborIndex,Y1563,Trigger)</f>
        <v>50103</v>
      </c>
      <c r="AA1563" s="172">
        <v>1.0774405856371568E-2</v>
      </c>
      <c r="AB1563" s="169">
        <v>1.0764006908763335E-2</v>
      </c>
    </row>
    <row r="1564" spans="20:28" x14ac:dyDescent="0.2">
      <c r="T1564" s="130"/>
      <c r="U1564" s="151"/>
      <c r="X1564" s="170" t="str">
        <f t="shared" si="33"/>
        <v>1w</v>
      </c>
      <c r="Y1564" s="168">
        <f>_xll.qlCalendarAdvance(LiborCalendar,Y1563,X1564,"f",FALSE)</f>
        <v>50108</v>
      </c>
      <c r="Z1564" s="171">
        <f>_xll.qlInterestRateIndexValueDate(IborIndex,Y1564,Trigger)</f>
        <v>50110</v>
      </c>
      <c r="AA1564" s="172">
        <v>1.0773677071461756E-2</v>
      </c>
      <c r="AB1564" s="169">
        <v>1.0763460856200169E-2</v>
      </c>
    </row>
    <row r="1565" spans="20:28" x14ac:dyDescent="0.2">
      <c r="T1565" s="130"/>
      <c r="U1565" s="151"/>
      <c r="X1565" s="170" t="str">
        <f t="shared" si="33"/>
        <v>1w</v>
      </c>
      <c r="Y1565" s="168">
        <f>_xll.qlCalendarAdvance(LiborCalendar,Y1564,X1565,"f",FALSE)</f>
        <v>50115</v>
      </c>
      <c r="Z1565" s="171">
        <f>_xll.qlInterestRateIndexValueDate(IborIndex,Y1565,Trigger)</f>
        <v>50117</v>
      </c>
      <c r="AA1565" s="172">
        <v>1.0772920402811411E-2</v>
      </c>
      <c r="AB1565" s="169">
        <v>1.0762886995481225E-2</v>
      </c>
    </row>
    <row r="1566" spans="20:28" x14ac:dyDescent="0.2">
      <c r="T1566" s="130"/>
      <c r="U1566" s="151"/>
      <c r="X1566" s="170" t="str">
        <f t="shared" si="33"/>
        <v>1w</v>
      </c>
      <c r="Y1566" s="168">
        <f>_xll.qlCalendarAdvance(LiborCalendar,Y1565,X1566,"f",FALSE)</f>
        <v>50122</v>
      </c>
      <c r="Z1566" s="171">
        <f>_xll.qlInterestRateIndexValueDate(IborIndex,Y1566,Trigger)</f>
        <v>50124</v>
      </c>
      <c r="AA1566" s="172">
        <v>1.0772135850434433E-2</v>
      </c>
      <c r="AB1566" s="169">
        <v>1.0762285326606502E-2</v>
      </c>
    </row>
    <row r="1567" spans="20:28" x14ac:dyDescent="0.2">
      <c r="T1567" s="130"/>
      <c r="U1567" s="151"/>
      <c r="X1567" s="170" t="str">
        <f t="shared" si="33"/>
        <v>1w</v>
      </c>
      <c r="Y1567" s="168">
        <f>_xll.qlCalendarAdvance(LiborCalendar,Y1566,X1567,"f",FALSE)</f>
        <v>50129</v>
      </c>
      <c r="Z1567" s="171">
        <f>_xll.qlInterestRateIndexValueDate(IborIndex,Y1567,Trigger)</f>
        <v>50131</v>
      </c>
      <c r="AA1567" s="172">
        <v>1.0771225715804697E-2</v>
      </c>
      <c r="AB1567" s="169">
        <v>1.0761655849576002E-2</v>
      </c>
    </row>
    <row r="1568" spans="20:28" x14ac:dyDescent="0.2">
      <c r="T1568" s="130"/>
      <c r="U1568" s="151"/>
      <c r="X1568" s="170" t="str">
        <f t="shared" si="33"/>
        <v>1w</v>
      </c>
      <c r="Y1568" s="168">
        <f>_xll.qlCalendarAdvance(LiborCalendar,Y1567,X1568,"f",FALSE)</f>
        <v>50137</v>
      </c>
      <c r="Z1568" s="171">
        <f>_xll.qlInterestRateIndexValueDate(IborIndex,Y1568,Trigger)</f>
        <v>50139</v>
      </c>
      <c r="AA1568" s="172">
        <v>1.0770265379038106E-2</v>
      </c>
      <c r="AB1568" s="169">
        <v>1.0760902396595995E-2</v>
      </c>
    </row>
    <row r="1569" spans="20:28" x14ac:dyDescent="0.2">
      <c r="T1569" s="130"/>
      <c r="U1569" s="151"/>
      <c r="X1569" s="170" t="str">
        <f t="shared" si="33"/>
        <v>1w</v>
      </c>
      <c r="Y1569" s="168">
        <f>_xll.qlCalendarAdvance(LiborCalendar,Y1568,X1569,"f",FALSE)</f>
        <v>50144</v>
      </c>
      <c r="Z1569" s="171">
        <f>_xll.qlInterestRateIndexValueDate(IborIndex,Y1569,Trigger)</f>
        <v>50146</v>
      </c>
      <c r="AA1569" s="172">
        <v>1.0769395209893453E-2</v>
      </c>
      <c r="AB1569" s="169">
        <v>1.0760213330671675E-2</v>
      </c>
    </row>
    <row r="1570" spans="20:28" x14ac:dyDescent="0.2">
      <c r="T1570" s="130"/>
      <c r="U1570" s="151"/>
      <c r="X1570" s="170" t="str">
        <f t="shared" si="33"/>
        <v>1w</v>
      </c>
      <c r="Y1570" s="168">
        <f>_xll.qlCalendarAdvance(LiborCalendar,Y1569,X1570,"f",FALSE)</f>
        <v>50151</v>
      </c>
      <c r="Z1570" s="171">
        <f>_xll.qlInterestRateIndexValueDate(IborIndex,Y1570,Trigger)</f>
        <v>50153</v>
      </c>
      <c r="AA1570" s="172">
        <v>1.0768497157926596E-2</v>
      </c>
      <c r="AB1570" s="169">
        <v>1.0759496456671513E-2</v>
      </c>
    </row>
    <row r="1571" spans="20:28" x14ac:dyDescent="0.2">
      <c r="T1571" s="130"/>
      <c r="U1571" s="151"/>
      <c r="X1571" s="170" t="str">
        <f t="shared" si="33"/>
        <v>1w</v>
      </c>
      <c r="Y1571" s="168">
        <f>_xll.qlCalendarAdvance(LiborCalendar,Y1570,X1571,"f",FALSE)</f>
        <v>50158</v>
      </c>
      <c r="Z1571" s="171">
        <f>_xll.qlInterestRateIndexValueDate(IborIndex,Y1571,Trigger)</f>
        <v>50160</v>
      </c>
      <c r="AA1571" s="172">
        <v>1.0767660561241291E-2</v>
      </c>
      <c r="AB1571" s="169">
        <v>1.0758751774355702E-2</v>
      </c>
    </row>
    <row r="1572" spans="20:28" x14ac:dyDescent="0.2">
      <c r="T1572" s="130"/>
      <c r="U1572" s="151"/>
      <c r="X1572" s="170" t="str">
        <f t="shared" si="33"/>
        <v>1w</v>
      </c>
      <c r="Y1572" s="168">
        <f>_xll.qlCalendarAdvance(LiborCalendar,Y1571,X1572,"f",FALSE)</f>
        <v>50165</v>
      </c>
      <c r="Z1572" s="171">
        <f>_xll.qlInterestRateIndexValueDate(IborIndex,Y1572,Trigger)</f>
        <v>50167</v>
      </c>
      <c r="AA1572" s="172">
        <v>1.0766704723511456E-2</v>
      </c>
      <c r="AB1572" s="169">
        <v>1.0757979284043984E-2</v>
      </c>
    </row>
    <row r="1573" spans="20:28" x14ac:dyDescent="0.2">
      <c r="T1573" s="130"/>
      <c r="U1573" s="151"/>
      <c r="X1573" s="170" t="str">
        <f t="shared" si="33"/>
        <v>1w</v>
      </c>
      <c r="Y1573" s="168">
        <f>_xll.qlCalendarAdvance(LiborCalendar,Y1572,X1573,"f",FALSE)</f>
        <v>50172</v>
      </c>
      <c r="Z1573" s="171">
        <f>_xll.qlInterestRateIndexValueDate(IborIndex,Y1573,Trigger)</f>
        <v>50175</v>
      </c>
      <c r="AA1573" s="172">
        <v>1.0765747637551681E-2</v>
      </c>
      <c r="AB1573" s="169">
        <v>1.0757266457126491E-2</v>
      </c>
    </row>
    <row r="1574" spans="20:28" x14ac:dyDescent="0.2">
      <c r="T1574" s="130"/>
      <c r="U1574" s="151"/>
      <c r="X1574" s="170" t="str">
        <f t="shared" si="33"/>
        <v>1w</v>
      </c>
      <c r="Y1574" s="168">
        <f>_xll.qlCalendarAdvance(LiborCalendar,Y1573,X1574,"f",FALSE)</f>
        <v>50179</v>
      </c>
      <c r="Z1574" s="171">
        <f>_xll.qlInterestRateIndexValueDate(IborIndex,Y1574,Trigger)</f>
        <v>50181</v>
      </c>
      <c r="AA1574" s="172">
        <v>1.0764709397295029E-2</v>
      </c>
      <c r="AB1574" s="169">
        <v>1.0756350878953214E-2</v>
      </c>
    </row>
    <row r="1575" spans="20:28" x14ac:dyDescent="0.2">
      <c r="T1575" s="130"/>
      <c r="U1575" s="151"/>
      <c r="X1575" s="170" t="str">
        <f t="shared" si="33"/>
        <v>1w</v>
      </c>
      <c r="Y1575" s="168">
        <f>_xll.qlCalendarAdvance(LiborCalendar,Y1574,X1575,"f",FALSE)</f>
        <v>50186</v>
      </c>
      <c r="Z1575" s="171">
        <f>_xll.qlInterestRateIndexValueDate(IborIndex,Y1575,Trigger)</f>
        <v>50188</v>
      </c>
      <c r="AA1575" s="172">
        <v>1.0763669908850143E-2</v>
      </c>
      <c r="AB1575" s="169">
        <v>1.0755494964174162E-2</v>
      </c>
    </row>
    <row r="1576" spans="20:28" x14ac:dyDescent="0.2">
      <c r="T1576" s="130"/>
      <c r="U1576" s="151"/>
      <c r="X1576" s="170" t="str">
        <f t="shared" si="33"/>
        <v>1w</v>
      </c>
      <c r="Y1576" s="168">
        <f>_xll.qlCalendarAdvance(LiborCalendar,Y1575,X1576,"f",FALSE)</f>
        <v>50193</v>
      </c>
      <c r="Z1576" s="171">
        <f>_xll.qlInterestRateIndexValueDate(IborIndex,Y1576,Trigger)</f>
        <v>50195</v>
      </c>
      <c r="AA1576" s="172">
        <v>1.0762602536876728E-2</v>
      </c>
      <c r="AB1576" s="169">
        <v>1.0754611241159395E-2</v>
      </c>
    </row>
    <row r="1577" spans="20:28" x14ac:dyDescent="0.2">
      <c r="T1577" s="130"/>
      <c r="U1577" s="151"/>
      <c r="X1577" s="170" t="str">
        <f t="shared" si="33"/>
        <v>1w</v>
      </c>
      <c r="Y1577" s="168">
        <f>_xll.qlCalendarAdvance(LiborCalendar,Y1576,X1577,"f",FALSE)</f>
        <v>50200</v>
      </c>
      <c r="Z1577" s="171">
        <f>_xll.qlInterestRateIndexValueDate(IborIndex,Y1577,Trigger)</f>
        <v>50202</v>
      </c>
      <c r="AA1577" s="172">
        <v>1.0761507281398242E-2</v>
      </c>
      <c r="AB1577" s="169">
        <v>1.0753699710148723E-2</v>
      </c>
    </row>
    <row r="1578" spans="20:28" x14ac:dyDescent="0.2">
      <c r="T1578" s="130"/>
      <c r="U1578" s="151"/>
      <c r="X1578" s="170" t="str">
        <f t="shared" si="33"/>
        <v>1w</v>
      </c>
      <c r="Y1578" s="168">
        <f>_xll.qlCalendarAdvance(LiborCalendar,Y1577,X1578,"f",FALSE)</f>
        <v>50207</v>
      </c>
      <c r="Z1578" s="171">
        <f>_xll.qlInterestRateIndexValueDate(IborIndex,Y1578,Trigger)</f>
        <v>50209</v>
      </c>
      <c r="AA1578" s="172">
        <v>1.0760384142436408E-2</v>
      </c>
      <c r="AB1578" s="169">
        <v>1.0752760370822401E-2</v>
      </c>
    </row>
    <row r="1579" spans="20:28" x14ac:dyDescent="0.2">
      <c r="T1579" s="130"/>
      <c r="U1579" s="151"/>
      <c r="X1579" s="170" t="str">
        <f t="shared" si="33"/>
        <v>1w</v>
      </c>
      <c r="Y1579" s="168">
        <f>_xll.qlCalendarAdvance(LiborCalendar,Y1578,X1579,"f",FALSE)</f>
        <v>50214</v>
      </c>
      <c r="Z1579" s="171">
        <f>_xll.qlInterestRateIndexValueDate(IborIndex,Y1579,Trigger)</f>
        <v>50216</v>
      </c>
      <c r="AA1579" s="172">
        <v>1.0759233120018162E-2</v>
      </c>
      <c r="AB1579" s="169">
        <v>1.0751793223500172E-2</v>
      </c>
    </row>
    <row r="1580" spans="20:28" x14ac:dyDescent="0.2">
      <c r="T1580" s="130"/>
      <c r="U1580" s="151"/>
      <c r="X1580" s="170" t="str">
        <f t="shared" si="33"/>
        <v>1w</v>
      </c>
      <c r="Y1580" s="168">
        <f>_xll.qlCalendarAdvance(LiborCalendar,Y1579,X1580,"f",FALSE)</f>
        <v>50221</v>
      </c>
      <c r="Z1580" s="171">
        <f>_xll.qlInterestRateIndexValueDate(IborIndex,Y1580,Trigger)</f>
        <v>50223</v>
      </c>
      <c r="AA1580" s="172">
        <v>1.0758054214165223E-2</v>
      </c>
      <c r="AB1580" s="169">
        <v>1.0750798267862294E-2</v>
      </c>
    </row>
    <row r="1581" spans="20:28" x14ac:dyDescent="0.2">
      <c r="T1581" s="130"/>
      <c r="U1581" s="151"/>
      <c r="X1581" s="170" t="str">
        <f t="shared" si="33"/>
        <v>1w</v>
      </c>
      <c r="Y1581" s="168">
        <f>_xll.qlCalendarAdvance(LiborCalendar,Y1580,X1581,"f",FALSE)</f>
        <v>50228</v>
      </c>
      <c r="Z1581" s="171">
        <f>_xll.qlInterestRateIndexValueDate(IborIndex,Y1581,Trigger)</f>
        <v>50230</v>
      </c>
      <c r="AA1581" s="172">
        <v>1.0756847424903659E-2</v>
      </c>
      <c r="AB1581" s="169">
        <v>1.0749775504228509E-2</v>
      </c>
    </row>
    <row r="1582" spans="20:28" x14ac:dyDescent="0.2">
      <c r="T1582" s="130"/>
      <c r="U1582" s="151"/>
      <c r="X1582" s="170" t="str">
        <f t="shared" si="33"/>
        <v>1w</v>
      </c>
      <c r="Y1582" s="168">
        <f>_xll.qlCalendarAdvance(LiborCalendar,Y1581,X1582,"f",FALSE)</f>
        <v>50235</v>
      </c>
      <c r="Z1582" s="171">
        <f>_xll.qlInterestRateIndexValueDate(IborIndex,Y1582,Trigger)</f>
        <v>50237</v>
      </c>
      <c r="AA1582" s="172">
        <v>1.0755612752259535E-2</v>
      </c>
      <c r="AB1582" s="169">
        <v>1.0748724932359011E-2</v>
      </c>
    </row>
    <row r="1583" spans="20:28" x14ac:dyDescent="0.2">
      <c r="T1583" s="130"/>
      <c r="U1583" s="151"/>
      <c r="X1583" s="170" t="str">
        <f t="shared" si="33"/>
        <v>1w</v>
      </c>
      <c r="Y1583" s="168">
        <f>_xll.qlCalendarAdvance(LiborCalendar,Y1582,X1583,"f",FALSE)</f>
        <v>50242</v>
      </c>
      <c r="Z1583" s="171">
        <f>_xll.qlInterestRateIndexValueDate(IborIndex,Y1583,Trigger)</f>
        <v>50244</v>
      </c>
      <c r="AA1583" s="172">
        <v>1.0754350196258918E-2</v>
      </c>
      <c r="AB1583" s="169">
        <v>1.074764655241367E-2</v>
      </c>
    </row>
    <row r="1584" spans="20:28" x14ac:dyDescent="0.2">
      <c r="T1584" s="130"/>
      <c r="U1584" s="151"/>
      <c r="X1584" s="170" t="str">
        <f t="shared" si="33"/>
        <v>1w</v>
      </c>
      <c r="Y1584" s="168">
        <f>_xll.qlCalendarAdvance(LiborCalendar,Y1583,X1584,"f",FALSE)</f>
        <v>50249</v>
      </c>
      <c r="Z1584" s="171">
        <f>_xll.qlInterestRateIndexValueDate(IborIndex,Y1584,Trigger)</f>
        <v>50251</v>
      </c>
      <c r="AA1584" s="172">
        <v>1.0753059756928742E-2</v>
      </c>
      <c r="AB1584" s="169">
        <v>1.0746540364232615E-2</v>
      </c>
    </row>
    <row r="1585" spans="20:28" x14ac:dyDescent="0.2">
      <c r="T1585" s="130"/>
      <c r="U1585" s="151"/>
      <c r="X1585" s="170" t="str">
        <f t="shared" si="33"/>
        <v>1w</v>
      </c>
      <c r="Y1585" s="168">
        <f>_xll.qlCalendarAdvance(LiborCalendar,Y1584,X1585,"f",FALSE)</f>
        <v>50256</v>
      </c>
      <c r="Z1585" s="171">
        <f>_xll.qlInterestRateIndexValueDate(IborIndex,Y1585,Trigger)</f>
        <v>50258</v>
      </c>
      <c r="AA1585" s="172">
        <v>1.0751741434295943E-2</v>
      </c>
      <c r="AB1585" s="169">
        <v>1.0745406367895782E-2</v>
      </c>
    </row>
    <row r="1586" spans="20:28" x14ac:dyDescent="0.2">
      <c r="T1586" s="130"/>
      <c r="U1586" s="151"/>
      <c r="X1586" s="170" t="str">
        <f t="shared" si="33"/>
        <v>1w</v>
      </c>
      <c r="Y1586" s="168">
        <f>_xll.qlCalendarAdvance(LiborCalendar,Y1585,X1586,"f",FALSE)</f>
        <v>50263</v>
      </c>
      <c r="Z1586" s="171">
        <f>_xll.qlInterestRateIndexValueDate(IborIndex,Y1586,Trigger)</f>
        <v>50265</v>
      </c>
      <c r="AA1586" s="172">
        <v>1.0750395228390063E-2</v>
      </c>
      <c r="AB1586" s="169">
        <v>1.0744244563563043E-2</v>
      </c>
    </row>
    <row r="1587" spans="20:28" x14ac:dyDescent="0.2">
      <c r="T1587" s="130"/>
      <c r="U1587" s="151"/>
      <c r="X1587" s="170" t="str">
        <f t="shared" si="33"/>
        <v>1w</v>
      </c>
      <c r="Y1587" s="168">
        <f>_xll.qlCalendarAdvance(LiborCalendar,Y1586,X1587,"f",FALSE)</f>
        <v>50270</v>
      </c>
      <c r="Z1587" s="171">
        <f>_xll.qlInterestRateIndexValueDate(IborIndex,Y1587,Trigger)</f>
        <v>50272</v>
      </c>
      <c r="AA1587" s="172">
        <v>1.0749021139238035E-2</v>
      </c>
      <c r="AB1587" s="169">
        <v>1.0743054950914654E-2</v>
      </c>
    </row>
    <row r="1588" spans="20:28" x14ac:dyDescent="0.2">
      <c r="T1588" s="130"/>
      <c r="U1588" s="151"/>
      <c r="X1588" s="170" t="str">
        <f t="shared" si="33"/>
        <v>1w</v>
      </c>
      <c r="Y1588" s="168">
        <f>_xll.qlCalendarAdvance(LiborCalendar,Y1587,X1588,"f",FALSE)</f>
        <v>50277</v>
      </c>
      <c r="Z1588" s="171">
        <f>_xll.qlInterestRateIndexValueDate(IborIndex,Y1588,Trigger)</f>
        <v>50279</v>
      </c>
      <c r="AA1588" s="172">
        <v>1.0747619166871142E-2</v>
      </c>
      <c r="AB1588" s="169">
        <v>1.0741837530270359E-2</v>
      </c>
    </row>
    <row r="1589" spans="20:28" x14ac:dyDescent="0.2">
      <c r="T1589" s="130"/>
      <c r="U1589" s="151"/>
      <c r="X1589" s="170" t="str">
        <f t="shared" si="33"/>
        <v>1w</v>
      </c>
      <c r="Y1589" s="168">
        <f>_xll.qlCalendarAdvance(LiborCalendar,Y1588,X1589,"f",FALSE)</f>
        <v>50284</v>
      </c>
      <c r="Z1589" s="171">
        <f>_xll.qlInterestRateIndexValueDate(IborIndex,Y1589,Trigger)</f>
        <v>50286</v>
      </c>
      <c r="AA1589" s="172">
        <v>1.0746136462909679E-2</v>
      </c>
      <c r="AB1589" s="169">
        <v>1.0740592301310414E-2</v>
      </c>
    </row>
    <row r="1590" spans="20:28" x14ac:dyDescent="0.2">
      <c r="T1590" s="130"/>
      <c r="U1590" s="151"/>
      <c r="X1590" s="170" t="str">
        <f t="shared" si="33"/>
        <v>1w</v>
      </c>
      <c r="Y1590" s="168">
        <f>_xll.qlCalendarAdvance(LiborCalendar,Y1589,X1590,"f",FALSE)</f>
        <v>50291</v>
      </c>
      <c r="Z1590" s="171">
        <f>_xll.qlInterestRateIndexValueDate(IborIndex,Y1590,Trigger)</f>
        <v>50293</v>
      </c>
      <c r="AA1590" s="172">
        <v>1.0744680759243059E-2</v>
      </c>
      <c r="AB1590" s="169">
        <v>1.0739319264274627E-2</v>
      </c>
    </row>
    <row r="1591" spans="20:28" x14ac:dyDescent="0.2">
      <c r="T1591" s="130"/>
      <c r="U1591" s="151"/>
      <c r="X1591" s="170" t="str">
        <f t="shared" si="33"/>
        <v>1w</v>
      </c>
      <c r="Y1591" s="168">
        <f>_xll.qlCalendarAdvance(LiborCalendar,Y1590,X1591,"f",FALSE)</f>
        <v>50298</v>
      </c>
      <c r="Z1591" s="171">
        <f>_xll.qlInterestRateIndexValueDate(IborIndex,Y1591,Trigger)</f>
        <v>50300</v>
      </c>
      <c r="AA1591" s="172">
        <v>1.0743197173275137E-2</v>
      </c>
      <c r="AB1591" s="169">
        <v>1.0738018419162998E-2</v>
      </c>
    </row>
    <row r="1592" spans="20:28" x14ac:dyDescent="0.2">
      <c r="T1592" s="130"/>
      <c r="U1592" s="151"/>
      <c r="X1592" s="170" t="str">
        <f t="shared" si="33"/>
        <v>1w</v>
      </c>
      <c r="Y1592" s="168">
        <f>_xll.qlCalendarAdvance(LiborCalendar,Y1591,X1592,"f",FALSE)</f>
        <v>50305</v>
      </c>
      <c r="Z1592" s="171">
        <f>_xll.qlInterestRateIndexValueDate(IborIndex,Y1592,Trigger)</f>
        <v>50307</v>
      </c>
      <c r="AA1592" s="172">
        <v>1.0741685705037534E-2</v>
      </c>
      <c r="AB1592" s="169">
        <v>1.0736689765815655E-2</v>
      </c>
    </row>
    <row r="1593" spans="20:28" x14ac:dyDescent="0.2">
      <c r="T1593" s="130"/>
      <c r="U1593" s="151"/>
      <c r="X1593" s="170" t="str">
        <f t="shared" si="33"/>
        <v>1w</v>
      </c>
      <c r="Y1593" s="168">
        <f>_xll.qlCalendarAdvance(LiborCalendar,Y1592,X1593,"f",FALSE)</f>
        <v>50312</v>
      </c>
      <c r="Z1593" s="171">
        <f>_xll.qlInterestRateIndexValueDate(IborIndex,Y1593,Trigger)</f>
        <v>50314</v>
      </c>
      <c r="AA1593" s="172">
        <v>1.0740324007402061E-2</v>
      </c>
      <c r="AB1593" s="169">
        <v>1.0735333304312533E-2</v>
      </c>
    </row>
    <row r="1594" spans="20:28" x14ac:dyDescent="0.2">
      <c r="T1594" s="130"/>
      <c r="U1594" s="151"/>
      <c r="X1594" s="170" t="str">
        <f t="shared" si="33"/>
        <v>1w</v>
      </c>
      <c r="Y1594" s="168">
        <f>_xll.qlCalendarAdvance(LiborCalendar,Y1593,X1594,"f",FALSE)</f>
        <v>50319</v>
      </c>
      <c r="Z1594" s="171">
        <f>_xll.qlInterestRateIndexValueDate(IborIndex,Y1594,Trigger)</f>
        <v>50321</v>
      </c>
      <c r="AA1594" s="172">
        <v>1.0738621786844904E-2</v>
      </c>
      <c r="AB1594" s="169">
        <v>1.0733949034813506E-2</v>
      </c>
    </row>
    <row r="1595" spans="20:28" x14ac:dyDescent="0.2">
      <c r="T1595" s="130"/>
      <c r="U1595" s="151"/>
      <c r="X1595" s="170" t="str">
        <f t="shared" si="33"/>
        <v>1w</v>
      </c>
      <c r="Y1595" s="168">
        <f>_xll.qlCalendarAdvance(LiborCalendar,Y1594,X1595,"f",FALSE)</f>
        <v>50326</v>
      </c>
      <c r="Z1595" s="171">
        <f>_xll.qlInterestRateIndexValueDate(IborIndex,Y1595,Trigger)</f>
        <v>50328</v>
      </c>
      <c r="AA1595" s="172">
        <v>1.0737024632835856E-2</v>
      </c>
      <c r="AB1595" s="169">
        <v>1.0732536956998828E-2</v>
      </c>
    </row>
    <row r="1596" spans="20:28" x14ac:dyDescent="0.2">
      <c r="T1596" s="130"/>
      <c r="U1596" s="151"/>
      <c r="X1596" s="170" t="str">
        <f t="shared" si="33"/>
        <v>1w</v>
      </c>
      <c r="Y1596" s="168">
        <f>_xll.qlCalendarAdvance(LiborCalendar,Y1595,X1596,"f",FALSE)</f>
        <v>50333</v>
      </c>
      <c r="Z1596" s="171">
        <f>_xll.qlInterestRateIndexValueDate(IborIndex,Y1596,Trigger)</f>
        <v>50335</v>
      </c>
      <c r="AA1596" s="172">
        <v>1.073539959586565E-2</v>
      </c>
      <c r="AB1596" s="169">
        <v>1.0731097071108309E-2</v>
      </c>
    </row>
    <row r="1597" spans="20:28" x14ac:dyDescent="0.2">
      <c r="T1597" s="130"/>
      <c r="U1597" s="151"/>
      <c r="X1597" s="170" t="str">
        <f t="shared" si="33"/>
        <v>1w</v>
      </c>
      <c r="Y1597" s="168">
        <f>_xll.qlCalendarAdvance(LiborCalendar,Y1596,X1597,"f",FALSE)</f>
        <v>50340</v>
      </c>
      <c r="Z1597" s="171">
        <f>_xll.qlInterestRateIndexValueDate(IborIndex,Y1597,Trigger)</f>
        <v>50342</v>
      </c>
      <c r="AA1597" s="172">
        <v>1.073374667597078E-2</v>
      </c>
      <c r="AB1597" s="169">
        <v>1.0729629377062011E-2</v>
      </c>
    </row>
    <row r="1598" spans="20:28" x14ac:dyDescent="0.2">
      <c r="T1598" s="130"/>
      <c r="U1598" s="151"/>
      <c r="X1598" s="170" t="str">
        <f t="shared" si="33"/>
        <v>1w</v>
      </c>
      <c r="Y1598" s="168">
        <f>_xll.qlCalendarAdvance(LiborCalendar,Y1597,X1598,"f",FALSE)</f>
        <v>50347</v>
      </c>
      <c r="Z1598" s="171">
        <f>_xll.qlInterestRateIndexValueDate(IborIndex,Y1598,Trigger)</f>
        <v>50349</v>
      </c>
      <c r="AA1598" s="172">
        <v>1.0732065873185133E-2</v>
      </c>
      <c r="AB1598" s="169">
        <v>1.0728133874859935E-2</v>
      </c>
    </row>
    <row r="1599" spans="20:28" x14ac:dyDescent="0.2">
      <c r="T1599" s="130"/>
      <c r="U1599" s="151"/>
      <c r="X1599" s="170" t="str">
        <f t="shared" si="33"/>
        <v>1w</v>
      </c>
      <c r="Y1599" s="168">
        <f>_xll.qlCalendarAdvance(LiborCalendar,Y1598,X1599,"f",FALSE)</f>
        <v>50354</v>
      </c>
      <c r="Z1599" s="171">
        <f>_xll.qlInterestRateIndexValueDate(IborIndex,Y1599,Trigger)</f>
        <v>50356</v>
      </c>
      <c r="AA1599" s="172">
        <v>1.0730357187545198E-2</v>
      </c>
      <c r="AB1599" s="169">
        <v>1.0726610564582018E-2</v>
      </c>
    </row>
    <row r="1600" spans="20:28" x14ac:dyDescent="0.2">
      <c r="T1600" s="130"/>
      <c r="U1600" s="151"/>
      <c r="X1600" s="170" t="str">
        <f t="shared" si="33"/>
        <v>1w</v>
      </c>
      <c r="Y1600" s="168">
        <f>_xll.qlCalendarAdvance(LiborCalendar,Y1599,X1600,"f",FALSE)</f>
        <v>50361</v>
      </c>
      <c r="Z1600" s="171">
        <f>_xll.qlInterestRateIndexValueDate(IborIndex,Y1600,Trigger)</f>
        <v>50363</v>
      </c>
      <c r="AA1600" s="172">
        <v>1.0728620619086599E-2</v>
      </c>
      <c r="AB1600" s="169">
        <v>1.0725059446148322E-2</v>
      </c>
    </row>
    <row r="1601" spans="20:28" x14ac:dyDescent="0.2">
      <c r="T1601" s="130"/>
      <c r="U1601" s="151"/>
      <c r="X1601" s="170" t="str">
        <f t="shared" si="33"/>
        <v>1w</v>
      </c>
      <c r="Y1601" s="168">
        <f>_xll.qlCalendarAdvance(LiborCalendar,Y1600,X1601,"f",FALSE)</f>
        <v>50368</v>
      </c>
      <c r="Z1601" s="171">
        <f>_xll.qlInterestRateIndexValueDate(IborIndex,Y1601,Trigger)</f>
        <v>50370</v>
      </c>
      <c r="AA1601" s="172">
        <v>1.0726856167848438E-2</v>
      </c>
      <c r="AB1601" s="169">
        <v>1.0723480519558848E-2</v>
      </c>
    </row>
    <row r="1602" spans="20:28" x14ac:dyDescent="0.2">
      <c r="T1602" s="130"/>
      <c r="U1602" s="151"/>
      <c r="X1602" s="170" t="str">
        <f t="shared" si="33"/>
        <v>1w</v>
      </c>
      <c r="Y1602" s="168">
        <f>_xll.qlCalendarAdvance(LiborCalendar,Y1601,X1602,"f",FALSE)</f>
        <v>50375</v>
      </c>
      <c r="Z1602" s="171">
        <f>_xll.qlInterestRateIndexValueDate(IborIndex,Y1602,Trigger)</f>
        <v>50377</v>
      </c>
      <c r="AA1602" s="172">
        <v>1.0725010981874838E-2</v>
      </c>
      <c r="AB1602" s="169">
        <v>1.072187378473366E-2</v>
      </c>
    </row>
    <row r="1603" spans="20:28" x14ac:dyDescent="0.2">
      <c r="T1603" s="130"/>
      <c r="U1603" s="151"/>
      <c r="X1603" s="170" t="str">
        <f t="shared" si="33"/>
        <v>1w</v>
      </c>
      <c r="Y1603" s="168">
        <f>_xll.qlCalendarAdvance(LiborCalendar,Y1602,X1603,"f",FALSE)</f>
        <v>50382</v>
      </c>
      <c r="Z1603" s="171">
        <f>_xll.qlInterestRateIndexValueDate(IborIndex,Y1603,Trigger)</f>
        <v>50384</v>
      </c>
      <c r="AA1603" s="172">
        <v>1.0723194856484319E-2</v>
      </c>
      <c r="AB1603" s="169">
        <v>1.072023924183263E-2</v>
      </c>
    </row>
    <row r="1604" spans="20:28" x14ac:dyDescent="0.2">
      <c r="T1604" s="130"/>
      <c r="U1604" s="151"/>
      <c r="X1604" s="170" t="str">
        <f t="shared" si="33"/>
        <v>1w</v>
      </c>
      <c r="Y1604" s="168">
        <f>_xll.qlCalendarAdvance(LiborCalendar,Y1603,X1604,"f",FALSE)</f>
        <v>50389</v>
      </c>
      <c r="Z1604" s="171">
        <f>_xll.qlInterestRateIndexValueDate(IborIndex,Y1604,Trigger)</f>
        <v>50391</v>
      </c>
      <c r="AA1604" s="172">
        <v>1.0721350850062095E-2</v>
      </c>
      <c r="AB1604" s="169">
        <v>1.0718576890775822E-2</v>
      </c>
    </row>
    <row r="1605" spans="20:28" x14ac:dyDescent="0.2">
      <c r="T1605" s="130"/>
      <c r="U1605" s="151"/>
      <c r="X1605" s="170" t="str">
        <f t="shared" si="33"/>
        <v>1w</v>
      </c>
      <c r="Y1605" s="168">
        <f>_xll.qlCalendarAdvance(LiborCalendar,Y1604,X1605,"f",FALSE)</f>
        <v>50396</v>
      </c>
      <c r="Z1605" s="171">
        <f>_xll.qlInterestRateIndexValueDate(IborIndex,Y1605,Trigger)</f>
        <v>50398</v>
      </c>
      <c r="AA1605" s="172">
        <v>1.0719478962646356E-2</v>
      </c>
      <c r="AB1605" s="169">
        <v>1.0717036179473283E-2</v>
      </c>
    </row>
    <row r="1606" spans="20:28" x14ac:dyDescent="0.2">
      <c r="T1606" s="130"/>
      <c r="U1606" s="151"/>
      <c r="X1606" s="170" t="str">
        <f t="shared" si="33"/>
        <v>1w</v>
      </c>
      <c r="Y1606" s="168">
        <f>_xll.qlCalendarAdvance(LiborCalendar,Y1605,X1606,"f",FALSE)</f>
        <v>50403</v>
      </c>
      <c r="Z1606" s="171">
        <f>_xll.qlInterestRateIndexValueDate(IborIndex,Y1606,Trigger)</f>
        <v>50405</v>
      </c>
      <c r="AA1606" s="172">
        <v>1.0717579194277072E-2</v>
      </c>
      <c r="AB1606" s="169">
        <v>1.0715275027313176E-2</v>
      </c>
    </row>
    <row r="1607" spans="20:28" x14ac:dyDescent="0.2">
      <c r="T1607" s="130"/>
      <c r="U1607" s="151"/>
      <c r="X1607" s="170" t="str">
        <f t="shared" si="33"/>
        <v>1w</v>
      </c>
      <c r="Y1607" s="168">
        <f>_xll.qlCalendarAdvance(LiborCalendar,Y1606,X1607,"f",FALSE)</f>
        <v>50410</v>
      </c>
      <c r="Z1607" s="171">
        <f>_xll.qlInterestRateIndexValueDate(IborIndex,Y1607,Trigger)</f>
        <v>50412</v>
      </c>
      <c r="AA1607" s="172">
        <v>1.0715651544991545E-2</v>
      </c>
      <c r="AB1607" s="169">
        <v>1.0713422988830601E-2</v>
      </c>
    </row>
    <row r="1608" spans="20:28" x14ac:dyDescent="0.2">
      <c r="T1608" s="130"/>
      <c r="U1608" s="151"/>
      <c r="X1608" s="170" t="str">
        <f t="shared" si="33"/>
        <v>1w</v>
      </c>
      <c r="Y1608" s="168">
        <f>_xll.qlCalendarAdvance(LiborCalendar,Y1607,X1608,"f",FALSE)</f>
        <v>50417</v>
      </c>
      <c r="Z1608" s="171">
        <f>_xll.qlInterestRateIndexValueDate(IborIndex,Y1608,Trigger)</f>
        <v>50419</v>
      </c>
      <c r="AA1608" s="172">
        <v>1.0713696014832408E-2</v>
      </c>
      <c r="AB1608" s="169">
        <v>1.0711649405310553E-2</v>
      </c>
    </row>
    <row r="1609" spans="20:28" x14ac:dyDescent="0.2">
      <c r="T1609" s="130"/>
      <c r="U1609" s="151"/>
      <c r="X1609" s="170" t="str">
        <f t="shared" si="33"/>
        <v>1w</v>
      </c>
      <c r="Y1609" s="168">
        <f>_xll.qlCalendarAdvance(LiborCalendar,Y1608,X1609,"f",FALSE)</f>
        <v>50424</v>
      </c>
      <c r="Z1609" s="171">
        <f>_xll.qlInterestRateIndexValueDate(IborIndex,Y1609,Trigger)</f>
        <v>50426</v>
      </c>
      <c r="AA1609" s="172">
        <v>1.0711712603839629E-2</v>
      </c>
      <c r="AB1609" s="169">
        <v>1.070984801355479E-2</v>
      </c>
    </row>
    <row r="1610" spans="20:28" x14ac:dyDescent="0.2">
      <c r="T1610" s="130"/>
      <c r="U1610" s="151"/>
      <c r="X1610" s="170" t="str">
        <f t="shared" si="33"/>
        <v>1w</v>
      </c>
      <c r="Y1610" s="168">
        <f>_xll.qlCalendarAdvance(LiborCalendar,Y1609,X1610,"f",FALSE)</f>
        <v>50431</v>
      </c>
      <c r="Z1610" s="171">
        <f>_xll.qlInterestRateIndexValueDate(IborIndex,Y1610,Trigger)</f>
        <v>50433</v>
      </c>
      <c r="AA1610" s="172">
        <v>1.0709701312054065E-2</v>
      </c>
      <c r="AB1610" s="169">
        <v>1.070801881364325E-2</v>
      </c>
    </row>
    <row r="1611" spans="20:28" x14ac:dyDescent="0.2">
      <c r="T1611" s="130"/>
      <c r="U1611" s="151"/>
      <c r="X1611" s="170" t="str">
        <f t="shared" si="33"/>
        <v>1w</v>
      </c>
      <c r="Y1611" s="168">
        <f>_xll.qlCalendarAdvance(LiborCalendar,Y1610,X1611,"f",FALSE)</f>
        <v>50438</v>
      </c>
      <c r="Z1611" s="171">
        <f>_xll.qlInterestRateIndexValueDate(IborIndex,Y1611,Trigger)</f>
        <v>50440</v>
      </c>
      <c r="AA1611" s="172">
        <v>1.0707653860514857E-2</v>
      </c>
      <c r="AB1611" s="169">
        <v>1.0706161805575931E-2</v>
      </c>
    </row>
    <row r="1612" spans="20:28" x14ac:dyDescent="0.2">
      <c r="T1612" s="130"/>
      <c r="U1612" s="151"/>
      <c r="X1612" s="170" t="str">
        <f t="shared" si="33"/>
        <v>1w</v>
      </c>
      <c r="Y1612" s="168">
        <f>_xll.qlCalendarAdvance(LiborCalendar,Y1611,X1612,"f",FALSE)</f>
        <v>50445</v>
      </c>
      <c r="Z1612" s="171">
        <f>_xll.qlInterestRateIndexValueDate(IborIndex,Y1612,Trigger)</f>
        <v>50447</v>
      </c>
      <c r="AA1612" s="172">
        <v>1.0705588860080838E-2</v>
      </c>
      <c r="AB1612" s="169">
        <v>1.0704276989512707E-2</v>
      </c>
    </row>
    <row r="1613" spans="20:28" x14ac:dyDescent="0.2">
      <c r="T1613" s="130"/>
      <c r="U1613" s="151"/>
      <c r="X1613" s="170" t="str">
        <f t="shared" si="33"/>
        <v>1w</v>
      </c>
      <c r="Y1613" s="168">
        <f>_xll.qlCalendarAdvance(LiborCalendar,Y1612,X1613,"f",FALSE)</f>
        <v>50452</v>
      </c>
      <c r="Z1613" s="171">
        <f>_xll.qlInterestRateIndexValueDate(IborIndex,Y1613,Trigger)</f>
        <v>50454</v>
      </c>
      <c r="AA1613" s="172">
        <v>1.0703495979794685E-2</v>
      </c>
      <c r="AB1613" s="169">
        <v>1.0702364365133832E-2</v>
      </c>
    </row>
    <row r="1614" spans="20:28" x14ac:dyDescent="0.2">
      <c r="T1614" s="130"/>
      <c r="U1614" s="151"/>
      <c r="X1614" s="170" t="str">
        <f t="shared" si="33"/>
        <v>1w</v>
      </c>
      <c r="Y1614" s="168">
        <f>_xll.qlCalendarAdvance(LiborCalendar,Y1613,X1614,"f",FALSE)</f>
        <v>50459</v>
      </c>
      <c r="Z1614" s="171">
        <f>_xll.qlInterestRateIndexValueDate(IborIndex,Y1614,Trigger)</f>
        <v>50461</v>
      </c>
      <c r="AA1614" s="172">
        <v>1.0701375219700405E-2</v>
      </c>
      <c r="AB1614" s="169">
        <v>1.0700423932759051E-2</v>
      </c>
    </row>
    <row r="1615" spans="20:28" x14ac:dyDescent="0.2">
      <c r="T1615" s="130"/>
      <c r="U1615" s="151"/>
      <c r="X1615" s="170" t="str">
        <f t="shared" si="33"/>
        <v>1w</v>
      </c>
      <c r="Y1615" s="168">
        <f>_xll.qlCalendarAdvance(LiborCalendar,Y1614,X1615,"f",FALSE)</f>
        <v>50466</v>
      </c>
      <c r="Z1615" s="171">
        <f>_xll.qlInterestRateIndexValueDate(IborIndex,Y1615,Trigger)</f>
        <v>50468</v>
      </c>
      <c r="AA1615" s="172">
        <v>1.0699226180634614E-2</v>
      </c>
      <c r="AB1615" s="169">
        <v>1.0698455692148556E-2</v>
      </c>
    </row>
    <row r="1616" spans="20:28" x14ac:dyDescent="0.2">
      <c r="T1616" s="130"/>
      <c r="U1616" s="151"/>
      <c r="X1616" s="170" t="str">
        <f t="shared" si="33"/>
        <v>1w</v>
      </c>
      <c r="Y1616" s="168">
        <f>_xll.qlCalendarAdvance(LiborCalendar,Y1615,X1616,"f",FALSE)</f>
        <v>50473</v>
      </c>
      <c r="Z1616" s="171">
        <f>_xll.qlInterestRateIndexValueDate(IborIndex,Y1616,Trigger)</f>
        <v>50475</v>
      </c>
      <c r="AA1616" s="172">
        <v>1.0697043492526098E-2</v>
      </c>
      <c r="AB1616" s="169">
        <v>1.0696459643462219E-2</v>
      </c>
    </row>
    <row r="1617" spans="20:28" x14ac:dyDescent="0.2">
      <c r="T1617" s="130"/>
      <c r="U1617" s="151"/>
      <c r="X1617" s="170" t="str">
        <f t="shared" si="33"/>
        <v>1w</v>
      </c>
      <c r="Y1617" s="168">
        <f>_xll.qlCalendarAdvance(LiborCalendar,Y1616,X1617,"f",FALSE)</f>
        <v>50480</v>
      </c>
      <c r="Z1617" s="171">
        <f>_xll.qlInterestRateIndexValueDate(IborIndex,Y1617,Trigger)</f>
        <v>50482</v>
      </c>
      <c r="AA1617" s="172">
        <v>1.0694832922310526E-2</v>
      </c>
      <c r="AB1617" s="169">
        <v>1.0694435786700041E-2</v>
      </c>
    </row>
    <row r="1618" spans="20:28" x14ac:dyDescent="0.2">
      <c r="T1618" s="130"/>
      <c r="U1618" s="151"/>
      <c r="X1618" s="170" t="str">
        <f t="shared" si="33"/>
        <v>1w</v>
      </c>
      <c r="Y1618" s="168">
        <f>_xll.qlCalendarAdvance(LiborCalendar,Y1617,X1618,"f",FALSE)</f>
        <v>50487</v>
      </c>
      <c r="Z1618" s="171">
        <f>_xll.qlInterestRateIndexValueDate(IborIndex,Y1618,Trigger)</f>
        <v>50489</v>
      </c>
      <c r="AA1618" s="172">
        <v>1.0692594470033076E-2</v>
      </c>
      <c r="AB1618" s="169">
        <v>1.0692384121702148E-2</v>
      </c>
    </row>
    <row r="1619" spans="20:28" x14ac:dyDescent="0.2">
      <c r="T1619" s="130"/>
      <c r="U1619" s="151"/>
      <c r="X1619" s="170" t="str">
        <f t="shared" si="33"/>
        <v>1w</v>
      </c>
      <c r="Y1619" s="168">
        <f>_xll.qlCalendarAdvance(LiborCalendar,Y1618,X1619,"f",FALSE)</f>
        <v>50494</v>
      </c>
      <c r="Z1619" s="171">
        <f>_xll.qlInterestRateIndexValueDate(IborIndex,Y1619,Trigger)</f>
        <v>50496</v>
      </c>
      <c r="AA1619" s="172">
        <v>1.0690336694813899E-2</v>
      </c>
      <c r="AB1619" s="169">
        <v>1.0690304648548477E-2</v>
      </c>
    </row>
    <row r="1620" spans="20:28" x14ac:dyDescent="0.2">
      <c r="T1620" s="130"/>
      <c r="U1620" s="151"/>
      <c r="X1620" s="170" t="str">
        <f t="shared" si="33"/>
        <v>1w</v>
      </c>
      <c r="Y1620" s="168">
        <f>_xll.qlCalendarAdvance(LiborCalendar,Y1619,X1620,"f",FALSE)</f>
        <v>50501</v>
      </c>
      <c r="Z1620" s="171">
        <f>_xll.qlInterestRateIndexValueDate(IborIndex,Y1620,Trigger)</f>
        <v>50503</v>
      </c>
      <c r="AA1620" s="172">
        <v>1.0688044538091888E-2</v>
      </c>
      <c r="AB1620" s="169">
        <v>1.0688197367318963E-2</v>
      </c>
    </row>
    <row r="1621" spans="20:28" x14ac:dyDescent="0.2">
      <c r="T1621" s="130"/>
      <c r="U1621" s="151"/>
      <c r="X1621" s="170" t="str">
        <f t="shared" ref="X1621:X1684" si="34">X1620</f>
        <v>1w</v>
      </c>
      <c r="Y1621" s="168">
        <f>_xll.qlCalendarAdvance(LiborCalendar,Y1620,X1621,"f",FALSE)</f>
        <v>50508</v>
      </c>
      <c r="Z1621" s="171">
        <f>_xll.qlInterestRateIndexValueDate(IborIndex,Y1621,Trigger)</f>
        <v>50510</v>
      </c>
      <c r="AA1621" s="172">
        <v>1.0685724500262344E-2</v>
      </c>
      <c r="AB1621" s="169">
        <v>1.0686062277933672E-2</v>
      </c>
    </row>
    <row r="1622" spans="20:28" x14ac:dyDescent="0.2">
      <c r="T1622" s="130"/>
      <c r="U1622" s="151"/>
      <c r="X1622" s="170" t="str">
        <f t="shared" si="34"/>
        <v>1w</v>
      </c>
      <c r="Y1622" s="168">
        <f>_xll.qlCalendarAdvance(LiborCalendar,Y1621,X1622,"f",FALSE)</f>
        <v>50515</v>
      </c>
      <c r="Z1622" s="171">
        <f>_xll.qlInterestRateIndexValueDate(IborIndex,Y1622,Trigger)</f>
        <v>50517</v>
      </c>
      <c r="AA1622" s="172">
        <v>1.068337658137534E-2</v>
      </c>
      <c r="AB1622" s="169">
        <v>1.0683909822184035E-2</v>
      </c>
    </row>
    <row r="1623" spans="20:28" x14ac:dyDescent="0.2">
      <c r="T1623" s="130"/>
      <c r="U1623" s="151"/>
      <c r="X1623" s="170" t="str">
        <f t="shared" si="34"/>
        <v>1w</v>
      </c>
      <c r="Y1623" s="168">
        <f>_xll.qlCalendarAdvance(LiborCalendar,Y1622,X1623,"f",FALSE)</f>
        <v>50522</v>
      </c>
      <c r="Z1623" s="171">
        <f>_xll.qlInterestRateIndexValueDate(IborIndex,Y1623,Trigger)</f>
        <v>50524</v>
      </c>
      <c r="AA1623" s="172">
        <v>1.0681000781478305E-2</v>
      </c>
      <c r="AB1623" s="169">
        <v>1.0681708674775692E-2</v>
      </c>
    </row>
    <row r="1624" spans="20:28" x14ac:dyDescent="0.2">
      <c r="T1624" s="130"/>
      <c r="U1624" s="151"/>
      <c r="X1624" s="170" t="str">
        <f t="shared" si="34"/>
        <v>1w</v>
      </c>
      <c r="Y1624" s="168">
        <f>_xll.qlCalendarAdvance(LiborCalendar,Y1623,X1624,"f",FALSE)</f>
        <v>50529</v>
      </c>
      <c r="Z1624" s="171">
        <f>_xll.qlInterestRateIndexValueDate(IborIndex,Y1624,Trigger)</f>
        <v>50531</v>
      </c>
      <c r="AA1624" s="172">
        <v>1.0678578235809384E-2</v>
      </c>
      <c r="AB1624" s="169">
        <v>1.0679490161003002E-2</v>
      </c>
    </row>
    <row r="1625" spans="20:28" x14ac:dyDescent="0.2">
      <c r="T1625" s="130"/>
      <c r="U1625" s="151"/>
      <c r="X1625" s="170" t="str">
        <f t="shared" si="34"/>
        <v>1w</v>
      </c>
      <c r="Y1625" s="168">
        <f>_xll.qlCalendarAdvance(LiborCalendar,Y1624,X1625,"f",FALSE)</f>
        <v>50536</v>
      </c>
      <c r="Z1625" s="171">
        <f>_xll.qlInterestRateIndexValueDate(IborIndex,Y1625,Trigger)</f>
        <v>50538</v>
      </c>
      <c r="AA1625" s="172">
        <v>1.0676144610476826E-2</v>
      </c>
      <c r="AB1625" s="169">
        <v>1.0677243839074535E-2</v>
      </c>
    </row>
    <row r="1626" spans="20:28" x14ac:dyDescent="0.2">
      <c r="T1626" s="130"/>
      <c r="U1626" s="151"/>
      <c r="X1626" s="170" t="str">
        <f t="shared" si="34"/>
        <v>1w</v>
      </c>
      <c r="Y1626" s="168">
        <f>_xll.qlCalendarAdvance(LiborCalendar,Y1625,X1626,"f",FALSE)</f>
        <v>50543</v>
      </c>
      <c r="Z1626" s="171">
        <f>_xll.qlInterestRateIndexValueDate(IborIndex,Y1626,Trigger)</f>
        <v>50545</v>
      </c>
      <c r="AA1626" s="172">
        <v>1.0673683103481203E-2</v>
      </c>
      <c r="AB1626" s="169">
        <v>1.0674969709070226E-2</v>
      </c>
    </row>
    <row r="1627" spans="20:28" x14ac:dyDescent="0.2">
      <c r="T1627" s="130"/>
      <c r="U1627" s="151"/>
      <c r="X1627" s="170" t="str">
        <f t="shared" si="34"/>
        <v>1w</v>
      </c>
      <c r="Y1627" s="168">
        <f>_xll.qlCalendarAdvance(LiborCalendar,Y1626,X1627,"f",FALSE)</f>
        <v>50550</v>
      </c>
      <c r="Z1627" s="171">
        <f>_xll.qlInterestRateIndexValueDate(IborIndex,Y1627,Trigger)</f>
        <v>50552</v>
      </c>
      <c r="AA1627" s="172">
        <v>1.0671193714876383E-2</v>
      </c>
      <c r="AB1627" s="169">
        <v>1.0672667770910138E-2</v>
      </c>
    </row>
    <row r="1628" spans="20:28" x14ac:dyDescent="0.2">
      <c r="T1628" s="130"/>
      <c r="U1628" s="151"/>
      <c r="X1628" s="170" t="str">
        <f t="shared" si="34"/>
        <v>1w</v>
      </c>
      <c r="Y1628" s="168">
        <f>_xll.qlCalendarAdvance(LiborCalendar,Y1627,X1628,"f",FALSE)</f>
        <v>50557</v>
      </c>
      <c r="Z1628" s="171">
        <f>_xll.qlInterestRateIndexValueDate(IborIndex,Y1628,Trigger)</f>
        <v>50560</v>
      </c>
      <c r="AA1628" s="172">
        <v>1.0668259127782128E-2</v>
      </c>
      <c r="AB1628" s="169">
        <v>1.0669983316304865E-2</v>
      </c>
    </row>
    <row r="1629" spans="20:28" x14ac:dyDescent="0.2">
      <c r="T1629" s="130"/>
      <c r="U1629" s="151"/>
      <c r="X1629" s="170" t="str">
        <f t="shared" si="34"/>
        <v>1w</v>
      </c>
      <c r="Y1629" s="168">
        <f>_xll.qlCalendarAdvance(LiborCalendar,Y1628,X1629,"f",FALSE)</f>
        <v>50564</v>
      </c>
      <c r="Z1629" s="171">
        <f>_xll.qlInterestRateIndexValueDate(IborIndex,Y1629,Trigger)</f>
        <v>50566</v>
      </c>
      <c r="AA1629" s="172">
        <v>1.0666131293049426E-2</v>
      </c>
      <c r="AB1629" s="169">
        <v>1.0667980470122629E-2</v>
      </c>
    </row>
    <row r="1630" spans="20:28" x14ac:dyDescent="0.2">
      <c r="T1630" s="130"/>
      <c r="U1630" s="151"/>
      <c r="X1630" s="170" t="str">
        <f t="shared" si="34"/>
        <v>1w</v>
      </c>
      <c r="Y1630" s="168">
        <f>_xll.qlCalendarAdvance(LiborCalendar,Y1629,X1630,"f",FALSE)</f>
        <v>50571</v>
      </c>
      <c r="Z1630" s="171">
        <f>_xll.qlInterestRateIndexValueDate(IborIndex,Y1630,Trigger)</f>
        <v>50573</v>
      </c>
      <c r="AA1630" s="172">
        <v>1.0663558259935896E-2</v>
      </c>
      <c r="AB1630" s="169">
        <v>1.0665595107575143E-2</v>
      </c>
    </row>
    <row r="1631" spans="20:28" x14ac:dyDescent="0.2">
      <c r="T1631" s="130"/>
      <c r="U1631" s="151"/>
      <c r="X1631" s="170" t="str">
        <f t="shared" si="34"/>
        <v>1w</v>
      </c>
      <c r="Y1631" s="168">
        <f>_xll.qlCalendarAdvance(LiborCalendar,Y1630,X1631,"f",FALSE)</f>
        <v>50578</v>
      </c>
      <c r="Z1631" s="171">
        <f>_xll.qlInterestRateIndexValueDate(IborIndex,Y1631,Trigger)</f>
        <v>50580</v>
      </c>
      <c r="AA1631" s="172">
        <v>1.0660957345427781E-2</v>
      </c>
      <c r="AB1631" s="169">
        <v>1.0663181936871879E-2</v>
      </c>
    </row>
    <row r="1632" spans="20:28" x14ac:dyDescent="0.2">
      <c r="T1632" s="130"/>
      <c r="U1632" s="151"/>
      <c r="X1632" s="170" t="str">
        <f t="shared" si="34"/>
        <v>1w</v>
      </c>
      <c r="Y1632" s="168">
        <f>_xll.qlCalendarAdvance(LiborCalendar,Y1631,X1632,"f",FALSE)</f>
        <v>50585</v>
      </c>
      <c r="Z1632" s="171">
        <f>_xll.qlInterestRateIndexValueDate(IborIndex,Y1632,Trigger)</f>
        <v>50587</v>
      </c>
      <c r="AA1632" s="172">
        <v>1.065832854958069E-2</v>
      </c>
      <c r="AB1632" s="169">
        <v>1.0660740958012838E-2</v>
      </c>
    </row>
    <row r="1633" spans="20:28" x14ac:dyDescent="0.2">
      <c r="T1633" s="130"/>
      <c r="U1633" s="151"/>
      <c r="X1633" s="170" t="str">
        <f t="shared" si="34"/>
        <v>1w</v>
      </c>
      <c r="Y1633" s="168">
        <f>_xll.qlCalendarAdvance(LiborCalendar,Y1632,X1633,"f",FALSE)</f>
        <v>50592</v>
      </c>
      <c r="Z1633" s="171">
        <f>_xll.qlInterestRateIndexValueDate(IborIndex,Y1633,Trigger)</f>
        <v>50594</v>
      </c>
      <c r="AA1633" s="172">
        <v>1.0655671872451969E-2</v>
      </c>
      <c r="AB1633" s="169">
        <v>1.0658272171077954E-2</v>
      </c>
    </row>
    <row r="1634" spans="20:28" x14ac:dyDescent="0.2">
      <c r="T1634" s="130"/>
      <c r="U1634" s="151"/>
      <c r="X1634" s="170" t="str">
        <f t="shared" si="34"/>
        <v>1w</v>
      </c>
      <c r="Y1634" s="168">
        <f>_xll.qlCalendarAdvance(LiborCalendar,Y1633,X1634,"f",FALSE)</f>
        <v>50599</v>
      </c>
      <c r="Z1634" s="171">
        <f>_xll.qlInterestRateIndexValueDate(IborIndex,Y1634,Trigger)</f>
        <v>50601</v>
      </c>
      <c r="AA1634" s="172">
        <v>1.0652987314097223E-2</v>
      </c>
      <c r="AB1634" s="169">
        <v>1.0655775575987292E-2</v>
      </c>
    </row>
    <row r="1635" spans="20:28" x14ac:dyDescent="0.2">
      <c r="T1635" s="130"/>
      <c r="U1635" s="151"/>
      <c r="X1635" s="170" t="str">
        <f t="shared" si="34"/>
        <v>1w</v>
      </c>
      <c r="Y1635" s="168">
        <f>_xll.qlCalendarAdvance(LiborCalendar,Y1634,X1635,"f",FALSE)</f>
        <v>50606</v>
      </c>
      <c r="Z1635" s="171">
        <f>_xll.qlInterestRateIndexValueDate(IborIndex,Y1635,Trigger)</f>
        <v>50608</v>
      </c>
      <c r="AA1635" s="172">
        <v>1.0650274874573798E-2</v>
      </c>
      <c r="AB1635" s="169">
        <v>1.0653251172820788E-2</v>
      </c>
    </row>
    <row r="1636" spans="20:28" x14ac:dyDescent="0.2">
      <c r="T1636" s="130"/>
      <c r="U1636" s="151"/>
      <c r="X1636" s="170" t="str">
        <f t="shared" si="34"/>
        <v>1w</v>
      </c>
      <c r="Y1636" s="168">
        <f>_xll.qlCalendarAdvance(LiborCalendar,Y1635,X1636,"f",FALSE)</f>
        <v>50613</v>
      </c>
      <c r="Z1636" s="171">
        <f>_xll.qlInterestRateIndexValueDate(IborIndex,Y1636,Trigger)</f>
        <v>50615</v>
      </c>
      <c r="AA1636" s="172">
        <v>1.0647534553939042E-2</v>
      </c>
      <c r="AB1636" s="169">
        <v>1.0650698961498506E-2</v>
      </c>
    </row>
    <row r="1637" spans="20:28" x14ac:dyDescent="0.2">
      <c r="T1637" s="130"/>
      <c r="U1637" s="151"/>
      <c r="X1637" s="170" t="str">
        <f t="shared" si="34"/>
        <v>1w</v>
      </c>
      <c r="Y1637" s="168">
        <f>_xll.qlCalendarAdvance(LiborCalendar,Y1636,X1637,"f",FALSE)</f>
        <v>50620</v>
      </c>
      <c r="Z1637" s="171">
        <f>_xll.qlInterestRateIndexValueDate(IborIndex,Y1637,Trigger)</f>
        <v>50622</v>
      </c>
      <c r="AA1637" s="172">
        <v>1.0644766352252037E-2</v>
      </c>
      <c r="AB1637" s="169">
        <v>1.0648118942020446E-2</v>
      </c>
    </row>
    <row r="1638" spans="20:28" x14ac:dyDescent="0.2">
      <c r="T1638" s="130"/>
      <c r="U1638" s="151"/>
      <c r="X1638" s="170" t="str">
        <f t="shared" si="34"/>
        <v>1w</v>
      </c>
      <c r="Y1638" s="168">
        <f>_xll.qlCalendarAdvance(LiborCalendar,Y1637,X1638,"f",FALSE)</f>
        <v>50627</v>
      </c>
      <c r="Z1638" s="171">
        <f>_xll.qlInterestRateIndexValueDate(IborIndex,Y1638,Trigger)</f>
        <v>50629</v>
      </c>
      <c r="AA1638" s="172">
        <v>1.0641970269571864E-2</v>
      </c>
      <c r="AB1638" s="169">
        <v>1.0645511114466544E-2</v>
      </c>
    </row>
    <row r="1639" spans="20:28" x14ac:dyDescent="0.2">
      <c r="T1639" s="130"/>
      <c r="U1639" s="151"/>
      <c r="X1639" s="170" t="str">
        <f t="shared" si="34"/>
        <v>1w</v>
      </c>
      <c r="Y1639" s="168">
        <f>_xll.qlCalendarAdvance(LiborCalendar,Y1638,X1639,"f",FALSE)</f>
        <v>50634</v>
      </c>
      <c r="Z1639" s="171">
        <f>_xll.qlInterestRateIndexValueDate(IborIndex,Y1639,Trigger)</f>
        <v>50636</v>
      </c>
      <c r="AA1639" s="172">
        <v>1.0639146305957609E-2</v>
      </c>
      <c r="AB1639" s="169">
        <v>1.0642875478756864E-2</v>
      </c>
    </row>
    <row r="1640" spans="20:28" x14ac:dyDescent="0.2">
      <c r="T1640" s="130"/>
      <c r="U1640" s="151"/>
      <c r="X1640" s="170" t="str">
        <f t="shared" si="34"/>
        <v>1w</v>
      </c>
      <c r="Y1640" s="168">
        <f>_xll.qlCalendarAdvance(LiborCalendar,Y1639,X1640,"f",FALSE)</f>
        <v>50641</v>
      </c>
      <c r="Z1640" s="171">
        <f>_xll.qlInterestRateIndexValueDate(IborIndex,Y1640,Trigger)</f>
        <v>50643</v>
      </c>
      <c r="AA1640" s="172">
        <v>1.0636294461470091E-2</v>
      </c>
      <c r="AB1640" s="169">
        <v>1.0640212034891405E-2</v>
      </c>
    </row>
    <row r="1641" spans="20:28" x14ac:dyDescent="0.2">
      <c r="T1641" s="130"/>
      <c r="U1641" s="151"/>
      <c r="X1641" s="170" t="str">
        <f t="shared" si="34"/>
        <v>1w</v>
      </c>
      <c r="Y1641" s="168">
        <f>_xll.qlCalendarAdvance(LiborCalendar,Y1640,X1641,"f",FALSE)</f>
        <v>50648</v>
      </c>
      <c r="Z1641" s="171">
        <f>_xll.qlInterestRateIndexValueDate(IborIndex,Y1641,Trigger)</f>
        <v>50650</v>
      </c>
      <c r="AA1641" s="172">
        <v>1.0633468790762171E-2</v>
      </c>
      <c r="AB1641" s="169">
        <v>1.0637520782950105E-2</v>
      </c>
    </row>
    <row r="1642" spans="20:28" x14ac:dyDescent="0.2">
      <c r="T1642" s="130"/>
      <c r="U1642" s="151"/>
      <c r="X1642" s="170" t="str">
        <f t="shared" si="34"/>
        <v>1w</v>
      </c>
      <c r="Y1642" s="168">
        <f>_xll.qlCalendarAdvance(LiborCalendar,Y1641,X1642,"f",FALSE)</f>
        <v>50655</v>
      </c>
      <c r="Z1642" s="171">
        <f>_xll.qlInterestRateIndexValueDate(IborIndex,Y1642,Trigger)</f>
        <v>50657</v>
      </c>
      <c r="AA1642" s="172">
        <v>1.0630563261883578E-2</v>
      </c>
      <c r="AB1642" s="169">
        <v>1.0634801722932963E-2</v>
      </c>
    </row>
    <row r="1643" spans="20:28" x14ac:dyDescent="0.2">
      <c r="T1643" s="130"/>
      <c r="U1643" s="151"/>
      <c r="X1643" s="170" t="str">
        <f t="shared" si="34"/>
        <v>1w</v>
      </c>
      <c r="Y1643" s="168">
        <f>_xll.qlCalendarAdvance(LiborCalendar,Y1642,X1643,"f",FALSE)</f>
        <v>50662</v>
      </c>
      <c r="Z1643" s="171">
        <f>_xll.qlInterestRateIndexValueDate(IborIndex,Y1643,Trigger)</f>
        <v>50664</v>
      </c>
      <c r="AA1643" s="172">
        <v>1.0627629853109669E-2</v>
      </c>
      <c r="AB1643" s="169">
        <v>1.0632054854760042E-2</v>
      </c>
    </row>
    <row r="1644" spans="20:28" x14ac:dyDescent="0.2">
      <c r="T1644" s="130"/>
      <c r="U1644" s="151"/>
      <c r="X1644" s="170" t="str">
        <f t="shared" si="34"/>
        <v>1w</v>
      </c>
      <c r="Y1644" s="168">
        <f>_xll.qlCalendarAdvance(LiborCalendar,Y1643,X1644,"f",FALSE)</f>
        <v>50669</v>
      </c>
      <c r="Z1644" s="171">
        <f>_xll.qlInterestRateIndexValueDate(IborIndex,Y1644,Trigger)</f>
        <v>50671</v>
      </c>
      <c r="AA1644" s="172">
        <v>1.0624668564501935E-2</v>
      </c>
      <c r="AB1644" s="169">
        <v>1.0629280178431344E-2</v>
      </c>
    </row>
    <row r="1645" spans="20:28" x14ac:dyDescent="0.2">
      <c r="T1645" s="130"/>
      <c r="U1645" s="151"/>
      <c r="X1645" s="170" t="str">
        <f t="shared" si="34"/>
        <v>1w</v>
      </c>
      <c r="Y1645" s="168">
        <f>_xll.qlCalendarAdvance(LiborCalendar,Y1644,X1645,"f",FALSE)</f>
        <v>50676</v>
      </c>
      <c r="Z1645" s="171">
        <f>_xll.qlInterestRateIndexValueDate(IborIndex,Y1645,Trigger)</f>
        <v>50678</v>
      </c>
      <c r="AA1645" s="172">
        <v>1.0621617028076201E-2</v>
      </c>
      <c r="AB1645" s="169">
        <v>1.0626477693946867E-2</v>
      </c>
    </row>
    <row r="1646" spans="20:28" x14ac:dyDescent="0.2">
      <c r="T1646" s="130"/>
      <c r="U1646" s="151"/>
      <c r="X1646" s="170" t="str">
        <f t="shared" si="34"/>
        <v>1w</v>
      </c>
      <c r="Y1646" s="168">
        <f>_xll.qlCalendarAdvance(LiborCalendar,Y1645,X1646,"f",FALSE)</f>
        <v>50683</v>
      </c>
      <c r="Z1646" s="171">
        <f>_xll.qlInterestRateIndexValueDate(IborIndex,Y1646,Trigger)</f>
        <v>50685</v>
      </c>
      <c r="AA1646" s="172">
        <v>1.0618597899644594E-2</v>
      </c>
      <c r="AB1646" s="169">
        <v>1.0623647401386549E-2</v>
      </c>
    </row>
    <row r="1647" spans="20:28" x14ac:dyDescent="0.2">
      <c r="T1647" s="130"/>
      <c r="U1647" s="151"/>
      <c r="X1647" s="170" t="str">
        <f t="shared" si="34"/>
        <v>1w</v>
      </c>
      <c r="Y1647" s="168">
        <f>_xll.qlCalendarAdvance(LiborCalendar,Y1646,X1647,"f",FALSE)</f>
        <v>50690</v>
      </c>
      <c r="Z1647" s="171">
        <f>_xll.qlInterestRateIndexValueDate(IborIndex,Y1647,Trigger)</f>
        <v>50692</v>
      </c>
      <c r="AA1647" s="172">
        <v>1.0615550890776768E-2</v>
      </c>
      <c r="AB1647" s="169">
        <v>1.0620789300750388E-2</v>
      </c>
    </row>
    <row r="1648" spans="20:28" x14ac:dyDescent="0.2">
      <c r="T1648" s="130"/>
      <c r="U1648" s="151"/>
      <c r="X1648" s="170" t="str">
        <f t="shared" si="34"/>
        <v>1w</v>
      </c>
      <c r="Y1648" s="168">
        <f>_xll.qlCalendarAdvance(LiborCalendar,Y1647,X1648,"f",FALSE)</f>
        <v>50697</v>
      </c>
      <c r="Z1648" s="171">
        <f>_xll.qlInterestRateIndexValueDate(IborIndex,Y1648,Trigger)</f>
        <v>50699</v>
      </c>
      <c r="AA1648" s="172">
        <v>1.0612476001539623E-2</v>
      </c>
      <c r="AB1648" s="169">
        <v>1.061790339195845E-2</v>
      </c>
    </row>
    <row r="1649" spans="20:28" x14ac:dyDescent="0.2">
      <c r="T1649" s="130"/>
      <c r="U1649" s="151"/>
      <c r="X1649" s="170" t="str">
        <f t="shared" si="34"/>
        <v>1w</v>
      </c>
      <c r="Y1649" s="168">
        <f>_xll.qlCalendarAdvance(LiborCalendar,Y1648,X1649,"f",FALSE)</f>
        <v>50704</v>
      </c>
      <c r="Z1649" s="171">
        <f>_xll.qlInterestRateIndexValueDate(IborIndex,Y1649,Trigger)</f>
        <v>50706</v>
      </c>
      <c r="AA1649" s="172">
        <v>1.0609373231996589E-2</v>
      </c>
      <c r="AB1649" s="169">
        <v>1.0614989675010733E-2</v>
      </c>
    </row>
    <row r="1650" spans="20:28" x14ac:dyDescent="0.2">
      <c r="T1650" s="130"/>
      <c r="U1650" s="151"/>
      <c r="X1650" s="170" t="str">
        <f t="shared" si="34"/>
        <v>1w</v>
      </c>
      <c r="Y1650" s="168">
        <f>_xll.qlCalendarAdvance(LiborCalendar,Y1649,X1650,"f",FALSE)</f>
        <v>50711</v>
      </c>
      <c r="Z1650" s="171">
        <f>_xll.qlInterestRateIndexValueDate(IborIndex,Y1650,Trigger)</f>
        <v>50713</v>
      </c>
      <c r="AA1650" s="172">
        <v>1.0606242582214567E-2</v>
      </c>
      <c r="AB1650" s="169">
        <v>1.0612048149987174E-2</v>
      </c>
    </row>
    <row r="1651" spans="20:28" x14ac:dyDescent="0.2">
      <c r="T1651" s="130"/>
      <c r="U1651" s="151"/>
      <c r="X1651" s="170" t="str">
        <f t="shared" si="34"/>
        <v>1w</v>
      </c>
      <c r="Y1651" s="168">
        <f>_xll.qlCalendarAdvance(LiborCalendar,Y1650,X1651,"f",FALSE)</f>
        <v>50718</v>
      </c>
      <c r="Z1651" s="171">
        <f>_xll.qlInterestRateIndexValueDate(IborIndex,Y1651,Trigger)</f>
        <v>50720</v>
      </c>
      <c r="AA1651" s="172">
        <v>1.0603084052261331E-2</v>
      </c>
      <c r="AB1651" s="169">
        <v>1.0609078816807838E-2</v>
      </c>
    </row>
    <row r="1652" spans="20:28" x14ac:dyDescent="0.2">
      <c r="T1652" s="130"/>
      <c r="U1652" s="151"/>
      <c r="X1652" s="170" t="str">
        <f t="shared" si="34"/>
        <v>1w</v>
      </c>
      <c r="Y1652" s="168">
        <f>_xll.qlCalendarAdvance(LiborCalendar,Y1651,X1652,"f",FALSE)</f>
        <v>50725</v>
      </c>
      <c r="Z1652" s="171">
        <f>_xll.qlInterestRateIndexValueDate(IborIndex,Y1652,Trigger)</f>
        <v>50727</v>
      </c>
      <c r="AA1652" s="172">
        <v>1.0599897642202044E-2</v>
      </c>
      <c r="AB1652" s="169">
        <v>1.0606081675552659E-2</v>
      </c>
    </row>
    <row r="1653" spans="20:28" x14ac:dyDescent="0.2">
      <c r="T1653" s="130"/>
      <c r="U1653" s="151"/>
      <c r="X1653" s="170" t="str">
        <f t="shared" si="34"/>
        <v>1w</v>
      </c>
      <c r="Y1653" s="168">
        <f>_xll.qlCalendarAdvance(LiborCalendar,Y1652,X1653,"f",FALSE)</f>
        <v>50732</v>
      </c>
      <c r="Z1653" s="171">
        <f>_xll.qlInterestRateIndexValueDate(IborIndex,Y1653,Trigger)</f>
        <v>50734</v>
      </c>
      <c r="AA1653" s="172">
        <v>1.0596683352106218E-2</v>
      </c>
      <c r="AB1653" s="169">
        <v>1.0603056726221638E-2</v>
      </c>
    </row>
    <row r="1654" spans="20:28" x14ac:dyDescent="0.2">
      <c r="T1654" s="130"/>
      <c r="U1654" s="151"/>
      <c r="X1654" s="170" t="str">
        <f t="shared" si="34"/>
        <v>1w</v>
      </c>
      <c r="Y1654" s="168">
        <f>_xll.qlCalendarAdvance(LiborCalendar,Y1653,X1654,"f",FALSE)</f>
        <v>50739</v>
      </c>
      <c r="Z1654" s="171">
        <f>_xll.qlInterestRateIndexValueDate(IborIndex,Y1654,Trigger)</f>
        <v>50741</v>
      </c>
      <c r="AA1654" s="172">
        <v>1.0593603220664605E-2</v>
      </c>
      <c r="AB1654" s="169">
        <v>1.0600003968734839E-2</v>
      </c>
    </row>
    <row r="1655" spans="20:28" x14ac:dyDescent="0.2">
      <c r="T1655" s="130"/>
      <c r="U1655" s="151"/>
      <c r="X1655" s="170" t="str">
        <f t="shared" si="34"/>
        <v>1w</v>
      </c>
      <c r="Y1655" s="168">
        <f>_xll.qlCalendarAdvance(LiborCalendar,Y1654,X1655,"f",FALSE)</f>
        <v>50746</v>
      </c>
      <c r="Z1655" s="171">
        <f>_xll.qlInterestRateIndexValueDate(IborIndex,Y1655,Trigger)</f>
        <v>50748</v>
      </c>
      <c r="AA1655" s="172">
        <v>1.0590337345462331E-2</v>
      </c>
      <c r="AB1655" s="169">
        <v>1.0596923403092262E-2</v>
      </c>
    </row>
    <row r="1656" spans="20:28" x14ac:dyDescent="0.2">
      <c r="T1656" s="130"/>
      <c r="U1656" s="151"/>
      <c r="X1656" s="170" t="str">
        <f t="shared" si="34"/>
        <v>1w</v>
      </c>
      <c r="Y1656" s="168">
        <f>_xll.qlCalendarAdvance(LiborCalendar,Y1655,X1656,"f",FALSE)</f>
        <v>50753</v>
      </c>
      <c r="Z1656" s="171">
        <f>_xll.qlInterestRateIndexValueDate(IborIndex,Y1656,Trigger)</f>
        <v>50755</v>
      </c>
      <c r="AA1656" s="172">
        <v>1.0587043591999468E-2</v>
      </c>
      <c r="AB1656" s="169">
        <v>1.0593815029373843E-2</v>
      </c>
    </row>
    <row r="1657" spans="20:28" x14ac:dyDescent="0.2">
      <c r="T1657" s="130"/>
      <c r="U1657" s="151"/>
      <c r="X1657" s="170" t="str">
        <f t="shared" si="34"/>
        <v>1w</v>
      </c>
      <c r="Y1657" s="168">
        <f>_xll.qlCalendarAdvance(LiborCalendar,Y1656,X1657,"f",FALSE)</f>
        <v>50760</v>
      </c>
      <c r="Z1657" s="171">
        <f>_xll.qlInterestRateIndexValueDate(IborIndex,Y1657,Trigger)</f>
        <v>50762</v>
      </c>
      <c r="AA1657" s="172">
        <v>1.0583721960343517E-2</v>
      </c>
      <c r="AB1657" s="169">
        <v>1.0590678847579582E-2</v>
      </c>
    </row>
    <row r="1658" spans="20:28" x14ac:dyDescent="0.2">
      <c r="T1658" s="130"/>
      <c r="U1658" s="151"/>
      <c r="X1658" s="170" t="str">
        <f t="shared" si="34"/>
        <v>1w</v>
      </c>
      <c r="Y1658" s="168">
        <f>_xll.qlCalendarAdvance(LiborCalendar,Y1657,X1658,"f",FALSE)</f>
        <v>50768</v>
      </c>
      <c r="Z1658" s="171">
        <f>_xll.qlInterestRateIndexValueDate(IborIndex,Y1658,Trigger)</f>
        <v>50770</v>
      </c>
      <c r="AA1658" s="172">
        <v>1.0579891673407005E-2</v>
      </c>
      <c r="AB1658" s="169">
        <v>1.058684474060767E-2</v>
      </c>
    </row>
    <row r="1659" spans="20:28" x14ac:dyDescent="0.2">
      <c r="T1659" s="130"/>
      <c r="U1659" s="151"/>
      <c r="X1659" s="170" t="str">
        <f t="shared" si="34"/>
        <v>1w</v>
      </c>
      <c r="Y1659" s="168">
        <f>_xll.qlCalendarAdvance(LiborCalendar,Y1658,X1659,"f",FALSE)</f>
        <v>50775</v>
      </c>
      <c r="Z1659" s="171">
        <f>_xll.qlInterestRateIndexValueDate(IborIndex,Y1659,Trigger)</f>
        <v>50777</v>
      </c>
      <c r="AA1659" s="172">
        <v>1.0576510303001108E-2</v>
      </c>
      <c r="AB1659" s="169">
        <v>1.05837169581946E-2</v>
      </c>
    </row>
    <row r="1660" spans="20:28" x14ac:dyDescent="0.2">
      <c r="T1660" s="130"/>
      <c r="U1660" s="151"/>
      <c r="X1660" s="170" t="str">
        <f t="shared" si="34"/>
        <v>1w</v>
      </c>
      <c r="Y1660" s="168">
        <f>_xll.qlCalendarAdvance(LiborCalendar,Y1659,X1660,"f",FALSE)</f>
        <v>50782</v>
      </c>
      <c r="Z1660" s="171">
        <f>_xll.qlInterestRateIndexValueDate(IborIndex,Y1660,Trigger)</f>
        <v>50784</v>
      </c>
      <c r="AA1660" s="172">
        <v>1.057310105462328E-2</v>
      </c>
      <c r="AB1660" s="169">
        <v>1.0580489217106859E-2</v>
      </c>
    </row>
    <row r="1661" spans="20:28" x14ac:dyDescent="0.2">
      <c r="T1661" s="130"/>
      <c r="U1661" s="151"/>
      <c r="X1661" s="170" t="str">
        <f t="shared" si="34"/>
        <v>1w</v>
      </c>
      <c r="Y1661" s="168">
        <f>_xll.qlCalendarAdvance(LiborCalendar,Y1660,X1661,"f",FALSE)</f>
        <v>50789</v>
      </c>
      <c r="Z1661" s="171">
        <f>_xll.qlInterestRateIndexValueDate(IborIndex,Y1661,Trigger)</f>
        <v>50791</v>
      </c>
      <c r="AA1661" s="172">
        <v>1.0569663928342798E-2</v>
      </c>
      <c r="AB1661" s="169">
        <v>1.0577233666344554E-2</v>
      </c>
    </row>
    <row r="1662" spans="20:28" x14ac:dyDescent="0.2">
      <c r="T1662" s="130"/>
      <c r="U1662" s="151"/>
      <c r="X1662" s="170" t="str">
        <f t="shared" si="34"/>
        <v>1w</v>
      </c>
      <c r="Y1662" s="168">
        <f>_xll.qlCalendarAdvance(LiborCalendar,Y1661,X1662,"f",FALSE)</f>
        <v>50796</v>
      </c>
      <c r="Z1662" s="171">
        <f>_xll.qlInterestRateIndexValueDate(IborIndex,Y1662,Trigger)</f>
        <v>50798</v>
      </c>
      <c r="AA1662" s="172">
        <v>1.0566198924233383E-2</v>
      </c>
      <c r="AB1662" s="169">
        <v>1.0573950305907687E-2</v>
      </c>
    </row>
    <row r="1663" spans="20:28" x14ac:dyDescent="0.2">
      <c r="T1663" s="130"/>
      <c r="U1663" s="151"/>
      <c r="X1663" s="170" t="str">
        <f t="shared" si="34"/>
        <v>1w</v>
      </c>
      <c r="Y1663" s="168">
        <f>_xll.qlCalendarAdvance(LiborCalendar,Y1662,X1663,"f",FALSE)</f>
        <v>50803</v>
      </c>
      <c r="Z1663" s="171">
        <f>_xll.qlInterestRateIndexValueDate(IborIndex,Y1663,Trigger)</f>
        <v>50805</v>
      </c>
      <c r="AA1663" s="172">
        <v>1.056280587308033E-2</v>
      </c>
      <c r="AB1663" s="169">
        <v>1.0570639135769611E-2</v>
      </c>
    </row>
    <row r="1664" spans="20:28" x14ac:dyDescent="0.2">
      <c r="T1664" s="130"/>
      <c r="U1664" s="151"/>
      <c r="X1664" s="170" t="str">
        <f t="shared" si="34"/>
        <v>1w</v>
      </c>
      <c r="Y1664" s="168">
        <f>_xll.qlCalendarAdvance(LiborCalendar,Y1663,X1664,"f",FALSE)</f>
        <v>50810</v>
      </c>
      <c r="Z1664" s="171">
        <f>_xll.qlInterestRateIndexValueDate(IborIndex,Y1664,Trigger)</f>
        <v>50812</v>
      </c>
      <c r="AA1664" s="172">
        <v>1.055928720787663E-2</v>
      </c>
      <c r="AB1664" s="169">
        <v>1.0567300155956971E-2</v>
      </c>
    </row>
    <row r="1665" spans="20:28" x14ac:dyDescent="0.2">
      <c r="T1665" s="130"/>
      <c r="U1665" s="151"/>
      <c r="X1665" s="170" t="str">
        <f t="shared" si="34"/>
        <v>1w</v>
      </c>
      <c r="Y1665" s="168">
        <f>_xll.qlCalendarAdvance(LiborCalendar,Y1664,X1665,"f",FALSE)</f>
        <v>50817</v>
      </c>
      <c r="Z1665" s="171">
        <f>_xll.qlInterestRateIndexValueDate(IborIndex,Y1665,Trigger)</f>
        <v>50819</v>
      </c>
      <c r="AA1665" s="172">
        <v>1.0555740665838606E-2</v>
      </c>
      <c r="AB1665" s="169">
        <v>1.0563933366469769E-2</v>
      </c>
    </row>
    <row r="1666" spans="20:28" x14ac:dyDescent="0.2">
      <c r="T1666" s="130"/>
      <c r="U1666" s="151"/>
      <c r="X1666" s="170" t="str">
        <f t="shared" si="34"/>
        <v>1w</v>
      </c>
      <c r="Y1666" s="168">
        <f>_xll.qlCalendarAdvance(LiborCalendar,Y1665,X1666,"f",FALSE)</f>
        <v>50824</v>
      </c>
      <c r="Z1666" s="171">
        <f>_xll.qlInterestRateIndexValueDate(IborIndex,Y1666,Trigger)</f>
        <v>50826</v>
      </c>
      <c r="AA1666" s="172">
        <v>1.055216624703811E-2</v>
      </c>
      <c r="AB1666" s="169">
        <v>1.0560538767334648E-2</v>
      </c>
    </row>
    <row r="1667" spans="20:28" x14ac:dyDescent="0.2">
      <c r="T1667" s="130"/>
      <c r="U1667" s="151"/>
      <c r="X1667" s="170" t="str">
        <f t="shared" si="34"/>
        <v>1w</v>
      </c>
      <c r="Y1667" s="168">
        <f>_xll.qlCalendarAdvance(LiborCalendar,Y1666,X1667,"f",FALSE)</f>
        <v>50831</v>
      </c>
      <c r="Z1667" s="171">
        <f>_xll.qlInterestRateIndexValueDate(IborIndex,Y1667,Trigger)</f>
        <v>50833</v>
      </c>
      <c r="AA1667" s="172">
        <v>1.0548020867457701E-2</v>
      </c>
      <c r="AB1667" s="169">
        <v>1.0557116358471674E-2</v>
      </c>
    </row>
    <row r="1668" spans="20:28" x14ac:dyDescent="0.2">
      <c r="T1668" s="130"/>
      <c r="U1668" s="151"/>
      <c r="X1668" s="170" t="str">
        <f t="shared" si="34"/>
        <v>1w</v>
      </c>
      <c r="Y1668" s="168">
        <f>_xll.qlCalendarAdvance(LiborCalendar,Y1667,X1668,"f",FALSE)</f>
        <v>50838</v>
      </c>
      <c r="Z1668" s="171">
        <f>_xll.qlInterestRateIndexValueDate(IborIndex,Y1668,Trigger)</f>
        <v>50840</v>
      </c>
      <c r="AA1668" s="172">
        <v>1.0544380206967177E-2</v>
      </c>
      <c r="AB1668" s="169">
        <v>1.0553666139987428E-2</v>
      </c>
    </row>
    <row r="1669" spans="20:28" x14ac:dyDescent="0.2">
      <c r="T1669" s="130"/>
      <c r="U1669" s="151"/>
      <c r="X1669" s="170" t="str">
        <f t="shared" si="34"/>
        <v>1w</v>
      </c>
      <c r="Y1669" s="168">
        <f>_xll.qlCalendarAdvance(LiborCalendar,Y1668,X1669,"f",FALSE)</f>
        <v>50845</v>
      </c>
      <c r="Z1669" s="171">
        <f>_xll.qlInterestRateIndexValueDate(IborIndex,Y1669,Trigger)</f>
        <v>50847</v>
      </c>
      <c r="AA1669" s="172">
        <v>1.0540711666071434E-2</v>
      </c>
      <c r="AB1669" s="169">
        <v>1.0550188111828618E-2</v>
      </c>
    </row>
    <row r="1670" spans="20:28" x14ac:dyDescent="0.2">
      <c r="T1670" s="130"/>
      <c r="U1670" s="151"/>
      <c r="X1670" s="170" t="str">
        <f t="shared" si="34"/>
        <v>1w</v>
      </c>
      <c r="Y1670" s="168">
        <f>_xll.qlCalendarAdvance(LiborCalendar,Y1669,X1670,"f",FALSE)</f>
        <v>50852</v>
      </c>
      <c r="Z1670" s="171">
        <f>_xll.qlInterestRateIndexValueDate(IborIndex,Y1670,Trigger)</f>
        <v>50854</v>
      </c>
      <c r="AA1670" s="172">
        <v>1.0537015244852958E-2</v>
      </c>
      <c r="AB1670" s="169">
        <v>1.0546682273995245E-2</v>
      </c>
    </row>
    <row r="1671" spans="20:28" x14ac:dyDescent="0.2">
      <c r="T1671" s="130"/>
      <c r="U1671" s="151"/>
      <c r="X1671" s="170" t="str">
        <f t="shared" si="34"/>
        <v>1w</v>
      </c>
      <c r="Y1671" s="168">
        <f>_xll.qlCalendarAdvance(LiborCalendar,Y1670,X1671,"f",FALSE)</f>
        <v>50859</v>
      </c>
      <c r="Z1671" s="171">
        <f>_xll.qlInterestRateIndexValueDate(IborIndex,Y1671,Trigger)</f>
        <v>50861</v>
      </c>
      <c r="AA1671" s="172">
        <v>1.0533642587345233E-2</v>
      </c>
      <c r="AB1671" s="169">
        <v>1.0543148626487309E-2</v>
      </c>
    </row>
    <row r="1672" spans="20:28" x14ac:dyDescent="0.2">
      <c r="T1672" s="130"/>
      <c r="U1672" s="151"/>
      <c r="X1672" s="170" t="str">
        <f t="shared" si="34"/>
        <v>1w</v>
      </c>
      <c r="Y1672" s="168">
        <f>_xll.qlCalendarAdvance(LiborCalendar,Y1671,X1672,"f",FALSE)</f>
        <v>50866</v>
      </c>
      <c r="Z1672" s="171">
        <f>_xll.qlInterestRateIndexValueDate(IborIndex,Y1672,Trigger)</f>
        <v>50872</v>
      </c>
      <c r="AA1672" s="172">
        <v>1.0527743689519642E-2</v>
      </c>
      <c r="AB1672" s="169">
        <v>1.0537744047915965E-2</v>
      </c>
    </row>
    <row r="1673" spans="20:28" x14ac:dyDescent="0.2">
      <c r="T1673" s="130"/>
      <c r="U1673" s="151"/>
      <c r="X1673" s="170" t="str">
        <f t="shared" si="34"/>
        <v>1w</v>
      </c>
      <c r="Y1673" s="168">
        <f>_xll.qlCalendarAdvance(LiborCalendar,Y1672,X1673,"f",FALSE)</f>
        <v>50873</v>
      </c>
      <c r="Z1673" s="171">
        <f>_xll.qlInterestRateIndexValueDate(IborIndex,Y1673,Trigger)</f>
        <v>50875</v>
      </c>
      <c r="AA1673" s="172">
        <v>1.0526122951593357E-2</v>
      </c>
      <c r="AB1673" s="169">
        <v>1.0535997902554328E-2</v>
      </c>
    </row>
    <row r="1674" spans="20:28" x14ac:dyDescent="0.2">
      <c r="T1674" s="130"/>
      <c r="U1674" s="151"/>
      <c r="X1674" s="170" t="str">
        <f t="shared" si="34"/>
        <v>1w</v>
      </c>
      <c r="Y1674" s="168">
        <f>_xll.qlCalendarAdvance(LiborCalendar,Y1673,X1674,"f",FALSE)</f>
        <v>50880</v>
      </c>
      <c r="Z1674" s="171">
        <f>_xll.qlInterestRateIndexValueDate(IborIndex,Y1674,Trigger)</f>
        <v>50882</v>
      </c>
      <c r="AA1674" s="172">
        <v>1.0522321317136452E-2</v>
      </c>
      <c r="AB1674" s="169">
        <v>1.0532380826075993E-2</v>
      </c>
    </row>
    <row r="1675" spans="20:28" x14ac:dyDescent="0.2">
      <c r="T1675" s="130"/>
      <c r="U1675" s="151"/>
      <c r="X1675" s="170" t="str">
        <f t="shared" si="34"/>
        <v>1w</v>
      </c>
      <c r="Y1675" s="168">
        <f>_xll.qlCalendarAdvance(LiborCalendar,Y1674,X1675,"f",FALSE)</f>
        <v>50887</v>
      </c>
      <c r="Z1675" s="171">
        <f>_xll.qlInterestRateIndexValueDate(IborIndex,Y1675,Trigger)</f>
        <v>50889</v>
      </c>
      <c r="AA1675" s="172">
        <v>1.0518491805068119E-2</v>
      </c>
      <c r="AB1675" s="169">
        <v>1.0528628314907529E-2</v>
      </c>
    </row>
    <row r="1676" spans="20:28" x14ac:dyDescent="0.2">
      <c r="T1676" s="130"/>
      <c r="U1676" s="151"/>
      <c r="X1676" s="170" t="str">
        <f t="shared" si="34"/>
        <v>1w</v>
      </c>
      <c r="Y1676" s="168">
        <f>_xll.qlCalendarAdvance(LiborCalendar,Y1675,X1676,"f",FALSE)</f>
        <v>50894</v>
      </c>
      <c r="Z1676" s="171">
        <f>_xll.qlInterestRateIndexValueDate(IborIndex,Y1676,Trigger)</f>
        <v>50896</v>
      </c>
      <c r="AA1676" s="172">
        <v>1.0514251235287091E-2</v>
      </c>
      <c r="AB1676" s="169">
        <v>1.0525063244202215E-2</v>
      </c>
    </row>
    <row r="1677" spans="20:28" x14ac:dyDescent="0.2">
      <c r="T1677" s="130"/>
      <c r="U1677" s="151"/>
      <c r="X1677" s="170" t="str">
        <f t="shared" si="34"/>
        <v>1w</v>
      </c>
      <c r="Y1677" s="168">
        <f>_xll.qlCalendarAdvance(LiborCalendar,Y1676,X1677,"f",FALSE)</f>
        <v>50901</v>
      </c>
      <c r="Z1677" s="171">
        <f>_xll.qlInterestRateIndexValueDate(IborIndex,Y1677,Trigger)</f>
        <v>50903</v>
      </c>
      <c r="AA1677" s="172">
        <v>1.0510359654089375E-2</v>
      </c>
      <c r="AB1677" s="169">
        <v>1.0521362738806772E-2</v>
      </c>
    </row>
    <row r="1678" spans="20:28" x14ac:dyDescent="0.2">
      <c r="T1678" s="130"/>
      <c r="U1678" s="151"/>
      <c r="X1678" s="170" t="str">
        <f t="shared" si="34"/>
        <v>1w</v>
      </c>
      <c r="Y1678" s="168">
        <f>_xll.qlCalendarAdvance(LiborCalendar,Y1677,X1678,"f",FALSE)</f>
        <v>50908</v>
      </c>
      <c r="Z1678" s="171">
        <f>_xll.qlInterestRateIndexValueDate(IborIndex,Y1678,Trigger)</f>
        <v>50910</v>
      </c>
      <c r="AA1678" s="172">
        <v>1.0506440193228826E-2</v>
      </c>
      <c r="AB1678" s="169">
        <v>1.0517634423736766E-2</v>
      </c>
    </row>
    <row r="1679" spans="20:28" x14ac:dyDescent="0.2">
      <c r="T1679" s="130"/>
      <c r="U1679" s="151"/>
      <c r="X1679" s="170" t="str">
        <f t="shared" si="34"/>
        <v>1w</v>
      </c>
      <c r="Y1679" s="168">
        <f>_xll.qlCalendarAdvance(LiborCalendar,Y1678,X1679,"f",FALSE)</f>
        <v>50915</v>
      </c>
      <c r="Z1679" s="171">
        <f>_xll.qlInterestRateIndexValueDate(IborIndex,Y1679,Trigger)</f>
        <v>50917</v>
      </c>
      <c r="AA1679" s="172">
        <v>1.0502358402774335E-2</v>
      </c>
      <c r="AB1679" s="169">
        <v>1.0513762293933304E-2</v>
      </c>
    </row>
    <row r="1680" spans="20:28" x14ac:dyDescent="0.2">
      <c r="T1680" s="130"/>
      <c r="U1680" s="151"/>
      <c r="X1680" s="170" t="str">
        <f t="shared" si="34"/>
        <v>1w</v>
      </c>
      <c r="Y1680" s="168">
        <f>_xll.qlCalendarAdvance(LiborCalendar,Y1679,X1680,"f",FALSE)</f>
        <v>50922</v>
      </c>
      <c r="Z1680" s="171">
        <f>_xll.qlInterestRateIndexValueDate(IborIndex,Y1680,Trigger)</f>
        <v>50924</v>
      </c>
      <c r="AA1680" s="172">
        <v>1.049851763285938E-2</v>
      </c>
      <c r="AB1680" s="169">
        <v>1.0510094364706291E-2</v>
      </c>
    </row>
    <row r="1681" spans="20:28" x14ac:dyDescent="0.2">
      <c r="T1681" s="130"/>
      <c r="U1681" s="151"/>
      <c r="X1681" s="170" t="str">
        <f t="shared" si="34"/>
        <v>1w</v>
      </c>
      <c r="Y1681" s="168">
        <f>_xll.qlCalendarAdvance(LiborCalendar,Y1680,X1681,"f",FALSE)</f>
        <v>50929</v>
      </c>
      <c r="Z1681" s="171">
        <f>_xll.qlInterestRateIndexValueDate(IborIndex,Y1681,Trigger)</f>
        <v>50931</v>
      </c>
      <c r="AA1681" s="172">
        <v>1.0494514533524811E-2</v>
      </c>
      <c r="AB1681" s="169">
        <v>1.0506282620745822E-2</v>
      </c>
    </row>
    <row r="1682" spans="20:28" x14ac:dyDescent="0.2">
      <c r="T1682" s="130"/>
      <c r="U1682" s="151"/>
      <c r="X1682" s="170" t="str">
        <f t="shared" si="34"/>
        <v>1w</v>
      </c>
      <c r="Y1682" s="168">
        <f>_xll.qlCalendarAdvance(LiborCalendar,Y1681,X1682,"f",FALSE)</f>
        <v>50936</v>
      </c>
      <c r="Z1682" s="171">
        <f>_xll.qlInterestRateIndexValueDate(IborIndex,Y1682,Trigger)</f>
        <v>50938</v>
      </c>
      <c r="AA1682" s="172">
        <v>1.0490483554872665E-2</v>
      </c>
      <c r="AB1682" s="169">
        <v>1.0502443067110789E-2</v>
      </c>
    </row>
    <row r="1683" spans="20:28" x14ac:dyDescent="0.2">
      <c r="T1683" s="130"/>
      <c r="U1683" s="151"/>
      <c r="X1683" s="170" t="str">
        <f t="shared" si="34"/>
        <v>1w</v>
      </c>
      <c r="Y1683" s="168">
        <f>_xll.qlCalendarAdvance(LiborCalendar,Y1682,X1683,"f",FALSE)</f>
        <v>50943</v>
      </c>
      <c r="Z1683" s="171">
        <f>_xll.qlInterestRateIndexValueDate(IborIndex,Y1683,Trigger)</f>
        <v>50945</v>
      </c>
      <c r="AA1683" s="172">
        <v>1.0486424696990529E-2</v>
      </c>
      <c r="AB1683" s="169">
        <v>1.0498575703907775E-2</v>
      </c>
    </row>
    <row r="1684" spans="20:28" x14ac:dyDescent="0.2">
      <c r="T1684" s="130"/>
      <c r="U1684" s="151"/>
      <c r="X1684" s="170" t="str">
        <f t="shared" si="34"/>
        <v>1w</v>
      </c>
      <c r="Y1684" s="168">
        <f>_xll.qlCalendarAdvance(LiborCalendar,Y1683,X1684,"f",FALSE)</f>
        <v>50950</v>
      </c>
      <c r="Z1684" s="171">
        <f>_xll.qlInterestRateIndexValueDate(IborIndex,Y1684,Trigger)</f>
        <v>50952</v>
      </c>
      <c r="AA1684" s="172">
        <v>1.0482337959965997E-2</v>
      </c>
      <c r="AB1684" s="169">
        <v>1.0494680531030198E-2</v>
      </c>
    </row>
    <row r="1685" spans="20:28" x14ac:dyDescent="0.2">
      <c r="T1685" s="130"/>
      <c r="U1685" s="151"/>
      <c r="X1685" s="170" t="str">
        <f t="shared" ref="X1685:X1748" si="35">X1684</f>
        <v>1w</v>
      </c>
      <c r="Y1685" s="168">
        <f>_xll.qlCalendarAdvance(LiborCalendar,Y1684,X1685,"f",FALSE)</f>
        <v>50957</v>
      </c>
      <c r="Z1685" s="171">
        <f>_xll.qlInterestRateIndexValueDate(IborIndex,Y1685,Trigger)</f>
        <v>50959</v>
      </c>
      <c r="AA1685" s="172">
        <v>1.0478223343889204E-2</v>
      </c>
      <c r="AB1685" s="169">
        <v>1.0490757548531349E-2</v>
      </c>
    </row>
    <row r="1686" spans="20:28" x14ac:dyDescent="0.2">
      <c r="T1686" s="130"/>
      <c r="U1686" s="151"/>
      <c r="X1686" s="170" t="str">
        <f t="shared" si="35"/>
        <v>1w</v>
      </c>
      <c r="Y1686" s="168">
        <f>_xll.qlCalendarAdvance(LiborCalendar,Y1685,X1686,"f",FALSE)</f>
        <v>50964</v>
      </c>
      <c r="Z1686" s="171">
        <f>_xll.qlInterestRateIndexValueDate(IborIndex,Y1686,Trigger)</f>
        <v>50966</v>
      </c>
      <c r="AA1686" s="172">
        <v>1.0474080848850294E-2</v>
      </c>
      <c r="AB1686" s="169">
        <v>1.0486806756411227E-2</v>
      </c>
    </row>
    <row r="1687" spans="20:28" x14ac:dyDescent="0.2">
      <c r="T1687" s="130"/>
      <c r="U1687" s="151"/>
      <c r="X1687" s="170" t="str">
        <f t="shared" si="35"/>
        <v>1w</v>
      </c>
      <c r="Y1687" s="168">
        <f>_xll.qlCalendarAdvance(LiborCalendar,Y1686,X1687,"f",FALSE)</f>
        <v>50971</v>
      </c>
      <c r="Z1687" s="171">
        <f>_xll.qlInterestRateIndexValueDate(IborIndex,Y1687,Trigger)</f>
        <v>50973</v>
      </c>
      <c r="AA1687" s="172">
        <v>1.0469910474938558E-2</v>
      </c>
      <c r="AB1687" s="169">
        <v>1.0482828154696477E-2</v>
      </c>
    </row>
    <row r="1688" spans="20:28" x14ac:dyDescent="0.2">
      <c r="T1688" s="130"/>
      <c r="U1688" s="151"/>
      <c r="X1688" s="170" t="str">
        <f t="shared" si="35"/>
        <v>1w</v>
      </c>
      <c r="Y1688" s="168">
        <f>_xll.qlCalendarAdvance(LiborCalendar,Y1687,X1688,"f",FALSE)</f>
        <v>50978</v>
      </c>
      <c r="Z1688" s="171">
        <f>_xll.qlInterestRateIndexValueDate(IborIndex,Y1688,Trigger)</f>
        <v>50980</v>
      </c>
      <c r="AA1688" s="172">
        <v>1.0465712222244985E-2</v>
      </c>
      <c r="AB1688" s="169">
        <v>1.047882174333381E-2</v>
      </c>
    </row>
    <row r="1689" spans="20:28" x14ac:dyDescent="0.2">
      <c r="T1689" s="130"/>
      <c r="U1689" s="151"/>
      <c r="X1689" s="170" t="str">
        <f t="shared" si="35"/>
        <v>1w</v>
      </c>
      <c r="Y1689" s="168">
        <f>_xll.qlCalendarAdvance(LiborCalendar,Y1688,X1689,"f",FALSE)</f>
        <v>50985</v>
      </c>
      <c r="Z1689" s="171">
        <f>_xll.qlInterestRateIndexValueDate(IborIndex,Y1689,Trigger)</f>
        <v>50987</v>
      </c>
      <c r="AA1689" s="172">
        <v>1.0461486090860566E-2</v>
      </c>
      <c r="AB1689" s="169">
        <v>1.0474787522376516E-2</v>
      </c>
    </row>
    <row r="1690" spans="20:28" x14ac:dyDescent="0.2">
      <c r="T1690" s="130"/>
      <c r="U1690" s="151"/>
      <c r="X1690" s="170" t="str">
        <f t="shared" si="35"/>
        <v>1w</v>
      </c>
      <c r="Y1690" s="168">
        <f>_xll.qlCalendarAdvance(LiborCalendar,Y1689,X1690,"f",FALSE)</f>
        <v>50992</v>
      </c>
      <c r="Z1690" s="171">
        <f>_xll.qlInterestRateIndexValueDate(IborIndex,Y1690,Trigger)</f>
        <v>50994</v>
      </c>
      <c r="AA1690" s="172">
        <v>1.0457232080877994E-2</v>
      </c>
      <c r="AB1690" s="169">
        <v>1.047072549179795E-2</v>
      </c>
    </row>
    <row r="1691" spans="20:28" x14ac:dyDescent="0.2">
      <c r="T1691" s="130"/>
      <c r="U1691" s="151"/>
      <c r="X1691" s="170" t="str">
        <f t="shared" si="35"/>
        <v>1w</v>
      </c>
      <c r="Y1691" s="168">
        <f>_xll.qlCalendarAdvance(LiborCalendar,Y1690,X1691,"f",FALSE)</f>
        <v>50999</v>
      </c>
      <c r="Z1691" s="171">
        <f>_xll.qlInterestRateIndexValueDate(IborIndex,Y1691,Trigger)</f>
        <v>51001</v>
      </c>
      <c r="AA1691" s="172">
        <v>1.0452950192389961E-2</v>
      </c>
      <c r="AB1691" s="169">
        <v>1.0466635651598111E-2</v>
      </c>
    </row>
    <row r="1692" spans="20:28" x14ac:dyDescent="0.2">
      <c r="T1692" s="130"/>
      <c r="U1692" s="151"/>
      <c r="X1692" s="170" t="str">
        <f t="shared" si="35"/>
        <v>1w</v>
      </c>
      <c r="Y1692" s="168">
        <f>_xll.qlCalendarAdvance(LiborCalendar,Y1691,X1692,"f",FALSE)</f>
        <v>51006</v>
      </c>
      <c r="Z1692" s="171">
        <f>_xll.qlInterestRateIndexValueDate(IborIndex,Y1692,Trigger)</f>
        <v>51008</v>
      </c>
      <c r="AA1692" s="172">
        <v>1.0448640425490008E-2</v>
      </c>
      <c r="AB1692" s="169">
        <v>1.0462374676492026E-2</v>
      </c>
    </row>
    <row r="1693" spans="20:28" x14ac:dyDescent="0.2">
      <c r="T1693" s="130"/>
      <c r="U1693" s="151"/>
      <c r="X1693" s="170" t="str">
        <f t="shared" si="35"/>
        <v>1w</v>
      </c>
      <c r="Y1693" s="168">
        <f>_xll.qlCalendarAdvance(LiborCalendar,Y1692,X1693,"f",FALSE)</f>
        <v>51013</v>
      </c>
      <c r="Z1693" s="171">
        <f>_xll.qlInterestRateIndexValueDate(IborIndex,Y1693,Trigger)</f>
        <v>51015</v>
      </c>
      <c r="AA1693" s="172">
        <v>1.0444793610927332E-2</v>
      </c>
      <c r="AB1693" s="169">
        <v>1.0458372542414551E-2</v>
      </c>
    </row>
    <row r="1694" spans="20:28" x14ac:dyDescent="0.2">
      <c r="T1694" s="130"/>
      <c r="U1694" s="151"/>
      <c r="X1694" s="170" t="str">
        <f t="shared" si="35"/>
        <v>1w</v>
      </c>
      <c r="Y1694" s="168">
        <f>_xll.qlCalendarAdvance(LiborCalendar,Y1693,X1694,"f",FALSE)</f>
        <v>51020</v>
      </c>
      <c r="Z1694" s="171">
        <f>_xll.qlInterestRateIndexValueDate(IborIndex,Y1694,Trigger)</f>
        <v>51022</v>
      </c>
      <c r="AA1694" s="172">
        <v>1.0440434440226441E-2</v>
      </c>
      <c r="AB1694" s="169">
        <v>1.0454199273430831E-2</v>
      </c>
    </row>
    <row r="1695" spans="20:28" x14ac:dyDescent="0.2">
      <c r="T1695" s="130"/>
      <c r="U1695" s="151"/>
      <c r="X1695" s="170" t="str">
        <f t="shared" si="35"/>
        <v>1w</v>
      </c>
      <c r="Y1695" s="168">
        <f>_xll.qlCalendarAdvance(LiborCalendar,Y1694,X1695,"f",FALSE)</f>
        <v>51027</v>
      </c>
      <c r="Z1695" s="171">
        <f>_xll.qlInterestRateIndexValueDate(IborIndex,Y1695,Trigger)</f>
        <v>51029</v>
      </c>
      <c r="AA1695" s="172">
        <v>1.0436047393638457E-2</v>
      </c>
      <c r="AB1695" s="169">
        <v>1.0449998194825838E-2</v>
      </c>
    </row>
    <row r="1696" spans="20:28" x14ac:dyDescent="0.2">
      <c r="T1696" s="130"/>
      <c r="U1696" s="151"/>
      <c r="X1696" s="170" t="str">
        <f t="shared" si="35"/>
        <v>1w</v>
      </c>
      <c r="Y1696" s="168">
        <f>_xll.qlCalendarAdvance(LiborCalendar,Y1695,X1696,"f",FALSE)</f>
        <v>51034</v>
      </c>
      <c r="Z1696" s="171">
        <f>_xll.qlInterestRateIndexValueDate(IborIndex,Y1696,Trigger)</f>
        <v>51036</v>
      </c>
      <c r="AA1696" s="172">
        <v>1.0431632471258249E-2</v>
      </c>
      <c r="AB1696" s="169">
        <v>1.0445769306652863E-2</v>
      </c>
    </row>
    <row r="1697" spans="20:28" x14ac:dyDescent="0.2">
      <c r="T1697" s="130"/>
      <c r="U1697" s="151"/>
      <c r="X1697" s="170" t="str">
        <f t="shared" si="35"/>
        <v>1w</v>
      </c>
      <c r="Y1697" s="168">
        <f>_xll.qlCalendarAdvance(LiborCalendar,Y1696,X1697,"f",FALSE)</f>
        <v>51041</v>
      </c>
      <c r="Z1697" s="171">
        <f>_xll.qlInterestRateIndexValueDate(IborIndex,Y1697,Trigger)</f>
        <v>51043</v>
      </c>
      <c r="AA1697" s="172">
        <v>1.0427189673176294E-2</v>
      </c>
      <c r="AB1697" s="169">
        <v>1.0441512608858616E-2</v>
      </c>
    </row>
    <row r="1698" spans="20:28" x14ac:dyDescent="0.2">
      <c r="T1698" s="130"/>
      <c r="U1698" s="151"/>
      <c r="X1698" s="170" t="str">
        <f t="shared" si="35"/>
        <v>1w</v>
      </c>
      <c r="Y1698" s="168">
        <f>_xll.qlCalendarAdvance(LiborCalendar,Y1697,X1698,"f",FALSE)</f>
        <v>51048</v>
      </c>
      <c r="Z1698" s="171">
        <f>_xll.qlInterestRateIndexValueDate(IborIndex,Y1698,Trigger)</f>
        <v>51050</v>
      </c>
      <c r="AA1698" s="172">
        <v>1.0422196382726819E-2</v>
      </c>
      <c r="AB1698" s="169">
        <v>1.0437228101469742E-2</v>
      </c>
    </row>
    <row r="1699" spans="20:28" x14ac:dyDescent="0.2">
      <c r="T1699" s="130"/>
      <c r="U1699" s="151"/>
      <c r="X1699" s="170" t="str">
        <f t="shared" si="35"/>
        <v>1w</v>
      </c>
      <c r="Y1699" s="168">
        <f>_xll.qlCalendarAdvance(LiborCalendar,Y1698,X1699,"f",FALSE)</f>
        <v>51055</v>
      </c>
      <c r="Z1699" s="171">
        <f>_xll.qlInterestRateIndexValueDate(IborIndex,Y1699,Trigger)</f>
        <v>51057</v>
      </c>
      <c r="AA1699" s="172">
        <v>1.0417691469601731E-2</v>
      </c>
      <c r="AB1699" s="169">
        <v>1.0432915784539532E-2</v>
      </c>
    </row>
    <row r="1700" spans="20:28" x14ac:dyDescent="0.2">
      <c r="T1700" s="130"/>
      <c r="U1700" s="151"/>
      <c r="X1700" s="170" t="str">
        <f t="shared" si="35"/>
        <v>1w</v>
      </c>
      <c r="Y1700" s="168">
        <f>_xll.qlCalendarAdvance(LiborCalendar,Y1699,X1700,"f",FALSE)</f>
        <v>51062</v>
      </c>
      <c r="Z1700" s="171">
        <f>_xll.qlInterestRateIndexValueDate(IborIndex,Y1700,Trigger)</f>
        <v>51064</v>
      </c>
      <c r="AA1700" s="172">
        <v>1.0413158678833467E-2</v>
      </c>
      <c r="AB1700" s="169">
        <v>1.0428575657988048E-2</v>
      </c>
    </row>
    <row r="1701" spans="20:28" x14ac:dyDescent="0.2">
      <c r="T1701" s="130"/>
      <c r="U1701" s="151"/>
      <c r="X1701" s="170" t="str">
        <f t="shared" si="35"/>
        <v>1w</v>
      </c>
      <c r="Y1701" s="168">
        <f>_xll.qlCalendarAdvance(LiborCalendar,Y1700,X1701,"f",FALSE)</f>
        <v>51069</v>
      </c>
      <c r="Z1701" s="171">
        <f>_xll.qlInterestRateIndexValueDate(IborIndex,Y1701,Trigger)</f>
        <v>51071</v>
      </c>
      <c r="AA1701" s="172">
        <v>1.0408598010518976E-2</v>
      </c>
      <c r="AB1701" s="169">
        <v>1.0424207721868584E-2</v>
      </c>
    </row>
    <row r="1702" spans="20:28" x14ac:dyDescent="0.2">
      <c r="T1702" s="130"/>
      <c r="U1702" s="151"/>
      <c r="X1702" s="170" t="str">
        <f t="shared" si="35"/>
        <v>1w</v>
      </c>
      <c r="Y1702" s="168">
        <f>_xll.qlCalendarAdvance(LiborCalendar,Y1701,X1702,"f",FALSE)</f>
        <v>51076</v>
      </c>
      <c r="Z1702" s="171">
        <f>_xll.qlInterestRateIndexValueDate(IborIndex,Y1702,Trigger)</f>
        <v>51078</v>
      </c>
      <c r="AA1702" s="172">
        <v>1.0404009464756902E-2</v>
      </c>
      <c r="AB1702" s="169">
        <v>1.0419811976181137E-2</v>
      </c>
    </row>
    <row r="1703" spans="20:28" x14ac:dyDescent="0.2">
      <c r="T1703" s="130"/>
      <c r="U1703" s="151"/>
      <c r="X1703" s="170" t="str">
        <f t="shared" si="35"/>
        <v>1w</v>
      </c>
      <c r="Y1703" s="168">
        <f>_xll.qlCalendarAdvance(LiborCalendar,Y1702,X1703,"f",FALSE)</f>
        <v>51083</v>
      </c>
      <c r="Z1703" s="171">
        <f>_xll.qlInterestRateIndexValueDate(IborIndex,Y1703,Trigger)</f>
        <v>51085</v>
      </c>
      <c r="AA1703" s="172">
        <v>1.0399393041650138E-2</v>
      </c>
      <c r="AB1703" s="169">
        <v>1.0415388420925709E-2</v>
      </c>
    </row>
    <row r="1704" spans="20:28" x14ac:dyDescent="0.2">
      <c r="T1704" s="130"/>
      <c r="U1704" s="151"/>
      <c r="X1704" s="170" t="str">
        <f t="shared" si="35"/>
        <v>1w</v>
      </c>
      <c r="Y1704" s="168">
        <f>_xll.qlCalendarAdvance(LiborCalendar,Y1703,X1704,"f",FALSE)</f>
        <v>51090</v>
      </c>
      <c r="Z1704" s="171">
        <f>_xll.qlInterestRateIndexValueDate(IborIndex,Y1704,Trigger)</f>
        <v>51092</v>
      </c>
      <c r="AA1704" s="172">
        <v>1.0394748741296481E-2</v>
      </c>
      <c r="AB1704" s="169">
        <v>1.0410937056075653E-2</v>
      </c>
    </row>
    <row r="1705" spans="20:28" x14ac:dyDescent="0.2">
      <c r="T1705" s="130"/>
      <c r="U1705" s="151"/>
      <c r="X1705" s="170" t="str">
        <f t="shared" si="35"/>
        <v>1w</v>
      </c>
      <c r="Y1705" s="168">
        <f>_xll.qlCalendarAdvance(LiborCalendar,Y1704,X1705,"f",FALSE)</f>
        <v>51097</v>
      </c>
      <c r="Z1705" s="171">
        <f>_xll.qlInterestRateIndexValueDate(IborIndex,Y1705,Trigger)</f>
        <v>51099</v>
      </c>
      <c r="AA1705" s="172">
        <v>1.0390076563798825E-2</v>
      </c>
      <c r="AB1705" s="169">
        <v>1.0406457881684261E-2</v>
      </c>
    </row>
    <row r="1706" spans="20:28" x14ac:dyDescent="0.2">
      <c r="T1706" s="130"/>
      <c r="U1706" s="151"/>
      <c r="X1706" s="170" t="str">
        <f t="shared" si="35"/>
        <v>1w</v>
      </c>
      <c r="Y1706" s="168">
        <f>_xll.qlCalendarAdvance(LiborCalendar,Y1705,X1706,"f",FALSE)</f>
        <v>51104</v>
      </c>
      <c r="Z1706" s="171">
        <f>_xll.qlInterestRateIndexValueDate(IborIndex,Y1706,Trigger)</f>
        <v>51106</v>
      </c>
      <c r="AA1706" s="172">
        <v>1.0385950099563574E-2</v>
      </c>
      <c r="AB1706" s="169">
        <v>1.0401950897698242E-2</v>
      </c>
    </row>
    <row r="1707" spans="20:28" x14ac:dyDescent="0.2">
      <c r="T1707" s="130"/>
      <c r="U1707" s="151"/>
      <c r="X1707" s="170" t="str">
        <f t="shared" si="35"/>
        <v>1w</v>
      </c>
      <c r="Y1707" s="168">
        <f>_xll.qlCalendarAdvance(LiborCalendar,Y1706,X1707,"f",FALSE)</f>
        <v>51111</v>
      </c>
      <c r="Z1707" s="171">
        <f>_xll.qlInterestRateIndexValueDate(IborIndex,Y1707,Trigger)</f>
        <v>51113</v>
      </c>
      <c r="AA1707" s="172">
        <v>1.0381228549724997E-2</v>
      </c>
      <c r="AB1707" s="169">
        <v>1.0397416104170887E-2</v>
      </c>
    </row>
    <row r="1708" spans="20:28" x14ac:dyDescent="0.2">
      <c r="T1708" s="130"/>
      <c r="U1708" s="151"/>
      <c r="X1708" s="170" t="str">
        <f t="shared" si="35"/>
        <v>1w</v>
      </c>
      <c r="Y1708" s="168">
        <f>_xll.qlCalendarAdvance(LiborCalendar,Y1707,X1708,"f",FALSE)</f>
        <v>51118</v>
      </c>
      <c r="Z1708" s="171">
        <f>_xll.qlInterestRateIndexValueDate(IborIndex,Y1708,Trigger)</f>
        <v>51120</v>
      </c>
      <c r="AA1708" s="172">
        <v>1.0376479125248438E-2</v>
      </c>
      <c r="AB1708" s="169">
        <v>1.039285350107555E-2</v>
      </c>
    </row>
    <row r="1709" spans="20:28" x14ac:dyDescent="0.2">
      <c r="T1709" s="130"/>
      <c r="U1709" s="151"/>
      <c r="X1709" s="170" t="str">
        <f t="shared" si="35"/>
        <v>1w</v>
      </c>
      <c r="Y1709" s="168">
        <f>_xll.qlCalendarAdvance(LiborCalendar,Y1708,X1709,"f",FALSE)</f>
        <v>51125</v>
      </c>
      <c r="Z1709" s="171">
        <f>_xll.qlInterestRateIndexValueDate(IborIndex,Y1709,Trigger)</f>
        <v>51127</v>
      </c>
      <c r="AA1709" s="172">
        <v>1.0371701826234914E-2</v>
      </c>
      <c r="AB1709" s="169">
        <v>1.0387904392480607E-2</v>
      </c>
    </row>
    <row r="1710" spans="20:28" x14ac:dyDescent="0.2">
      <c r="T1710" s="130"/>
      <c r="U1710" s="151"/>
      <c r="X1710" s="170" t="str">
        <f t="shared" si="35"/>
        <v>1w</v>
      </c>
      <c r="Y1710" s="168">
        <f>_xll.qlCalendarAdvance(LiborCalendar,Y1709,X1710,"f",FALSE)</f>
        <v>51132</v>
      </c>
      <c r="Z1710" s="171">
        <f>_xll.qlInterestRateIndexValueDate(IborIndex,Y1710,Trigger)</f>
        <v>51134</v>
      </c>
      <c r="AA1710" s="172">
        <v>1.0367095949147753E-2</v>
      </c>
      <c r="AB1710" s="169">
        <v>1.0383463501237866E-2</v>
      </c>
    </row>
    <row r="1711" spans="20:28" x14ac:dyDescent="0.2">
      <c r="T1711" s="130"/>
      <c r="U1711" s="151"/>
      <c r="X1711" s="170" t="str">
        <f t="shared" si="35"/>
        <v>1w</v>
      </c>
      <c r="Y1711" s="168">
        <f>_xll.qlCalendarAdvance(LiborCalendar,Y1710,X1711,"f",FALSE)</f>
        <v>51139</v>
      </c>
      <c r="Z1711" s="171">
        <f>_xll.qlInterestRateIndexValueDate(IborIndex,Y1711,Trigger)</f>
        <v>51141</v>
      </c>
      <c r="AA1711" s="172">
        <v>1.0362063604997532E-2</v>
      </c>
      <c r="AB1711" s="169">
        <v>1.0378998834488229E-2</v>
      </c>
    </row>
    <row r="1712" spans="20:28" x14ac:dyDescent="0.2">
      <c r="T1712" s="130"/>
      <c r="U1712" s="151"/>
      <c r="X1712" s="170" t="str">
        <f t="shared" si="35"/>
        <v>1w</v>
      </c>
      <c r="Y1712" s="168">
        <f>_xll.qlCalendarAdvance(LiborCalendar,Y1711,X1712,"f",FALSE)</f>
        <v>51146</v>
      </c>
      <c r="Z1712" s="171">
        <f>_xll.qlInterestRateIndexValueDate(IborIndex,Y1712,Trigger)</f>
        <v>51148</v>
      </c>
      <c r="AA1712" s="172">
        <v>1.0357202682977467E-2</v>
      </c>
      <c r="AB1712" s="169">
        <v>1.0374324993200901E-2</v>
      </c>
    </row>
    <row r="1713" spans="20:28" x14ac:dyDescent="0.2">
      <c r="T1713" s="130"/>
      <c r="U1713" s="151"/>
      <c r="X1713" s="170" t="str">
        <f t="shared" si="35"/>
        <v>1w</v>
      </c>
      <c r="Y1713" s="168">
        <f>_xll.qlCalendarAdvance(LiborCalendar,Y1712,X1713,"f",FALSE)</f>
        <v>51153</v>
      </c>
      <c r="Z1713" s="171">
        <f>_xll.qlInterestRateIndexValueDate(IborIndex,Y1713,Trigger)</f>
        <v>51155</v>
      </c>
      <c r="AA1713" s="172">
        <v>1.0352313886826267E-2</v>
      </c>
      <c r="AB1713" s="169">
        <v>1.0369623342372236E-2</v>
      </c>
    </row>
    <row r="1714" spans="20:28" x14ac:dyDescent="0.2">
      <c r="T1714" s="130"/>
      <c r="U1714" s="151"/>
      <c r="X1714" s="170" t="str">
        <f t="shared" si="35"/>
        <v>1w</v>
      </c>
      <c r="Y1714" s="168">
        <f>_xll.qlCalendarAdvance(LiborCalendar,Y1713,X1714,"f",FALSE)</f>
        <v>51160</v>
      </c>
      <c r="Z1714" s="171">
        <f>_xll.qlInterestRateIndexValueDate(IborIndex,Y1714,Trigger)</f>
        <v>51162</v>
      </c>
      <c r="AA1714" s="172">
        <v>1.0347397216646707E-2</v>
      </c>
      <c r="AB1714" s="169">
        <v>1.0364893882002235E-2</v>
      </c>
    </row>
    <row r="1715" spans="20:28" x14ac:dyDescent="0.2">
      <c r="T1715" s="130"/>
      <c r="U1715" s="151"/>
      <c r="X1715" s="170" t="str">
        <f t="shared" si="35"/>
        <v>1w</v>
      </c>
      <c r="Y1715" s="168">
        <f>_xll.qlCalendarAdvance(LiborCalendar,Y1714,X1715,"f",FALSE)</f>
        <v>51167</v>
      </c>
      <c r="Z1715" s="171">
        <f>_xll.qlInterestRateIndexValueDate(IborIndex,Y1715,Trigger)</f>
        <v>51169</v>
      </c>
      <c r="AA1715" s="172">
        <v>1.0342662625800081E-2</v>
      </c>
      <c r="AB1715" s="169">
        <v>1.0360136612090898E-2</v>
      </c>
    </row>
    <row r="1716" spans="20:28" x14ac:dyDescent="0.2">
      <c r="T1716" s="130"/>
      <c r="U1716" s="151"/>
      <c r="X1716" s="170" t="str">
        <f t="shared" si="35"/>
        <v>1w</v>
      </c>
      <c r="Y1716" s="168">
        <f>_xll.qlCalendarAdvance(LiborCalendar,Y1715,X1716,"f",FALSE)</f>
        <v>51174</v>
      </c>
      <c r="Z1716" s="171">
        <f>_xll.qlInterestRateIndexValueDate(IborIndex,Y1716,Trigger)</f>
        <v>51176</v>
      </c>
      <c r="AA1716" s="172">
        <v>1.0337480254617998E-2</v>
      </c>
      <c r="AB1716" s="169">
        <v>1.0355351532638224E-2</v>
      </c>
    </row>
    <row r="1717" spans="20:28" x14ac:dyDescent="0.2">
      <c r="T1717" s="130"/>
      <c r="U1717" s="151"/>
      <c r="X1717" s="170" t="str">
        <f t="shared" si="35"/>
        <v>1w</v>
      </c>
      <c r="Y1717" s="168">
        <f>_xll.qlCalendarAdvance(LiborCalendar,Y1716,X1717,"f",FALSE)</f>
        <v>51181</v>
      </c>
      <c r="Z1717" s="171">
        <f>_xll.qlInterestRateIndexValueDate(IborIndex,Y1717,Trigger)</f>
        <v>51183</v>
      </c>
      <c r="AA1717" s="172">
        <v>1.0332694198509351E-2</v>
      </c>
      <c r="AB1717" s="169">
        <v>1.0350538643697504E-2</v>
      </c>
    </row>
    <row r="1718" spans="20:28" x14ac:dyDescent="0.2">
      <c r="T1718" s="130"/>
      <c r="U1718" s="151"/>
      <c r="X1718" s="170" t="str">
        <f t="shared" si="35"/>
        <v>1w</v>
      </c>
      <c r="Y1718" s="168">
        <f>_xll.qlCalendarAdvance(LiborCalendar,Y1717,X1718,"f",FALSE)</f>
        <v>51188</v>
      </c>
      <c r="Z1718" s="171">
        <f>_xll.qlInterestRateIndexValueDate(IborIndex,Y1718,Trigger)</f>
        <v>51190</v>
      </c>
      <c r="AA1718" s="172">
        <v>1.032766946937258E-2</v>
      </c>
      <c r="AB1718" s="169">
        <v>1.0345697945188803E-2</v>
      </c>
    </row>
    <row r="1719" spans="20:28" x14ac:dyDescent="0.2">
      <c r="T1719" s="130"/>
      <c r="U1719" s="151"/>
      <c r="X1719" s="170" t="str">
        <f t="shared" si="35"/>
        <v>1w</v>
      </c>
      <c r="Y1719" s="168">
        <f>_xll.qlCalendarAdvance(LiborCalendar,Y1718,X1719,"f",FALSE)</f>
        <v>51195</v>
      </c>
      <c r="Z1719" s="171">
        <f>_xll.qlInterestRateIndexValueDate(IborIndex,Y1719,Trigger)</f>
        <v>51197</v>
      </c>
      <c r="AA1719" s="172">
        <v>1.0321752860708754E-2</v>
      </c>
      <c r="AB1719" s="169">
        <v>1.0340829437192056E-2</v>
      </c>
    </row>
    <row r="1720" spans="20:28" x14ac:dyDescent="0.2">
      <c r="T1720" s="130"/>
      <c r="U1720" s="151"/>
      <c r="X1720" s="170" t="str">
        <f t="shared" si="35"/>
        <v>1w</v>
      </c>
      <c r="Y1720" s="168">
        <f>_xll.qlCalendarAdvance(LiborCalendar,Y1719,X1720,"f",FALSE)</f>
        <v>51202</v>
      </c>
      <c r="Z1720" s="171">
        <f>_xll.qlInterestRateIndexValueDate(IborIndex,Y1720,Trigger)</f>
        <v>51204</v>
      </c>
      <c r="AA1720" s="172">
        <v>1.0316682726744171E-2</v>
      </c>
      <c r="AB1720" s="169">
        <v>1.0335933119653973E-2</v>
      </c>
    </row>
    <row r="1721" spans="20:28" x14ac:dyDescent="0.2">
      <c r="T1721" s="130"/>
      <c r="U1721" s="151"/>
      <c r="X1721" s="170" t="str">
        <f t="shared" si="35"/>
        <v>1w</v>
      </c>
      <c r="Y1721" s="168">
        <f>_xll.qlCalendarAdvance(LiborCalendar,Y1720,X1721,"f",FALSE)</f>
        <v>51209</v>
      </c>
      <c r="Z1721" s="171">
        <f>_xll.qlInterestRateIndexValueDate(IborIndex,Y1721,Trigger)</f>
        <v>51211</v>
      </c>
      <c r="AA1721" s="172">
        <v>1.0311598434090897E-2</v>
      </c>
      <c r="AB1721" s="169">
        <v>1.0331008992601198E-2</v>
      </c>
    </row>
    <row r="1722" spans="20:28" x14ac:dyDescent="0.2">
      <c r="T1722" s="130"/>
      <c r="U1722" s="151"/>
      <c r="X1722" s="170" t="str">
        <f t="shared" si="35"/>
        <v>1w</v>
      </c>
      <c r="Y1722" s="168">
        <f>_xll.qlCalendarAdvance(LiborCalendar,Y1721,X1722,"f",FALSE)</f>
        <v>51216</v>
      </c>
      <c r="Z1722" s="171">
        <f>_xll.qlInterestRateIndexValueDate(IborIndex,Y1722,Trigger)</f>
        <v>51218</v>
      </c>
      <c r="AA1722" s="172">
        <v>1.0306503539012303E-2</v>
      </c>
      <c r="AB1722" s="169">
        <v>1.0326057056033733E-2</v>
      </c>
    </row>
    <row r="1723" spans="20:28" x14ac:dyDescent="0.2">
      <c r="T1723" s="130"/>
      <c r="U1723" s="151"/>
      <c r="X1723" s="170" t="str">
        <f t="shared" si="35"/>
        <v>1w</v>
      </c>
      <c r="Y1723" s="168">
        <f>_xll.qlCalendarAdvance(LiborCalendar,Y1722,X1723,"f",FALSE)</f>
        <v>51223</v>
      </c>
      <c r="Z1723" s="171">
        <f>_xll.qlInterestRateIndexValueDate(IborIndex,Y1723,Trigger)</f>
        <v>51229</v>
      </c>
      <c r="AA1723" s="172">
        <v>1.0299137461498997E-2</v>
      </c>
      <c r="AB1723" s="169">
        <v>1.0318639044335498E-2</v>
      </c>
    </row>
    <row r="1724" spans="20:28" x14ac:dyDescent="0.2">
      <c r="T1724" s="130"/>
      <c r="U1724" s="151"/>
      <c r="X1724" s="170" t="str">
        <f t="shared" si="35"/>
        <v>1w</v>
      </c>
      <c r="Y1724" s="168">
        <f>_xll.qlCalendarAdvance(LiborCalendar,Y1723,X1724,"f",FALSE)</f>
        <v>51230</v>
      </c>
      <c r="Z1724" s="171">
        <f>_xll.qlInterestRateIndexValueDate(IborIndex,Y1724,Trigger)</f>
        <v>51232</v>
      </c>
      <c r="AA1724" s="172">
        <v>1.0296948423604749E-2</v>
      </c>
      <c r="AB1724" s="169">
        <v>1.0316069754408019E-2</v>
      </c>
    </row>
    <row r="1725" spans="20:28" x14ac:dyDescent="0.2">
      <c r="T1725" s="130"/>
      <c r="U1725" s="151"/>
      <c r="X1725" s="170" t="str">
        <f t="shared" si="35"/>
        <v>1w</v>
      </c>
      <c r="Y1725" s="168">
        <f>_xll.qlCalendarAdvance(LiborCalendar,Y1724,X1725,"f",FALSE)</f>
        <v>51237</v>
      </c>
      <c r="Z1725" s="171">
        <f>_xll.qlInterestRateIndexValueDate(IborIndex,Y1725,Trigger)</f>
        <v>51239</v>
      </c>
      <c r="AA1725" s="172">
        <v>1.0291840748911004E-2</v>
      </c>
      <c r="AB1725" s="169">
        <v>1.0311034389323126E-2</v>
      </c>
    </row>
    <row r="1726" spans="20:28" x14ac:dyDescent="0.2">
      <c r="T1726" s="130"/>
      <c r="U1726" s="151"/>
      <c r="X1726" s="170" t="str">
        <f t="shared" si="35"/>
        <v>1w</v>
      </c>
      <c r="Y1726" s="168">
        <f>_xll.qlCalendarAdvance(LiborCalendar,Y1725,X1726,"f",FALSE)</f>
        <v>51244</v>
      </c>
      <c r="Z1726" s="171">
        <f>_xll.qlInterestRateIndexValueDate(IborIndex,Y1726,Trigger)</f>
        <v>51246</v>
      </c>
      <c r="AA1726" s="172">
        <v>1.0286736160235736E-2</v>
      </c>
      <c r="AB1726" s="169">
        <v>1.0305971214750187E-2</v>
      </c>
    </row>
    <row r="1727" spans="20:28" x14ac:dyDescent="0.2">
      <c r="T1727" s="130"/>
      <c r="U1727" s="151"/>
      <c r="X1727" s="170" t="str">
        <f t="shared" si="35"/>
        <v>1w</v>
      </c>
      <c r="Y1727" s="168">
        <f>_xll.qlCalendarAdvance(LiborCalendar,Y1726,X1727,"f",FALSE)</f>
        <v>51251</v>
      </c>
      <c r="Z1727" s="171">
        <f>_xll.qlInterestRateIndexValueDate(IborIndex,Y1727,Trigger)</f>
        <v>51253</v>
      </c>
      <c r="AA1727" s="172">
        <v>1.0281638330669782E-2</v>
      </c>
      <c r="AB1727" s="169">
        <v>1.0300880230662557E-2</v>
      </c>
    </row>
    <row r="1728" spans="20:28" x14ac:dyDescent="0.2">
      <c r="T1728" s="130"/>
      <c r="U1728" s="151"/>
      <c r="X1728" s="170" t="str">
        <f t="shared" si="35"/>
        <v>1w</v>
      </c>
      <c r="Y1728" s="168">
        <f>_xll.qlCalendarAdvance(LiborCalendar,Y1727,X1728,"f",FALSE)</f>
        <v>51258</v>
      </c>
      <c r="Z1728" s="171">
        <f>_xll.qlInterestRateIndexValueDate(IborIndex,Y1728,Trigger)</f>
        <v>51260</v>
      </c>
      <c r="AA1728" s="172">
        <v>1.027591066584223E-2</v>
      </c>
      <c r="AB1728" s="169">
        <v>1.0295541792004759E-2</v>
      </c>
    </row>
    <row r="1729" spans="20:28" x14ac:dyDescent="0.2">
      <c r="T1729" s="130"/>
      <c r="U1729" s="151"/>
      <c r="X1729" s="170" t="str">
        <f t="shared" si="35"/>
        <v>1w</v>
      </c>
      <c r="Y1729" s="168">
        <f>_xll.qlCalendarAdvance(LiborCalendar,Y1728,X1729,"f",FALSE)</f>
        <v>51265</v>
      </c>
      <c r="Z1729" s="171">
        <f>_xll.qlInterestRateIndexValueDate(IborIndex,Y1729,Trigger)</f>
        <v>51267</v>
      </c>
      <c r="AA1729" s="172">
        <v>1.0270841127512677E-2</v>
      </c>
      <c r="AB1729" s="169">
        <v>1.029061483407645E-2</v>
      </c>
    </row>
    <row r="1730" spans="20:28" x14ac:dyDescent="0.2">
      <c r="T1730" s="130"/>
      <c r="U1730" s="151"/>
      <c r="X1730" s="170" t="str">
        <f t="shared" si="35"/>
        <v>1w</v>
      </c>
      <c r="Y1730" s="168">
        <f>_xll.qlCalendarAdvance(LiborCalendar,Y1729,X1730,"f",FALSE)</f>
        <v>51272</v>
      </c>
      <c r="Z1730" s="171">
        <f>_xll.qlInterestRateIndexValueDate(IborIndex,Y1730,Trigger)</f>
        <v>51274</v>
      </c>
      <c r="AA1730" s="172">
        <v>1.0265789389515396E-2</v>
      </c>
      <c r="AB1730" s="169">
        <v>1.0285450628106929E-2</v>
      </c>
    </row>
    <row r="1731" spans="20:28" x14ac:dyDescent="0.2">
      <c r="T1731" s="130"/>
      <c r="U1731" s="151"/>
      <c r="X1731" s="170" t="str">
        <f t="shared" si="35"/>
        <v>1w</v>
      </c>
      <c r="Y1731" s="168">
        <f>_xll.qlCalendarAdvance(LiborCalendar,Y1730,X1731,"f",FALSE)</f>
        <v>51279</v>
      </c>
      <c r="Z1731" s="171">
        <f>_xll.qlInterestRateIndexValueDate(IborIndex,Y1731,Trigger)</f>
        <v>51281</v>
      </c>
      <c r="AA1731" s="172">
        <v>1.026054803542452E-2</v>
      </c>
      <c r="AB1731" s="169">
        <v>1.0280082789466682E-2</v>
      </c>
    </row>
    <row r="1732" spans="20:28" x14ac:dyDescent="0.2">
      <c r="T1732" s="130"/>
      <c r="U1732" s="151"/>
      <c r="X1732" s="170" t="str">
        <f t="shared" si="35"/>
        <v>1w</v>
      </c>
      <c r="Y1732" s="168">
        <f>_xll.qlCalendarAdvance(LiborCalendar,Y1731,X1732,"f",FALSE)</f>
        <v>51286</v>
      </c>
      <c r="Z1732" s="171">
        <f>_xll.qlInterestRateIndexValueDate(IborIndex,Y1732,Trigger)</f>
        <v>51288</v>
      </c>
      <c r="AA1732" s="172">
        <v>1.0255745329287609E-2</v>
      </c>
      <c r="AB1732" s="169">
        <v>1.0275174875351567E-2</v>
      </c>
    </row>
    <row r="1733" spans="20:28" x14ac:dyDescent="0.2">
      <c r="T1733" s="130"/>
      <c r="U1733" s="151"/>
      <c r="X1733" s="170" t="str">
        <f t="shared" si="35"/>
        <v>1w</v>
      </c>
      <c r="Y1733" s="168">
        <f>_xll.qlCalendarAdvance(LiborCalendar,Y1732,X1733,"f",FALSE)</f>
        <v>51293</v>
      </c>
      <c r="Z1733" s="171">
        <f>_xll.qlInterestRateIndexValueDate(IborIndex,Y1733,Trigger)</f>
        <v>51295</v>
      </c>
      <c r="AA1733" s="172">
        <v>1.0250753117493018E-2</v>
      </c>
      <c r="AB1733" s="169">
        <v>1.0270066730750926E-2</v>
      </c>
    </row>
    <row r="1734" spans="20:28" x14ac:dyDescent="0.2">
      <c r="T1734" s="130"/>
      <c r="U1734" s="151"/>
      <c r="X1734" s="170" t="str">
        <f t="shared" si="35"/>
        <v>1w</v>
      </c>
      <c r="Y1734" s="168">
        <f>_xll.qlCalendarAdvance(LiborCalendar,Y1733,X1734,"f",FALSE)</f>
        <v>51300</v>
      </c>
      <c r="Z1734" s="171">
        <f>_xll.qlInterestRateIndexValueDate(IborIndex,Y1734,Trigger)</f>
        <v>51302</v>
      </c>
      <c r="AA1734" s="172">
        <v>1.02457807844745E-2</v>
      </c>
      <c r="AB1734" s="169">
        <v>1.0264978407334979E-2</v>
      </c>
    </row>
    <row r="1735" spans="20:28" x14ac:dyDescent="0.2">
      <c r="T1735" s="130"/>
      <c r="U1735" s="151"/>
      <c r="X1735" s="170" t="str">
        <f t="shared" si="35"/>
        <v>1w</v>
      </c>
      <c r="Y1735" s="168">
        <f>_xll.qlCalendarAdvance(LiborCalendar,Y1734,X1735,"f",FALSE)</f>
        <v>51307</v>
      </c>
      <c r="Z1735" s="171">
        <f>_xll.qlInterestRateIndexValueDate(IborIndex,Y1735,Trigger)</f>
        <v>51309</v>
      </c>
      <c r="AA1735" s="172">
        <v>1.0240828330153818E-2</v>
      </c>
      <c r="AB1735" s="169">
        <v>1.025990990507708E-2</v>
      </c>
    </row>
    <row r="1736" spans="20:28" x14ac:dyDescent="0.2">
      <c r="T1736" s="130"/>
      <c r="U1736" s="151"/>
      <c r="X1736" s="170" t="str">
        <f t="shared" si="35"/>
        <v>1w</v>
      </c>
      <c r="Y1736" s="168">
        <f>_xll.qlCalendarAdvance(LiborCalendar,Y1735,X1736,"f",FALSE)</f>
        <v>51314</v>
      </c>
      <c r="Z1736" s="171">
        <f>_xll.qlInterestRateIndexValueDate(IborIndex,Y1736,Trigger)</f>
        <v>51316</v>
      </c>
      <c r="AA1736" s="172">
        <v>1.0236505438221386E-2</v>
      </c>
      <c r="AB1736" s="169">
        <v>1.025486122397723E-2</v>
      </c>
    </row>
    <row r="1737" spans="20:28" x14ac:dyDescent="0.2">
      <c r="T1737" s="130"/>
      <c r="U1737" s="151"/>
      <c r="X1737" s="170" t="str">
        <f t="shared" si="35"/>
        <v>1w</v>
      </c>
      <c r="Y1737" s="168">
        <f>_xll.qlCalendarAdvance(LiborCalendar,Y1736,X1737,"f",FALSE)</f>
        <v>51321</v>
      </c>
      <c r="Z1737" s="171">
        <f>_xll.qlInterestRateIndexValueDate(IborIndex,Y1737,Trigger)</f>
        <v>51323</v>
      </c>
      <c r="AA1737" s="172">
        <v>1.0230983057302379E-2</v>
      </c>
      <c r="AB1737" s="169">
        <v>1.0249832364088718E-2</v>
      </c>
    </row>
    <row r="1738" spans="20:28" x14ac:dyDescent="0.2">
      <c r="T1738" s="130"/>
      <c r="U1738" s="151"/>
      <c r="X1738" s="170" t="str">
        <f t="shared" si="35"/>
        <v>1w</v>
      </c>
      <c r="Y1738" s="168">
        <f>_xll.qlCalendarAdvance(LiborCalendar,Y1737,X1738,"f",FALSE)</f>
        <v>51328</v>
      </c>
      <c r="Z1738" s="171">
        <f>_xll.qlInterestRateIndexValueDate(IborIndex,Y1738,Trigger)</f>
        <v>51330</v>
      </c>
      <c r="AA1738" s="172">
        <v>1.02260902386177E-2</v>
      </c>
      <c r="AB1738" s="169">
        <v>1.0244823325331609E-2</v>
      </c>
    </row>
    <row r="1739" spans="20:28" x14ac:dyDescent="0.2">
      <c r="T1739" s="130"/>
      <c r="U1739" s="151"/>
      <c r="X1739" s="170" t="str">
        <f t="shared" si="35"/>
        <v>1w</v>
      </c>
      <c r="Y1739" s="168">
        <f>_xll.qlCalendarAdvance(LiborCalendar,Y1738,X1739,"f",FALSE)</f>
        <v>51335</v>
      </c>
      <c r="Z1739" s="171">
        <f>_xll.qlInterestRateIndexValueDate(IborIndex,Y1739,Trigger)</f>
        <v>51337</v>
      </c>
      <c r="AA1739" s="172">
        <v>1.0221217298326422E-2</v>
      </c>
      <c r="AB1739" s="169">
        <v>1.0239834107732548E-2</v>
      </c>
    </row>
    <row r="1740" spans="20:28" x14ac:dyDescent="0.2">
      <c r="T1740" s="130"/>
      <c r="U1740" s="151"/>
      <c r="X1740" s="170" t="str">
        <f t="shared" si="35"/>
        <v>1w</v>
      </c>
      <c r="Y1740" s="168">
        <f>_xll.qlCalendarAdvance(LiborCalendar,Y1739,X1740,"f",FALSE)</f>
        <v>51342</v>
      </c>
      <c r="Z1740" s="171">
        <f>_xll.qlInterestRateIndexValueDate(IborIndex,Y1740,Trigger)</f>
        <v>51344</v>
      </c>
      <c r="AA1740" s="172">
        <v>1.0216364236352008E-2</v>
      </c>
      <c r="AB1740" s="169">
        <v>1.0234864711318181E-2</v>
      </c>
    </row>
    <row r="1741" spans="20:28" x14ac:dyDescent="0.2">
      <c r="T1741" s="130"/>
      <c r="U1741" s="151"/>
      <c r="X1741" s="170" t="str">
        <f t="shared" si="35"/>
        <v>1w</v>
      </c>
      <c r="Y1741" s="168">
        <f>_xll.qlCalendarAdvance(LiborCalendar,Y1740,X1741,"f",FALSE)</f>
        <v>51349</v>
      </c>
      <c r="Z1741" s="171">
        <f>_xll.qlInterestRateIndexValueDate(IborIndex,Y1741,Trigger)</f>
        <v>51351</v>
      </c>
      <c r="AA1741" s="172">
        <v>1.0211531052619627E-2</v>
      </c>
      <c r="AB1741" s="169">
        <v>1.0229915136061862E-2</v>
      </c>
    </row>
    <row r="1742" spans="20:28" x14ac:dyDescent="0.2">
      <c r="T1742" s="130"/>
      <c r="U1742" s="151"/>
      <c r="X1742" s="170" t="str">
        <f t="shared" si="35"/>
        <v>1w</v>
      </c>
      <c r="Y1742" s="168">
        <f>_xll.qlCalendarAdvance(LiborCalendar,Y1741,X1742,"f",FALSE)</f>
        <v>51356</v>
      </c>
      <c r="Z1742" s="171">
        <f>_xll.qlInterestRateIndexValueDate(IborIndex,Y1742,Trigger)</f>
        <v>51358</v>
      </c>
      <c r="AA1742" s="172">
        <v>1.0206717747054441E-2</v>
      </c>
      <c r="AB1742" s="169">
        <v>1.0224985381936946E-2</v>
      </c>
    </row>
    <row r="1743" spans="20:28" x14ac:dyDescent="0.2">
      <c r="T1743" s="130"/>
      <c r="U1743" s="151"/>
      <c r="X1743" s="170" t="str">
        <f t="shared" si="35"/>
        <v>1w</v>
      </c>
      <c r="Y1743" s="168">
        <f>_xll.qlCalendarAdvance(LiborCalendar,Y1742,X1743,"f",FALSE)</f>
        <v>51363</v>
      </c>
      <c r="Z1743" s="171">
        <f>_xll.qlInterestRateIndexValueDate(IborIndex,Y1743,Trigger)</f>
        <v>51365</v>
      </c>
      <c r="AA1743" s="172">
        <v>1.0201924319580769E-2</v>
      </c>
      <c r="AB1743" s="169">
        <v>1.0220075448996724E-2</v>
      </c>
    </row>
    <row r="1744" spans="20:28" x14ac:dyDescent="0.2">
      <c r="T1744" s="130"/>
      <c r="U1744" s="151"/>
      <c r="X1744" s="170" t="str">
        <f t="shared" si="35"/>
        <v>1w</v>
      </c>
      <c r="Y1744" s="168">
        <f>_xll.qlCalendarAdvance(LiborCalendar,Y1743,X1744,"f",FALSE)</f>
        <v>51370</v>
      </c>
      <c r="Z1744" s="171">
        <f>_xll.qlInterestRateIndexValueDate(IborIndex,Y1744,Trigger)</f>
        <v>51372</v>
      </c>
      <c r="AA1744" s="172">
        <v>1.0197150770125478E-2</v>
      </c>
      <c r="AB1744" s="169">
        <v>1.0214981837877168E-2</v>
      </c>
    </row>
    <row r="1745" spans="20:28" x14ac:dyDescent="0.2">
      <c r="T1745" s="130"/>
      <c r="U1745" s="151"/>
      <c r="X1745" s="170" t="str">
        <f t="shared" si="35"/>
        <v>1w</v>
      </c>
      <c r="Y1745" s="168">
        <f>_xll.qlCalendarAdvance(LiborCalendar,Y1744,X1745,"f",FALSE)</f>
        <v>51377</v>
      </c>
      <c r="Z1745" s="171">
        <f>_xll.qlInterestRateIndexValueDate(IborIndex,Y1745,Trigger)</f>
        <v>51379</v>
      </c>
      <c r="AA1745" s="172">
        <v>1.0192972146988432E-2</v>
      </c>
      <c r="AB1745" s="169">
        <v>1.0210315046537133E-2</v>
      </c>
    </row>
    <row r="1746" spans="20:28" x14ac:dyDescent="0.2">
      <c r="T1746" s="130"/>
      <c r="U1746" s="151"/>
      <c r="X1746" s="170" t="str">
        <f t="shared" si="35"/>
        <v>1w</v>
      </c>
      <c r="Y1746" s="168">
        <f>_xll.qlCalendarAdvance(LiborCalendar,Y1745,X1746,"f",FALSE)</f>
        <v>51384</v>
      </c>
      <c r="Z1746" s="171">
        <f>_xll.qlInterestRateIndexValueDate(IborIndex,Y1746,Trigger)</f>
        <v>51386</v>
      </c>
      <c r="AA1746" s="172">
        <v>1.0188234495649063E-2</v>
      </c>
      <c r="AB1746" s="169">
        <v>1.0205464577017764E-2</v>
      </c>
    </row>
    <row r="1747" spans="20:28" x14ac:dyDescent="0.2">
      <c r="T1747" s="130"/>
      <c r="U1747" s="151"/>
      <c r="X1747" s="170" t="str">
        <f t="shared" si="35"/>
        <v>1w</v>
      </c>
      <c r="Y1747" s="168">
        <f>_xll.qlCalendarAdvance(LiborCalendar,Y1746,X1747,"f",FALSE)</f>
        <v>51391</v>
      </c>
      <c r="Z1747" s="171">
        <f>_xll.qlInterestRateIndexValueDate(IborIndex,Y1747,Trigger)</f>
        <v>51393</v>
      </c>
      <c r="AA1747" s="172">
        <v>1.0183516720251466E-2</v>
      </c>
      <c r="AB1747" s="169">
        <v>1.0200633928683089E-2</v>
      </c>
    </row>
    <row r="1748" spans="20:28" x14ac:dyDescent="0.2">
      <c r="T1748" s="130"/>
      <c r="U1748" s="151"/>
      <c r="X1748" s="170" t="str">
        <f t="shared" si="35"/>
        <v>1w</v>
      </c>
      <c r="Y1748" s="168">
        <f>_xll.qlCalendarAdvance(LiborCalendar,Y1747,X1748,"f",FALSE)</f>
        <v>51398</v>
      </c>
      <c r="Z1748" s="171">
        <f>_xll.qlInterestRateIndexValueDate(IborIndex,Y1748,Trigger)</f>
        <v>51400</v>
      </c>
      <c r="AA1748" s="172">
        <v>1.017881882072273E-2</v>
      </c>
      <c r="AB1748" s="169">
        <v>1.0195823101453172E-2</v>
      </c>
    </row>
    <row r="1749" spans="20:28" x14ac:dyDescent="0.2">
      <c r="T1749" s="130"/>
      <c r="U1749" s="151"/>
      <c r="X1749" s="170" t="str">
        <f t="shared" ref="X1749:X1812" si="36">X1748</f>
        <v>1w</v>
      </c>
      <c r="Y1749" s="168">
        <f>_xll.qlCalendarAdvance(LiborCalendar,Y1748,X1749,"f",FALSE)</f>
        <v>51405</v>
      </c>
      <c r="Z1749" s="171">
        <f>_xll.qlInterestRateIndexValueDate(IborIndex,Y1749,Trigger)</f>
        <v>51407</v>
      </c>
      <c r="AA1749" s="172">
        <v>1.0173581190528504E-2</v>
      </c>
      <c r="AB1749" s="169">
        <v>1.0191032095354657E-2</v>
      </c>
    </row>
    <row r="1750" spans="20:28" x14ac:dyDescent="0.2">
      <c r="T1750" s="130"/>
      <c r="U1750" s="151"/>
      <c r="X1750" s="170" t="str">
        <f t="shared" si="36"/>
        <v>1w</v>
      </c>
      <c r="Y1750" s="168">
        <f>_xll.qlCalendarAdvance(LiborCalendar,Y1749,X1750,"f",FALSE)</f>
        <v>51412</v>
      </c>
      <c r="Z1750" s="171">
        <f>_xll.qlInterestRateIndexValueDate(IborIndex,Y1750,Trigger)</f>
        <v>51414</v>
      </c>
      <c r="AA1750" s="172">
        <v>1.0168926907633245E-2</v>
      </c>
      <c r="AB1750" s="169">
        <v>1.0186260910414191E-2</v>
      </c>
    </row>
    <row r="1751" spans="20:28" x14ac:dyDescent="0.2">
      <c r="T1751" s="130"/>
      <c r="U1751" s="151"/>
      <c r="X1751" s="170" t="str">
        <f t="shared" si="36"/>
        <v>1w</v>
      </c>
      <c r="Y1751" s="168">
        <f>_xll.qlCalendarAdvance(LiborCalendar,Y1750,X1751,"f",FALSE)</f>
        <v>51419</v>
      </c>
      <c r="Z1751" s="171">
        <f>_xll.qlInterestRateIndexValueDate(IborIndex,Y1751,Trigger)</f>
        <v>51421</v>
      </c>
      <c r="AA1751" s="172">
        <v>1.0164292502242734E-2</v>
      </c>
      <c r="AB1751" s="169">
        <v>1.0181509546605128E-2</v>
      </c>
    </row>
    <row r="1752" spans="20:28" x14ac:dyDescent="0.2">
      <c r="T1752" s="130"/>
      <c r="U1752" s="151"/>
      <c r="X1752" s="170" t="str">
        <f t="shared" si="36"/>
        <v>1w</v>
      </c>
      <c r="Y1752" s="168">
        <f>_xll.qlCalendarAdvance(LiborCalendar,Y1751,X1752,"f",FALSE)</f>
        <v>51426</v>
      </c>
      <c r="Z1752" s="171">
        <f>_xll.qlInterestRateIndexValueDate(IborIndex,Y1752,Trigger)</f>
        <v>51428</v>
      </c>
      <c r="AA1752" s="172">
        <v>1.015967797428639E-2</v>
      </c>
      <c r="AB1752" s="169">
        <v>1.0176778003927467E-2</v>
      </c>
    </row>
    <row r="1753" spans="20:28" x14ac:dyDescent="0.2">
      <c r="T1753" s="130"/>
      <c r="U1753" s="151"/>
      <c r="X1753" s="170" t="str">
        <f t="shared" si="36"/>
        <v>1w</v>
      </c>
      <c r="Y1753" s="168">
        <f>_xll.qlCalendarAdvance(LiborCalendar,Y1752,X1753,"f",FALSE)</f>
        <v>51433</v>
      </c>
      <c r="Z1753" s="171">
        <f>_xll.qlInterestRateIndexValueDate(IborIndex,Y1753,Trigger)</f>
        <v>51435</v>
      </c>
      <c r="AA1753" s="172">
        <v>1.015508332369193E-2</v>
      </c>
      <c r="AB1753" s="169">
        <v>1.0172066282407854E-2</v>
      </c>
    </row>
    <row r="1754" spans="20:28" x14ac:dyDescent="0.2">
      <c r="T1754" s="130"/>
      <c r="U1754" s="151"/>
      <c r="X1754" s="170" t="str">
        <f t="shared" si="36"/>
        <v>1w</v>
      </c>
      <c r="Y1754" s="168">
        <f>_xll.qlCalendarAdvance(LiborCalendar,Y1753,X1754,"f",FALSE)</f>
        <v>51440</v>
      </c>
      <c r="Z1754" s="171">
        <f>_xll.qlInterestRateIndexValueDate(IborIndex,Y1754,Trigger)</f>
        <v>51442</v>
      </c>
      <c r="AA1754" s="172">
        <v>1.0150508550387072E-2</v>
      </c>
      <c r="AB1754" s="169">
        <v>1.0167374381966354E-2</v>
      </c>
    </row>
    <row r="1755" spans="20:28" x14ac:dyDescent="0.2">
      <c r="T1755" s="130"/>
      <c r="U1755" s="151"/>
      <c r="X1755" s="170" t="str">
        <f t="shared" si="36"/>
        <v>1w</v>
      </c>
      <c r="Y1755" s="168">
        <f>_xll.qlCalendarAdvance(LiborCalendar,Y1754,X1755,"f",FALSE)</f>
        <v>51447</v>
      </c>
      <c r="Z1755" s="171">
        <f>_xll.qlInterestRateIndexValueDate(IborIndex,Y1755,Trigger)</f>
        <v>51449</v>
      </c>
      <c r="AA1755" s="172">
        <v>1.0145953654302084E-2</v>
      </c>
      <c r="AB1755" s="169">
        <v>1.0162702302682902E-2</v>
      </c>
    </row>
    <row r="1756" spans="20:28" x14ac:dyDescent="0.2">
      <c r="T1756" s="130"/>
      <c r="U1756" s="151"/>
      <c r="X1756" s="170" t="str">
        <f t="shared" si="36"/>
        <v>1w</v>
      </c>
      <c r="Y1756" s="168">
        <f>_xll.qlCalendarAdvance(LiborCalendar,Y1755,X1756,"f",FALSE)</f>
        <v>51454</v>
      </c>
      <c r="Z1756" s="171">
        <f>_xll.qlInterestRateIndexValueDate(IborIndex,Y1756,Trigger)</f>
        <v>51456</v>
      </c>
      <c r="AA1756" s="172">
        <v>1.0141418635365534E-2</v>
      </c>
      <c r="AB1756" s="169">
        <v>1.0158050044504208E-2</v>
      </c>
    </row>
    <row r="1757" spans="20:28" x14ac:dyDescent="0.2">
      <c r="T1757" s="130"/>
      <c r="U1757" s="151"/>
      <c r="X1757" s="170" t="str">
        <f t="shared" si="36"/>
        <v>1w</v>
      </c>
      <c r="Y1757" s="168">
        <f>_xll.qlCalendarAdvance(LiborCalendar,Y1756,X1757,"f",FALSE)</f>
        <v>51461</v>
      </c>
      <c r="Z1757" s="171">
        <f>_xll.qlInterestRateIndexValueDate(IborIndex,Y1757,Trigger)</f>
        <v>51463</v>
      </c>
      <c r="AA1757" s="172">
        <v>1.0136903493507691E-2</v>
      </c>
      <c r="AB1757" s="169">
        <v>1.0153417607483561E-2</v>
      </c>
    </row>
    <row r="1758" spans="20:28" x14ac:dyDescent="0.2">
      <c r="T1758" s="130"/>
      <c r="U1758" s="151"/>
      <c r="X1758" s="170" t="str">
        <f t="shared" si="36"/>
        <v>1w</v>
      </c>
      <c r="Y1758" s="168">
        <f>_xll.qlCalendarAdvance(LiborCalendar,Y1757,X1758,"f",FALSE)</f>
        <v>51468</v>
      </c>
      <c r="Z1758" s="171">
        <f>_xll.qlInterestRateIndexValueDate(IborIndex,Y1758,Trigger)</f>
        <v>51470</v>
      </c>
      <c r="AA1758" s="172">
        <v>1.0133108141006097E-2</v>
      </c>
      <c r="AB1758" s="169">
        <v>1.0148804991541027E-2</v>
      </c>
    </row>
    <row r="1759" spans="20:28" x14ac:dyDescent="0.2">
      <c r="T1759" s="130"/>
      <c r="U1759" s="151"/>
      <c r="X1759" s="170" t="str">
        <f t="shared" si="36"/>
        <v>1w</v>
      </c>
      <c r="Y1759" s="168">
        <f>_xll.qlCalendarAdvance(LiborCalendar,Y1758,X1759,"f",FALSE)</f>
        <v>51475</v>
      </c>
      <c r="Z1759" s="171">
        <f>_xll.qlInterestRateIndexValueDate(IborIndex,Y1759,Trigger)</f>
        <v>51477</v>
      </c>
      <c r="AA1759" s="172">
        <v>1.012862757773636E-2</v>
      </c>
      <c r="AB1759" s="169">
        <v>1.0144212196729896E-2</v>
      </c>
    </row>
    <row r="1760" spans="20:28" x14ac:dyDescent="0.2">
      <c r="T1760" s="130"/>
      <c r="U1760" s="151"/>
      <c r="X1760" s="170" t="str">
        <f t="shared" si="36"/>
        <v>1w</v>
      </c>
      <c r="Y1760" s="168">
        <f>_xll.qlCalendarAdvance(LiborCalendar,Y1759,X1760,"f",FALSE)</f>
        <v>51482</v>
      </c>
      <c r="Z1760" s="171">
        <f>_xll.qlInterestRateIndexValueDate(IborIndex,Y1760,Trigger)</f>
        <v>51484</v>
      </c>
      <c r="AA1760" s="172">
        <v>1.0124166888901165E-2</v>
      </c>
      <c r="AB1760" s="169">
        <v>1.0139639223023522E-2</v>
      </c>
    </row>
    <row r="1761" spans="20:28" x14ac:dyDescent="0.2">
      <c r="T1761" s="130"/>
      <c r="U1761" s="151"/>
      <c r="X1761" s="170" t="str">
        <f t="shared" si="36"/>
        <v>1w</v>
      </c>
      <c r="Y1761" s="168">
        <f>_xll.qlCalendarAdvance(LiborCalendar,Y1760,X1761,"f",FALSE)</f>
        <v>51489</v>
      </c>
      <c r="Z1761" s="171">
        <f>_xll.qlInterestRateIndexValueDate(IborIndex,Y1761,Trigger)</f>
        <v>51491</v>
      </c>
      <c r="AA1761" s="172">
        <v>1.0119726074431235E-2</v>
      </c>
      <c r="AB1761" s="169">
        <v>1.0135086070448551E-2</v>
      </c>
    </row>
    <row r="1762" spans="20:28" x14ac:dyDescent="0.2">
      <c r="T1762" s="130"/>
      <c r="U1762" s="151"/>
      <c r="X1762" s="170" t="str">
        <f t="shared" si="36"/>
        <v>1w</v>
      </c>
      <c r="Y1762" s="168">
        <f>_xll.qlCalendarAdvance(LiborCalendar,Y1761,X1762,"f",FALSE)</f>
        <v>51497</v>
      </c>
      <c r="Z1762" s="171">
        <f>_xll.qlInterestRateIndexValueDate(IborIndex,Y1762,Trigger)</f>
        <v>51501</v>
      </c>
      <c r="AA1762" s="172">
        <v>1.0113755739055858E-2</v>
      </c>
      <c r="AB1762" s="169">
        <v>1.0128795923072254E-2</v>
      </c>
    </row>
    <row r="1763" spans="20:28" x14ac:dyDescent="0.2">
      <c r="T1763" s="130"/>
      <c r="U1763" s="151"/>
      <c r="X1763" s="170" t="str">
        <f t="shared" si="36"/>
        <v>1w</v>
      </c>
      <c r="Y1763" s="168">
        <f>_xll.qlCalendarAdvance(LiborCalendar,Y1762,X1763,"f",FALSE)</f>
        <v>51504</v>
      </c>
      <c r="Z1763" s="171">
        <f>_xll.qlInterestRateIndexValueDate(IborIndex,Y1763,Trigger)</f>
        <v>51508</v>
      </c>
      <c r="AA1763" s="172">
        <v>1.0108855853362127E-2</v>
      </c>
      <c r="AB1763" s="169">
        <v>1.0124468421555122E-2</v>
      </c>
    </row>
    <row r="1764" spans="20:28" x14ac:dyDescent="0.2">
      <c r="T1764" s="130"/>
      <c r="U1764" s="151"/>
      <c r="X1764" s="170" t="str">
        <f t="shared" si="36"/>
        <v>1w</v>
      </c>
      <c r="Y1764" s="168">
        <f>_xll.qlCalendarAdvance(LiborCalendar,Y1763,X1764,"f",FALSE)</f>
        <v>51511</v>
      </c>
      <c r="Z1764" s="171">
        <f>_xll.qlInterestRateIndexValueDate(IborIndex,Y1764,Trigger)</f>
        <v>51515</v>
      </c>
      <c r="AA1764" s="172">
        <v>1.0104484476091417E-2</v>
      </c>
      <c r="AB1764" s="169">
        <v>1.0119980647802507E-2</v>
      </c>
    </row>
    <row r="1765" spans="20:28" x14ac:dyDescent="0.2">
      <c r="T1765" s="130"/>
      <c r="U1765" s="151"/>
      <c r="X1765" s="170" t="str">
        <f t="shared" si="36"/>
        <v>1w</v>
      </c>
      <c r="Y1765" s="168">
        <f>_xll.qlCalendarAdvance(LiborCalendar,Y1764,X1765,"f",FALSE)</f>
        <v>51518</v>
      </c>
      <c r="Z1765" s="171">
        <f>_xll.qlInterestRateIndexValueDate(IborIndex,Y1765,Trigger)</f>
        <v>51522</v>
      </c>
      <c r="AA1765" s="172">
        <v>1.0099967560975623E-2</v>
      </c>
      <c r="AB1765" s="169">
        <v>1.0115512693955608E-2</v>
      </c>
    </row>
    <row r="1766" spans="20:28" x14ac:dyDescent="0.2">
      <c r="T1766" s="130"/>
      <c r="U1766" s="151"/>
      <c r="X1766" s="170" t="str">
        <f t="shared" si="36"/>
        <v>1w</v>
      </c>
      <c r="Y1766" s="168">
        <f>_xll.qlCalendarAdvance(LiborCalendar,Y1765,X1766,"f",FALSE)</f>
        <v>51525</v>
      </c>
      <c r="Z1766" s="171">
        <f>_xll.qlInterestRateIndexValueDate(IborIndex,Y1766,Trigger)</f>
        <v>51529</v>
      </c>
      <c r="AA1766" s="172">
        <v>1.0095801345529593E-2</v>
      </c>
      <c r="AB1766" s="169">
        <v>1.0111064560014427E-2</v>
      </c>
    </row>
    <row r="1767" spans="20:28" x14ac:dyDescent="0.2">
      <c r="T1767" s="130"/>
      <c r="U1767" s="151"/>
      <c r="X1767" s="170" t="str">
        <f t="shared" si="36"/>
        <v>1w</v>
      </c>
      <c r="Y1767" s="168">
        <f>_xll.qlCalendarAdvance(LiborCalendar,Y1766,X1767,"f",FALSE)</f>
        <v>51532</v>
      </c>
      <c r="Z1767" s="171">
        <f>_xll.qlInterestRateIndexValueDate(IborIndex,Y1767,Trigger)</f>
        <v>51536</v>
      </c>
      <c r="AA1767" s="172">
        <v>1.0091326776793542E-2</v>
      </c>
      <c r="AB1767" s="169">
        <v>1.0106636245978962E-2</v>
      </c>
    </row>
    <row r="1768" spans="20:28" x14ac:dyDescent="0.2">
      <c r="T1768" s="130"/>
      <c r="U1768" s="151"/>
      <c r="X1768" s="170" t="str">
        <f t="shared" si="36"/>
        <v>1w</v>
      </c>
      <c r="Y1768" s="168">
        <f>_xll.qlCalendarAdvance(LiborCalendar,Y1767,X1768,"f",FALSE)</f>
        <v>51539</v>
      </c>
      <c r="Z1768" s="171">
        <f>_xll.qlInterestRateIndexValueDate(IborIndex,Y1768,Trigger)</f>
        <v>51543</v>
      </c>
      <c r="AA1768" s="172">
        <v>1.008719771317359E-2</v>
      </c>
      <c r="AB1768" s="169">
        <v>1.0102227751689341E-2</v>
      </c>
    </row>
    <row r="1769" spans="20:28" x14ac:dyDescent="0.2">
      <c r="T1769" s="130"/>
      <c r="U1769" s="151"/>
      <c r="X1769" s="170" t="str">
        <f t="shared" si="36"/>
        <v>1w</v>
      </c>
      <c r="Y1769" s="168">
        <f>_xll.qlCalendarAdvance(LiborCalendar,Y1768,X1769,"f",FALSE)</f>
        <v>51546</v>
      </c>
      <c r="Z1769" s="171">
        <f>_xll.qlInterestRateIndexValueDate(IborIndex,Y1769,Trigger)</f>
        <v>51550</v>
      </c>
      <c r="AA1769" s="172">
        <v>1.0082925708660814E-2</v>
      </c>
      <c r="AB1769" s="169">
        <v>1.0097839077385373E-2</v>
      </c>
    </row>
    <row r="1770" spans="20:28" x14ac:dyDescent="0.2">
      <c r="T1770" s="130"/>
      <c r="U1770" s="151"/>
      <c r="X1770" s="170" t="str">
        <f t="shared" si="36"/>
        <v>1w</v>
      </c>
      <c r="Y1770" s="168">
        <f>_xll.qlCalendarAdvance(LiborCalendar,Y1769,X1770,"f",FALSE)</f>
        <v>51553</v>
      </c>
      <c r="Z1770" s="171">
        <f>_xll.qlInterestRateIndexValueDate(IborIndex,Y1770,Trigger)</f>
        <v>51557</v>
      </c>
      <c r="AA1770" s="172">
        <v>1.0078514663531921E-2</v>
      </c>
      <c r="AB1770" s="169">
        <v>1.0093470222907186E-2</v>
      </c>
    </row>
    <row r="1771" spans="20:28" x14ac:dyDescent="0.2">
      <c r="T1771" s="130"/>
      <c r="U1771" s="151"/>
      <c r="X1771" s="170" t="str">
        <f t="shared" si="36"/>
        <v>1w</v>
      </c>
      <c r="Y1771" s="168">
        <f>_xll.qlCalendarAdvance(LiborCalendar,Y1770,X1771,"f",FALSE)</f>
        <v>51560</v>
      </c>
      <c r="Z1771" s="171">
        <f>_xll.qlInterestRateIndexValueDate(IborIndex,Y1771,Trigger)</f>
        <v>51564</v>
      </c>
      <c r="AA1771" s="172">
        <v>1.0074283708986945E-2</v>
      </c>
      <c r="AB1771" s="169">
        <v>1.0089121188254779E-2</v>
      </c>
    </row>
    <row r="1772" spans="20:28" x14ac:dyDescent="0.2">
      <c r="T1772" s="130"/>
      <c r="U1772" s="151"/>
      <c r="X1772" s="170" t="str">
        <f t="shared" si="36"/>
        <v>1w</v>
      </c>
      <c r="Y1772" s="168">
        <f>_xll.qlCalendarAdvance(LiborCalendar,Y1771,X1772,"f",FALSE)</f>
        <v>51567</v>
      </c>
      <c r="Z1772" s="171">
        <f>_xll.qlInterestRateIndexValueDate(IborIndex,Y1772,Trigger)</f>
        <v>51571</v>
      </c>
      <c r="AA1772" s="172">
        <v>1.0070072629273315E-2</v>
      </c>
      <c r="AB1772" s="169">
        <v>1.0084791973588025E-2</v>
      </c>
    </row>
    <row r="1773" spans="20:28" x14ac:dyDescent="0.2">
      <c r="T1773" s="130"/>
      <c r="U1773" s="151"/>
      <c r="X1773" s="170" t="str">
        <f t="shared" si="36"/>
        <v>1w</v>
      </c>
      <c r="Y1773" s="168">
        <f>_xll.qlCalendarAdvance(LiborCalendar,Y1772,X1773,"f",FALSE)</f>
        <v>51574</v>
      </c>
      <c r="Z1773" s="171">
        <f>_xll.qlInterestRateIndexValueDate(IborIndex,Y1773,Trigger)</f>
        <v>51578</v>
      </c>
      <c r="AA1773" s="172">
        <v>1.0065881424325867E-2</v>
      </c>
      <c r="AB1773" s="169">
        <v>1.0080482578667116E-2</v>
      </c>
    </row>
    <row r="1774" spans="20:28" x14ac:dyDescent="0.2">
      <c r="T1774" s="130"/>
      <c r="U1774" s="151"/>
      <c r="X1774" s="170" t="str">
        <f t="shared" si="36"/>
        <v>1w</v>
      </c>
      <c r="Y1774" s="168">
        <f>_xll.qlCalendarAdvance(LiborCalendar,Y1773,X1774,"f",FALSE)</f>
        <v>51581</v>
      </c>
      <c r="Z1774" s="171">
        <f>_xll.qlInterestRateIndexValueDate(IborIndex,Y1774,Trigger)</f>
        <v>51585</v>
      </c>
      <c r="AA1774" s="172">
        <v>1.0061710094082039E-2</v>
      </c>
      <c r="AB1774" s="169">
        <v>1.0076193003731859E-2</v>
      </c>
    </row>
    <row r="1775" spans="20:28" x14ac:dyDescent="0.2">
      <c r="T1775" s="130"/>
      <c r="U1775" s="151"/>
      <c r="X1775" s="170" t="str">
        <f t="shared" si="36"/>
        <v>1w</v>
      </c>
      <c r="Y1775" s="168">
        <f>_xll.qlCalendarAdvance(LiborCalendar,Y1774,X1775,"f",FALSE)</f>
        <v>51588</v>
      </c>
      <c r="Z1775" s="171">
        <f>_xll.qlInterestRateIndexValueDate(IborIndex,Y1775,Trigger)</f>
        <v>51592</v>
      </c>
      <c r="AA1775" s="172">
        <v>1.0057711040874136E-2</v>
      </c>
      <c r="AB1775" s="169">
        <v>1.0071923248622383E-2</v>
      </c>
    </row>
    <row r="1776" spans="20:28" x14ac:dyDescent="0.2">
      <c r="T1776" s="130"/>
      <c r="U1776" s="151"/>
      <c r="X1776" s="170" t="str">
        <f t="shared" si="36"/>
        <v>1w</v>
      </c>
      <c r="Y1776" s="168">
        <f>_xll.qlCalendarAdvance(LiborCalendar,Y1775,X1776,"f",FALSE)</f>
        <v>51595</v>
      </c>
      <c r="Z1776" s="171">
        <f>_xll.qlInterestRateIndexValueDate(IborIndex,Y1776,Trigger)</f>
        <v>51599</v>
      </c>
      <c r="AA1776" s="172">
        <v>1.0053578155535561E-2</v>
      </c>
      <c r="AB1776" s="169">
        <v>1.0067673313338688E-2</v>
      </c>
    </row>
    <row r="1777" spans="20:28" x14ac:dyDescent="0.2">
      <c r="T1777" s="130"/>
      <c r="U1777" s="151"/>
      <c r="X1777" s="170" t="str">
        <f t="shared" si="36"/>
        <v>1w</v>
      </c>
      <c r="Y1777" s="168">
        <f>_xll.qlCalendarAdvance(LiborCalendar,Y1776,X1777,"f",FALSE)</f>
        <v>51602</v>
      </c>
      <c r="Z1777" s="171">
        <f>_xll.qlInterestRateIndexValueDate(IborIndex,Y1777,Trigger)</f>
        <v>51606</v>
      </c>
      <c r="AA1777" s="172">
        <v>1.0049465144112247E-2</v>
      </c>
      <c r="AB1777" s="169">
        <v>1.0063443197960709E-2</v>
      </c>
    </row>
    <row r="1778" spans="20:28" x14ac:dyDescent="0.2">
      <c r="T1778" s="130"/>
      <c r="U1778" s="151"/>
      <c r="X1778" s="170" t="str">
        <f t="shared" si="36"/>
        <v>1w</v>
      </c>
      <c r="Y1778" s="168">
        <f>_xll.qlCalendarAdvance(LiborCalendar,Y1777,X1778,"f",FALSE)</f>
        <v>51609</v>
      </c>
      <c r="Z1778" s="171">
        <f>_xll.qlInterestRateIndexValueDate(IborIndex,Y1778,Trigger)</f>
        <v>51615</v>
      </c>
      <c r="AA1778" s="172">
        <v>1.0044206188959575E-2</v>
      </c>
      <c r="AB1778" s="169">
        <v>1.0058033601270111E-2</v>
      </c>
    </row>
    <row r="1779" spans="20:28" x14ac:dyDescent="0.2">
      <c r="T1779" s="130"/>
      <c r="U1779" s="151"/>
      <c r="X1779" s="170" t="str">
        <f t="shared" si="36"/>
        <v>1w</v>
      </c>
      <c r="Y1779" s="168">
        <f>_xll.qlCalendarAdvance(LiborCalendar,Y1778,X1779,"f",FALSE)</f>
        <v>51616</v>
      </c>
      <c r="Z1779" s="171">
        <f>_xll.qlInterestRateIndexValueDate(IborIndex,Y1779,Trigger)</f>
        <v>51620</v>
      </c>
      <c r="AA1779" s="172">
        <v>1.0041298742770715E-2</v>
      </c>
      <c r="AB1779" s="169">
        <v>1.0055042426841965E-2</v>
      </c>
    </row>
    <row r="1780" spans="20:28" x14ac:dyDescent="0.2">
      <c r="T1780" s="130"/>
      <c r="U1780" s="151"/>
      <c r="X1780" s="170" t="str">
        <f t="shared" si="36"/>
        <v>1w</v>
      </c>
      <c r="Y1780" s="168">
        <f>_xll.qlCalendarAdvance(LiborCalendar,Y1779,X1780,"f",FALSE)</f>
        <v>51623</v>
      </c>
      <c r="Z1780" s="171">
        <f>_xll.qlInterestRateIndexValueDate(IborIndex,Y1780,Trigger)</f>
        <v>51628</v>
      </c>
      <c r="AA1780" s="172">
        <v>1.0036522231189242E-2</v>
      </c>
      <c r="AB1780" s="169">
        <v>1.0050277581044043E-2</v>
      </c>
    </row>
    <row r="1781" spans="20:28" x14ac:dyDescent="0.2">
      <c r="T1781" s="130"/>
      <c r="U1781" s="151"/>
      <c r="X1781" s="170" t="str">
        <f t="shared" si="36"/>
        <v>1w</v>
      </c>
      <c r="Y1781" s="168">
        <f>_xll.qlCalendarAdvance(LiborCalendar,Y1780,X1781,"f",FALSE)</f>
        <v>51630</v>
      </c>
      <c r="Z1781" s="171">
        <f>_xll.qlInterestRateIndexValueDate(IborIndex,Y1781,Trigger)</f>
        <v>51634</v>
      </c>
      <c r="AA1781" s="172">
        <v>1.0033067268767E-2</v>
      </c>
      <c r="AB1781" s="169">
        <v>1.0046720935106279E-2</v>
      </c>
    </row>
    <row r="1782" spans="20:28" x14ac:dyDescent="0.2">
      <c r="T1782" s="130"/>
      <c r="U1782" s="151"/>
      <c r="X1782" s="170" t="str">
        <f t="shared" si="36"/>
        <v>1w</v>
      </c>
      <c r="Y1782" s="168">
        <f>_xll.qlCalendarAdvance(LiborCalendar,Y1781,X1782,"f",FALSE)</f>
        <v>51637</v>
      </c>
      <c r="Z1782" s="171">
        <f>_xll.qlInterestRateIndexValueDate(IborIndex,Y1782,Trigger)</f>
        <v>51641</v>
      </c>
      <c r="AA1782" s="172">
        <v>1.0029054933889611E-2</v>
      </c>
      <c r="AB1782" s="169">
        <v>1.0042589919017075E-2</v>
      </c>
    </row>
    <row r="1783" spans="20:28" x14ac:dyDescent="0.2">
      <c r="T1783" s="130"/>
      <c r="U1783" s="151"/>
      <c r="X1783" s="170" t="str">
        <f t="shared" si="36"/>
        <v>1w</v>
      </c>
      <c r="Y1783" s="168">
        <f>_xll.qlCalendarAdvance(LiborCalendar,Y1782,X1783,"f",FALSE)</f>
        <v>51644</v>
      </c>
      <c r="Z1783" s="171">
        <f>_xll.qlInterestRateIndexValueDate(IborIndex,Y1783,Trigger)</f>
        <v>51649</v>
      </c>
      <c r="AA1783" s="172">
        <v>1.0024493743996872E-2</v>
      </c>
      <c r="AB1783" s="169">
        <v>1.0037893027021738E-2</v>
      </c>
    </row>
    <row r="1784" spans="20:28" x14ac:dyDescent="0.2">
      <c r="T1784" s="130"/>
      <c r="U1784" s="151"/>
      <c r="X1784" s="170" t="str">
        <f t="shared" si="36"/>
        <v>1w</v>
      </c>
      <c r="Y1784" s="168">
        <f>_xll.qlCalendarAdvance(LiborCalendar,Y1783,X1784,"f",FALSE)</f>
        <v>51651</v>
      </c>
      <c r="Z1784" s="171">
        <f>_xll.qlInterestRateIndexValueDate(IborIndex,Y1784,Trigger)</f>
        <v>51655</v>
      </c>
      <c r="AA1784" s="172">
        <v>1.0021089886502743E-2</v>
      </c>
      <c r="AB1784" s="169">
        <v>1.0034387346475881E-2</v>
      </c>
    </row>
    <row r="1785" spans="20:28" x14ac:dyDescent="0.2">
      <c r="T1785" s="130"/>
      <c r="U1785" s="151"/>
      <c r="X1785" s="170" t="str">
        <f t="shared" si="36"/>
        <v>1w</v>
      </c>
      <c r="Y1785" s="168">
        <f>_xll.qlCalendarAdvance(LiborCalendar,Y1784,X1785,"f",FALSE)</f>
        <v>51658</v>
      </c>
      <c r="Z1785" s="171">
        <f>_xll.qlInterestRateIndexValueDate(IborIndex,Y1785,Trigger)</f>
        <v>51663</v>
      </c>
      <c r="AA1785" s="172">
        <v>1.0016574123007431E-2</v>
      </c>
      <c r="AB1785" s="169">
        <v>1.0029735757042246E-2</v>
      </c>
    </row>
    <row r="1786" spans="20:28" x14ac:dyDescent="0.2">
      <c r="T1786" s="130"/>
      <c r="U1786" s="151"/>
      <c r="X1786" s="170" t="str">
        <f t="shared" si="36"/>
        <v>1w</v>
      </c>
      <c r="Y1786" s="168">
        <f>_xll.qlCalendarAdvance(LiborCalendar,Y1785,X1786,"f",FALSE)</f>
        <v>51665</v>
      </c>
      <c r="Z1786" s="171">
        <f>_xll.qlInterestRateIndexValueDate(IborIndex,Y1786,Trigger)</f>
        <v>51669</v>
      </c>
      <c r="AA1786" s="172">
        <v>1.0013204335207327E-2</v>
      </c>
      <c r="AB1786" s="169">
        <v>1.0026264053397682E-2</v>
      </c>
    </row>
    <row r="1787" spans="20:28" x14ac:dyDescent="0.2">
      <c r="T1787" s="130"/>
      <c r="U1787" s="151"/>
      <c r="X1787" s="170" t="str">
        <f t="shared" si="36"/>
        <v>1w</v>
      </c>
      <c r="Y1787" s="168">
        <f>_xll.qlCalendarAdvance(LiborCalendar,Y1786,X1787,"f",FALSE)</f>
        <v>51672</v>
      </c>
      <c r="Z1787" s="171">
        <f>_xll.qlInterestRateIndexValueDate(IborIndex,Y1787,Trigger)</f>
        <v>51676</v>
      </c>
      <c r="AA1787" s="172">
        <v>1.0009291370442945E-2</v>
      </c>
      <c r="AB1787" s="169">
        <v>1.0022232136757125E-2</v>
      </c>
    </row>
    <row r="1788" spans="20:28" x14ac:dyDescent="0.2">
      <c r="T1788" s="130"/>
      <c r="U1788" s="151"/>
      <c r="X1788" s="170" t="str">
        <f t="shared" si="36"/>
        <v>1w</v>
      </c>
      <c r="Y1788" s="168">
        <f>_xll.qlCalendarAdvance(LiborCalendar,Y1787,X1788,"f",FALSE)</f>
        <v>51679</v>
      </c>
      <c r="Z1788" s="171">
        <f>_xll.qlInterestRateIndexValueDate(IborIndex,Y1788,Trigger)</f>
        <v>51683</v>
      </c>
      <c r="AA1788" s="172">
        <v>1.0005398279522003E-2</v>
      </c>
      <c r="AB1788" s="169">
        <v>1.0018220039862413E-2</v>
      </c>
    </row>
    <row r="1789" spans="20:28" x14ac:dyDescent="0.2">
      <c r="T1789" s="130"/>
      <c r="U1789" s="151"/>
      <c r="X1789" s="170" t="str">
        <f t="shared" si="36"/>
        <v>1w</v>
      </c>
      <c r="Y1789" s="168">
        <f>_xll.qlCalendarAdvance(LiborCalendar,Y1788,X1789,"f",FALSE)</f>
        <v>51686</v>
      </c>
      <c r="Z1789" s="171">
        <f>_xll.qlInterestRateIndexValueDate(IborIndex,Y1789,Trigger)</f>
        <v>51690</v>
      </c>
      <c r="AA1789" s="172">
        <v>1.0001525062383682E-2</v>
      </c>
      <c r="AB1789" s="169">
        <v>1.0014227762793482E-2</v>
      </c>
    </row>
    <row r="1790" spans="20:28" x14ac:dyDescent="0.2">
      <c r="T1790" s="130"/>
      <c r="U1790" s="151"/>
      <c r="X1790" s="170" t="str">
        <f t="shared" si="36"/>
        <v>1w</v>
      </c>
      <c r="Y1790" s="168">
        <f>_xll.qlCalendarAdvance(LiborCalendar,Y1789,X1790,"f",FALSE)</f>
        <v>51693</v>
      </c>
      <c r="Z1790" s="171">
        <f>_xll.qlInterestRateIndexValueDate(IborIndex,Y1790,Trigger)</f>
        <v>51697</v>
      </c>
      <c r="AA1790" s="172">
        <v>9.9976717189715035E-3</v>
      </c>
      <c r="AB1790" s="169">
        <v>1.0010255305630267E-2</v>
      </c>
    </row>
    <row r="1791" spans="20:28" x14ac:dyDescent="0.2">
      <c r="T1791" s="130"/>
      <c r="U1791" s="151"/>
      <c r="X1791" s="170" t="str">
        <f t="shared" si="36"/>
        <v>1w</v>
      </c>
      <c r="Y1791" s="168">
        <f>_xll.qlCalendarAdvance(LiborCalendar,Y1790,X1791,"f",FALSE)</f>
        <v>51700</v>
      </c>
      <c r="Z1791" s="171">
        <f>_xll.qlInterestRateIndexValueDate(IborIndex,Y1791,Trigger)</f>
        <v>51704</v>
      </c>
      <c r="AA1791" s="172">
        <v>9.9938382492255166E-3</v>
      </c>
      <c r="AB1791" s="169">
        <v>1.0006302668292832E-2</v>
      </c>
    </row>
    <row r="1792" spans="20:28" x14ac:dyDescent="0.2">
      <c r="T1792" s="130"/>
      <c r="U1792" s="151"/>
      <c r="X1792" s="170" t="str">
        <f t="shared" si="36"/>
        <v>1w</v>
      </c>
      <c r="Y1792" s="168">
        <f>_xll.qlCalendarAdvance(LiborCalendar,Y1791,X1792,"f",FALSE)</f>
        <v>51707</v>
      </c>
      <c r="Z1792" s="171">
        <f>_xll.qlInterestRateIndexValueDate(IborIndex,Y1792,Trigger)</f>
        <v>51711</v>
      </c>
      <c r="AA1792" s="172">
        <v>9.9900246530875061E-3</v>
      </c>
      <c r="AB1792" s="169">
        <v>1.0002369850861115E-2</v>
      </c>
    </row>
    <row r="1793" spans="20:28" x14ac:dyDescent="0.2">
      <c r="T1793" s="130"/>
      <c r="U1793" s="151"/>
      <c r="X1793" s="170" t="str">
        <f t="shared" si="36"/>
        <v>1w</v>
      </c>
      <c r="Y1793" s="168">
        <f>_xll.qlCalendarAdvance(LiborCalendar,Y1792,X1793,"f",FALSE)</f>
        <v>51714</v>
      </c>
      <c r="Z1793" s="171">
        <f>_xll.qlInterestRateIndexValueDate(IborIndex,Y1793,Trigger)</f>
        <v>51718</v>
      </c>
      <c r="AA1793" s="172">
        <v>9.986230930499258E-3</v>
      </c>
      <c r="AB1793" s="169">
        <v>9.9984568532551776E-3</v>
      </c>
    </row>
    <row r="1794" spans="20:28" x14ac:dyDescent="0.2">
      <c r="T1794" s="130"/>
      <c r="U1794" s="151"/>
      <c r="X1794" s="170" t="str">
        <f t="shared" si="36"/>
        <v>1w</v>
      </c>
      <c r="Y1794" s="168">
        <f>_xll.qlCalendarAdvance(LiborCalendar,Y1793,X1794,"f",FALSE)</f>
        <v>51721</v>
      </c>
      <c r="Z1794" s="171">
        <f>_xll.qlInterestRateIndexValueDate(IborIndex,Y1794,Trigger)</f>
        <v>51725</v>
      </c>
      <c r="AA1794" s="172">
        <v>9.9824570814042949E-3</v>
      </c>
      <c r="AB1794" s="169">
        <v>9.9945636755549572E-3</v>
      </c>
    </row>
    <row r="1795" spans="20:28" x14ac:dyDescent="0.2">
      <c r="T1795" s="130"/>
      <c r="U1795" s="151"/>
      <c r="X1795" s="170" t="str">
        <f t="shared" si="36"/>
        <v>1w</v>
      </c>
      <c r="Y1795" s="168">
        <f>_xll.qlCalendarAdvance(LiborCalendar,Y1794,X1795,"f",FALSE)</f>
        <v>51728</v>
      </c>
      <c r="Z1795" s="171">
        <f>_xll.qlInterestRateIndexValueDate(IborIndex,Y1795,Trigger)</f>
        <v>51732</v>
      </c>
      <c r="AA1795" s="172">
        <v>9.978703105744403E-3</v>
      </c>
      <c r="AB1795" s="169">
        <v>9.9906903176805173E-3</v>
      </c>
    </row>
    <row r="1796" spans="20:28" x14ac:dyDescent="0.2">
      <c r="T1796" s="130"/>
      <c r="U1796" s="151"/>
      <c r="X1796" s="170" t="str">
        <f t="shared" si="36"/>
        <v>1w</v>
      </c>
      <c r="Y1796" s="168">
        <f>_xll.qlCalendarAdvance(LiborCalendar,Y1795,X1796,"f",FALSE)</f>
        <v>51735</v>
      </c>
      <c r="Z1796" s="171">
        <f>_xll.qlInterestRateIndexValueDate(IborIndex,Y1796,Trigger)</f>
        <v>51740</v>
      </c>
      <c r="AA1796" s="172">
        <v>9.9744371825922877E-3</v>
      </c>
      <c r="AB1796" s="169">
        <v>9.9862878921364029E-3</v>
      </c>
    </row>
    <row r="1797" spans="20:28" x14ac:dyDescent="0.2">
      <c r="T1797" s="130"/>
      <c r="U1797" s="151"/>
      <c r="X1797" s="170" t="str">
        <f t="shared" si="36"/>
        <v>1w</v>
      </c>
      <c r="Y1797" s="168">
        <f>_xll.qlCalendarAdvance(LiborCalendar,Y1796,X1797,"f",FALSE)</f>
        <v>51742</v>
      </c>
      <c r="Z1797" s="171">
        <f>_xll.qlInterestRateIndexValueDate(IborIndex,Y1797,Trigger)</f>
        <v>51746</v>
      </c>
      <c r="AA1797" s="172">
        <v>9.9713783451538859E-3</v>
      </c>
      <c r="AB1797" s="169">
        <v>9.9830030614889154E-3</v>
      </c>
    </row>
    <row r="1798" spans="20:28" x14ac:dyDescent="0.2">
      <c r="T1798" s="130"/>
      <c r="U1798" s="151"/>
      <c r="X1798" s="170" t="str">
        <f t="shared" si="36"/>
        <v>1w</v>
      </c>
      <c r="Y1798" s="168">
        <f>_xll.qlCalendarAdvance(LiborCalendar,Y1797,X1798,"f",FALSE)</f>
        <v>51749</v>
      </c>
      <c r="Z1798" s="171">
        <f>_xll.qlInterestRateIndexValueDate(IborIndex,Y1798,Trigger)</f>
        <v>51753</v>
      </c>
      <c r="AA1798" s="172">
        <v>9.9676826721625169E-3</v>
      </c>
      <c r="AB1798" s="169">
        <v>9.9791891631717533E-3</v>
      </c>
    </row>
    <row r="1799" spans="20:28" x14ac:dyDescent="0.2">
      <c r="T1799" s="130"/>
      <c r="U1799" s="151"/>
      <c r="X1799" s="170" t="str">
        <f t="shared" si="36"/>
        <v>1w</v>
      </c>
      <c r="Y1799" s="168">
        <f>_xll.qlCalendarAdvance(LiborCalendar,Y1798,X1799,"f",FALSE)</f>
        <v>51756</v>
      </c>
      <c r="Z1799" s="171">
        <f>_xll.qlInterestRateIndexValueDate(IborIndex,Y1799,Trigger)</f>
        <v>51760</v>
      </c>
      <c r="AA1799" s="172">
        <v>9.9640068717960131E-3</v>
      </c>
      <c r="AB1799" s="169">
        <v>9.9753950846803718E-3</v>
      </c>
    </row>
    <row r="1800" spans="20:28" x14ac:dyDescent="0.2">
      <c r="T1800" s="130"/>
      <c r="U1800" s="151"/>
      <c r="X1800" s="170" t="str">
        <f t="shared" si="36"/>
        <v>1w</v>
      </c>
      <c r="Y1800" s="168">
        <f>_xll.qlCalendarAdvance(LiborCalendar,Y1799,X1800,"f",FALSE)</f>
        <v>51763</v>
      </c>
      <c r="Z1800" s="171">
        <f>_xll.qlInterestRateIndexValueDate(IborIndex,Y1800,Trigger)</f>
        <v>51767</v>
      </c>
      <c r="AA1800" s="172">
        <v>9.9603509440007888E-3</v>
      </c>
      <c r="AB1800" s="169">
        <v>9.971620826094707E-3</v>
      </c>
    </row>
    <row r="1801" spans="20:28" x14ac:dyDescent="0.2">
      <c r="T1801" s="130"/>
      <c r="U1801" s="151"/>
      <c r="X1801" s="170" t="str">
        <f t="shared" si="36"/>
        <v>1w</v>
      </c>
      <c r="Y1801" s="168">
        <f>_xll.qlCalendarAdvance(LiborCalendar,Y1800,X1801,"f",FALSE)</f>
        <v>51770</v>
      </c>
      <c r="Z1801" s="171">
        <f>_xll.qlInterestRateIndexValueDate(IborIndex,Y1801,Trigger)</f>
        <v>51774</v>
      </c>
      <c r="AA1801" s="172">
        <v>9.9565965907510521E-3</v>
      </c>
      <c r="AB1801" s="169">
        <v>9.9678663872548867E-3</v>
      </c>
    </row>
    <row r="1802" spans="20:28" x14ac:dyDescent="0.2">
      <c r="T1802" s="130"/>
      <c r="U1802" s="151"/>
      <c r="X1802" s="170" t="str">
        <f t="shared" si="36"/>
        <v>1w</v>
      </c>
      <c r="Y1802" s="168">
        <f>_xll.qlCalendarAdvance(LiborCalendar,Y1801,X1802,"f",FALSE)</f>
        <v>51777</v>
      </c>
      <c r="Z1802" s="171">
        <f>_xll.qlInterestRateIndexValueDate(IborIndex,Y1802,Trigger)</f>
        <v>51781</v>
      </c>
      <c r="AA1802" s="172">
        <v>9.9529817275579233E-3</v>
      </c>
      <c r="AB1802" s="169">
        <v>9.9641317684007191E-3</v>
      </c>
    </row>
    <row r="1803" spans="20:28" x14ac:dyDescent="0.2">
      <c r="T1803" s="130"/>
      <c r="U1803" s="151"/>
      <c r="X1803" s="170" t="str">
        <f t="shared" si="36"/>
        <v>1w</v>
      </c>
      <c r="Y1803" s="168">
        <f>_xll.qlCalendarAdvance(LiborCalendar,Y1802,X1803,"f",FALSE)</f>
        <v>51784</v>
      </c>
      <c r="Z1803" s="171">
        <f>_xll.qlInterestRateIndexValueDate(IborIndex,Y1803,Trigger)</f>
        <v>51788</v>
      </c>
      <c r="AA1803" s="172">
        <v>9.9493867373523989E-3</v>
      </c>
      <c r="AB1803" s="169">
        <v>9.9604169693723321E-3</v>
      </c>
    </row>
    <row r="1804" spans="20:28" x14ac:dyDescent="0.2">
      <c r="T1804" s="130"/>
      <c r="U1804" s="151"/>
      <c r="X1804" s="170" t="str">
        <f t="shared" si="36"/>
        <v>1w</v>
      </c>
      <c r="Y1804" s="168">
        <f>_xll.qlCalendarAdvance(LiborCalendar,Y1803,X1804,"f",FALSE)</f>
        <v>51791</v>
      </c>
      <c r="Z1804" s="171">
        <f>_xll.qlInterestRateIndexValueDate(IborIndex,Y1804,Trigger)</f>
        <v>51795</v>
      </c>
      <c r="AA1804" s="172">
        <v>9.9458116200788708E-3</v>
      </c>
      <c r="AB1804" s="169">
        <v>9.9567219901697257E-3</v>
      </c>
    </row>
    <row r="1805" spans="20:28" x14ac:dyDescent="0.2">
      <c r="T1805" s="130"/>
      <c r="U1805" s="151"/>
      <c r="X1805" s="170" t="str">
        <f t="shared" si="36"/>
        <v>1w</v>
      </c>
      <c r="Y1805" s="168">
        <f>_xll.qlCalendarAdvance(LiborCalendar,Y1804,X1805,"f",FALSE)</f>
        <v>51798</v>
      </c>
      <c r="Z1805" s="171">
        <f>_xll.qlInterestRateIndexValueDate(IborIndex,Y1805,Trigger)</f>
        <v>51802</v>
      </c>
      <c r="AA1805" s="172">
        <v>9.942256375683467E-3</v>
      </c>
      <c r="AB1805" s="169">
        <v>9.9530468307928999E-3</v>
      </c>
    </row>
    <row r="1806" spans="20:28" x14ac:dyDescent="0.2">
      <c r="T1806" s="130"/>
      <c r="U1806" s="151"/>
      <c r="X1806" s="170" t="str">
        <f t="shared" si="36"/>
        <v>1w</v>
      </c>
      <c r="Y1806" s="168">
        <f>_xll.qlCalendarAdvance(LiborCalendar,Y1805,X1806,"f",FALSE)</f>
        <v>51805</v>
      </c>
      <c r="Z1806" s="171">
        <f>_xll.qlInterestRateIndexValueDate(IborIndex,Y1806,Trigger)</f>
        <v>51809</v>
      </c>
      <c r="AA1806" s="172">
        <v>9.9387210041123209E-3</v>
      </c>
      <c r="AB1806" s="169">
        <v>9.9493914912418546E-3</v>
      </c>
    </row>
    <row r="1807" spans="20:28" x14ac:dyDescent="0.2">
      <c r="T1807" s="130"/>
      <c r="U1807" s="151"/>
      <c r="X1807" s="170" t="str">
        <f t="shared" si="36"/>
        <v>1w</v>
      </c>
      <c r="Y1807" s="168">
        <f>_xll.qlCalendarAdvance(LiborCalendar,Y1806,X1807,"f",FALSE)</f>
        <v>51812</v>
      </c>
      <c r="Z1807" s="171">
        <f>_xll.qlInterestRateIndexValueDate(IborIndex,Y1807,Trigger)</f>
        <v>51816</v>
      </c>
      <c r="AA1807" s="172">
        <v>9.9352055053124281E-3</v>
      </c>
      <c r="AB1807" s="169">
        <v>9.945755971596526E-3</v>
      </c>
    </row>
    <row r="1808" spans="20:28" x14ac:dyDescent="0.2">
      <c r="T1808" s="130"/>
      <c r="U1808" s="151"/>
      <c r="X1808" s="170" t="str">
        <f t="shared" si="36"/>
        <v>1w</v>
      </c>
      <c r="Y1808" s="168">
        <f>_xll.qlCalendarAdvance(LiborCalendar,Y1807,X1808,"f",FALSE)</f>
        <v>51819</v>
      </c>
      <c r="Z1808" s="171">
        <f>_xll.qlInterestRateIndexValueDate(IborIndex,Y1808,Trigger)</f>
        <v>51823</v>
      </c>
      <c r="AA1808" s="172">
        <v>9.9317098792299201E-3</v>
      </c>
      <c r="AB1808" s="169">
        <v>9.942140271776978E-3</v>
      </c>
    </row>
    <row r="1809" spans="20:28" x14ac:dyDescent="0.2">
      <c r="T1809" s="130"/>
      <c r="U1809" s="151"/>
      <c r="X1809" s="170" t="str">
        <f t="shared" si="36"/>
        <v>1w</v>
      </c>
      <c r="Y1809" s="168">
        <f>_xll.qlCalendarAdvance(LiborCalendar,Y1808,X1809,"f",FALSE)</f>
        <v>51826</v>
      </c>
      <c r="Z1809" s="171">
        <f>_xll.qlInterestRateIndexValueDate(IborIndex,Y1809,Trigger)</f>
        <v>51830</v>
      </c>
      <c r="AA1809" s="172">
        <v>9.9282341258100579E-3</v>
      </c>
      <c r="AB1809" s="169">
        <v>9.9385443917832106E-3</v>
      </c>
    </row>
    <row r="1810" spans="20:28" x14ac:dyDescent="0.2">
      <c r="T1810" s="130"/>
      <c r="U1810" s="151"/>
      <c r="X1810" s="170" t="str">
        <f t="shared" si="36"/>
        <v>1w</v>
      </c>
      <c r="Y1810" s="168">
        <f>_xll.qlCalendarAdvance(LiborCalendar,Y1809,X1810,"f",FALSE)</f>
        <v>51833</v>
      </c>
      <c r="Z1810" s="171">
        <f>_xll.qlInterestRateIndexValueDate(IborIndex,Y1810,Trigger)</f>
        <v>51837</v>
      </c>
      <c r="AA1810" s="172">
        <v>9.9248846454741968E-3</v>
      </c>
      <c r="AB1810" s="169">
        <v>9.9349683316951598E-3</v>
      </c>
    </row>
    <row r="1811" spans="20:28" x14ac:dyDescent="0.2">
      <c r="T1811" s="130"/>
      <c r="U1811" s="151"/>
      <c r="X1811" s="170" t="str">
        <f t="shared" si="36"/>
        <v>1w</v>
      </c>
      <c r="Y1811" s="168">
        <f>_xll.qlCalendarAdvance(LiborCalendar,Y1810,X1811,"f",FALSE)</f>
        <v>51840</v>
      </c>
      <c r="Z1811" s="171">
        <f>_xll.qlInterestRateIndexValueDate(IborIndex,Y1811,Trigger)</f>
        <v>51844</v>
      </c>
      <c r="AA1811" s="172">
        <v>9.921447312391413E-3</v>
      </c>
      <c r="AB1811" s="169">
        <v>9.9314120914328896E-3</v>
      </c>
    </row>
    <row r="1812" spans="20:28" x14ac:dyDescent="0.2">
      <c r="T1812" s="130"/>
      <c r="U1812" s="151"/>
      <c r="X1812" s="170" t="str">
        <f t="shared" si="36"/>
        <v>1w</v>
      </c>
      <c r="Y1812" s="168">
        <f>_xll.qlCalendarAdvance(LiborCalendar,Y1811,X1812,"f",FALSE)</f>
        <v>51847</v>
      </c>
      <c r="Z1812" s="171">
        <f>_xll.qlInterestRateIndexValueDate(IborIndex,Y1812,Trigger)</f>
        <v>51851</v>
      </c>
      <c r="AA1812" s="172">
        <v>9.9180298512395442E-3</v>
      </c>
      <c r="AB1812" s="169">
        <v>9.9278756709964E-3</v>
      </c>
    </row>
    <row r="1813" spans="20:28" x14ac:dyDescent="0.2">
      <c r="T1813" s="130"/>
      <c r="U1813" s="151"/>
      <c r="X1813" s="170" t="str">
        <f t="shared" ref="X1813:X1876" si="37">X1812</f>
        <v>1w</v>
      </c>
      <c r="Y1813" s="168">
        <f>_xll.qlCalendarAdvance(LiborCalendar,Y1812,X1813,"f",FALSE)</f>
        <v>51854</v>
      </c>
      <c r="Z1813" s="171">
        <f>_xll.qlInterestRateIndexValueDate(IborIndex,Y1813,Trigger)</f>
        <v>51858</v>
      </c>
      <c r="AA1813" s="172">
        <v>9.9146322619676416E-3</v>
      </c>
      <c r="AB1813" s="169">
        <v>9.924359070385691E-3</v>
      </c>
    </row>
    <row r="1814" spans="20:28" x14ac:dyDescent="0.2">
      <c r="T1814" s="130"/>
      <c r="U1814" s="151"/>
      <c r="X1814" s="170" t="str">
        <f t="shared" si="37"/>
        <v>1w</v>
      </c>
      <c r="Y1814" s="168">
        <f>_xll.qlCalendarAdvance(LiborCalendar,Y1813,X1814,"f",FALSE)</f>
        <v>51862</v>
      </c>
      <c r="Z1814" s="171">
        <f>_xll.qlInterestRateIndexValueDate(IborIndex,Y1814,Trigger)</f>
        <v>51866</v>
      </c>
      <c r="AA1814" s="172">
        <v>9.9108746684040128E-3</v>
      </c>
      <c r="AB1814" s="169">
        <v>9.9202522874319854E-3</v>
      </c>
    </row>
    <row r="1815" spans="20:28" x14ac:dyDescent="0.2">
      <c r="T1815" s="130"/>
      <c r="U1815" s="151"/>
      <c r="X1815" s="170" t="str">
        <f t="shared" si="37"/>
        <v>1w</v>
      </c>
      <c r="Y1815" s="168">
        <f>_xll.qlCalendarAdvance(LiborCalendar,Y1814,X1815,"f",FALSE)</f>
        <v>51869</v>
      </c>
      <c r="Z1815" s="171">
        <f>_xll.qlInterestRateIndexValueDate(IborIndex,Y1815,Trigger)</f>
        <v>51873</v>
      </c>
      <c r="AA1815" s="172">
        <v>9.9074186288034306E-3</v>
      </c>
      <c r="AB1815" s="169">
        <v>9.9168902380331048E-3</v>
      </c>
    </row>
    <row r="1816" spans="20:28" x14ac:dyDescent="0.2">
      <c r="T1816" s="130"/>
      <c r="U1816" s="151"/>
      <c r="X1816" s="170" t="str">
        <f t="shared" si="37"/>
        <v>1w</v>
      </c>
      <c r="Y1816" s="168">
        <f>_xll.qlCalendarAdvance(LiborCalendar,Y1815,X1816,"f",FALSE)</f>
        <v>51876</v>
      </c>
      <c r="Z1816" s="171">
        <f>_xll.qlInterestRateIndexValueDate(IborIndex,Y1816,Trigger)</f>
        <v>51880</v>
      </c>
      <c r="AA1816" s="172">
        <v>9.9041818715877028E-3</v>
      </c>
      <c r="AB1816" s="169">
        <v>9.9134359283947759E-3</v>
      </c>
    </row>
    <row r="1817" spans="20:28" x14ac:dyDescent="0.2">
      <c r="T1817" s="130"/>
      <c r="U1817" s="151"/>
      <c r="X1817" s="170" t="str">
        <f t="shared" si="37"/>
        <v>1w</v>
      </c>
      <c r="Y1817" s="168">
        <f>_xll.qlCalendarAdvance(LiborCalendar,Y1816,X1817,"f",FALSE)</f>
        <v>51883</v>
      </c>
      <c r="Z1817" s="171">
        <f>_xll.qlInterestRateIndexValueDate(IborIndex,Y1817,Trigger)</f>
        <v>51887</v>
      </c>
      <c r="AA1817" s="172">
        <v>9.9008652798495689E-3</v>
      </c>
      <c r="AB1817" s="169">
        <v>9.9100014385022916E-3</v>
      </c>
    </row>
    <row r="1818" spans="20:28" x14ac:dyDescent="0.2">
      <c r="T1818" s="130"/>
      <c r="U1818" s="151"/>
      <c r="X1818" s="170" t="str">
        <f t="shared" si="37"/>
        <v>1w</v>
      </c>
      <c r="Y1818" s="168">
        <f>_xll.qlCalendarAdvance(LiborCalendar,Y1817,X1818,"f",FALSE)</f>
        <v>51890</v>
      </c>
      <c r="Z1818" s="171">
        <f>_xll.qlInterestRateIndexValueDate(IborIndex,Y1818,Trigger)</f>
        <v>51894</v>
      </c>
      <c r="AA1818" s="172">
        <v>9.897568559158465E-3</v>
      </c>
      <c r="AB1818" s="169">
        <v>9.9065867685954601E-3</v>
      </c>
    </row>
    <row r="1819" spans="20:28" x14ac:dyDescent="0.2">
      <c r="T1819" s="130"/>
      <c r="U1819" s="151"/>
      <c r="X1819" s="170" t="str">
        <f t="shared" si="37"/>
        <v>1w</v>
      </c>
      <c r="Y1819" s="168">
        <f>_xll.qlCalendarAdvance(LiborCalendar,Y1818,X1819,"f",FALSE)</f>
        <v>51897</v>
      </c>
      <c r="Z1819" s="171">
        <f>_xll.qlInterestRateIndexValueDate(IborIndex,Y1819,Trigger)</f>
        <v>51901</v>
      </c>
      <c r="AA1819" s="172">
        <v>9.8941973181215608E-3</v>
      </c>
      <c r="AB1819" s="169">
        <v>9.9031919185144091E-3</v>
      </c>
    </row>
    <row r="1820" spans="20:28" x14ac:dyDescent="0.2">
      <c r="T1820" s="130"/>
      <c r="U1820" s="151"/>
      <c r="X1820" s="170" t="str">
        <f t="shared" si="37"/>
        <v>1w</v>
      </c>
      <c r="Y1820" s="168">
        <f>_xll.qlCalendarAdvance(LiborCalendar,Y1819,X1820,"f",FALSE)</f>
        <v>51904</v>
      </c>
      <c r="Z1820" s="171">
        <f>_xll.qlInterestRateIndexValueDate(IborIndex,Y1820,Trigger)</f>
        <v>51908</v>
      </c>
      <c r="AA1820" s="172">
        <v>9.8910347307228363E-3</v>
      </c>
      <c r="AB1820" s="169">
        <v>9.8998168881792026E-3</v>
      </c>
    </row>
    <row r="1821" spans="20:28" x14ac:dyDescent="0.2">
      <c r="T1821" s="130"/>
      <c r="U1821" s="151"/>
      <c r="X1821" s="170" t="str">
        <f t="shared" si="37"/>
        <v>1w</v>
      </c>
      <c r="Y1821" s="168">
        <f>_xll.qlCalendarAdvance(LiborCalendar,Y1820,X1821,"f",FALSE)</f>
        <v>51911</v>
      </c>
      <c r="Z1821" s="171">
        <f>_xll.qlInterestRateIndexValueDate(IborIndex,Y1821,Trigger)</f>
        <v>51915</v>
      </c>
      <c r="AA1821" s="172">
        <v>9.8877976228815001E-3</v>
      </c>
      <c r="AB1821" s="169">
        <v>9.8964616777497127E-3</v>
      </c>
    </row>
    <row r="1822" spans="20:28" x14ac:dyDescent="0.2">
      <c r="T1822" s="130"/>
      <c r="U1822" s="151"/>
      <c r="X1822" s="170" t="str">
        <f t="shared" si="37"/>
        <v>1w</v>
      </c>
      <c r="Y1822" s="168">
        <f>_xll.qlCalendarAdvance(LiborCalendar,Y1821,X1822,"f",FALSE)</f>
        <v>51918</v>
      </c>
      <c r="Z1822" s="171">
        <f>_xll.qlInterestRateIndexValueDate(IborIndex,Y1822,Trigger)</f>
        <v>51922</v>
      </c>
      <c r="AA1822" s="172">
        <v>9.884489986257506E-3</v>
      </c>
      <c r="AB1822" s="169">
        <v>9.8931262871460035E-3</v>
      </c>
    </row>
    <row r="1823" spans="20:28" x14ac:dyDescent="0.2">
      <c r="T1823" s="130"/>
      <c r="U1823" s="151"/>
      <c r="X1823" s="170" t="str">
        <f t="shared" si="37"/>
        <v>1w</v>
      </c>
      <c r="Y1823" s="168">
        <f>_xll.qlCalendarAdvance(LiborCalendar,Y1822,X1823,"f",FALSE)</f>
        <v>51925</v>
      </c>
      <c r="Z1823" s="171">
        <f>_xll.qlInterestRateIndexValueDate(IborIndex,Y1823,Trigger)</f>
        <v>51929</v>
      </c>
      <c r="AA1823" s="172">
        <v>9.8812050092020685E-3</v>
      </c>
      <c r="AB1823" s="169">
        <v>9.8898107163680748E-3</v>
      </c>
    </row>
    <row r="1824" spans="20:28" x14ac:dyDescent="0.2">
      <c r="T1824" s="130"/>
      <c r="U1824" s="151"/>
      <c r="X1824" s="170" t="str">
        <f t="shared" si="37"/>
        <v>1w</v>
      </c>
      <c r="Y1824" s="168">
        <f>_xll.qlCalendarAdvance(LiborCalendar,Y1823,X1824,"f",FALSE)</f>
        <v>51932</v>
      </c>
      <c r="Z1824" s="171">
        <f>_xll.qlInterestRateIndexValueDate(IborIndex,Y1824,Trigger)</f>
        <v>51936</v>
      </c>
      <c r="AA1824" s="172">
        <v>9.8780301784159742E-3</v>
      </c>
      <c r="AB1824" s="169">
        <v>9.8865149654958628E-3</v>
      </c>
    </row>
    <row r="1825" spans="20:28" x14ac:dyDescent="0.2">
      <c r="T1825" s="130"/>
      <c r="U1825" s="151"/>
      <c r="X1825" s="170" t="str">
        <f t="shared" si="37"/>
        <v>1w</v>
      </c>
      <c r="Y1825" s="168">
        <f>_xll.qlCalendarAdvance(LiborCalendar,Y1824,X1825,"f",FALSE)</f>
        <v>51939</v>
      </c>
      <c r="Z1825" s="171">
        <f>_xll.qlInterestRateIndexValueDate(IborIndex,Y1825,Trigger)</f>
        <v>51943</v>
      </c>
      <c r="AA1825" s="172">
        <v>9.8748752194775264E-3</v>
      </c>
      <c r="AB1825" s="169">
        <v>9.8832390343694954E-3</v>
      </c>
    </row>
    <row r="1826" spans="20:28" x14ac:dyDescent="0.2">
      <c r="T1826" s="130"/>
      <c r="U1826" s="151"/>
      <c r="X1826" s="170" t="str">
        <f t="shared" si="37"/>
        <v>1w</v>
      </c>
      <c r="Y1826" s="168">
        <f>_xll.qlCalendarAdvance(LiborCalendar,Y1825,X1826,"f",FALSE)</f>
        <v>51946</v>
      </c>
      <c r="Z1826" s="171">
        <f>_xll.qlInterestRateIndexValueDate(IborIndex,Y1826,Trigger)</f>
        <v>51950</v>
      </c>
      <c r="AA1826" s="172">
        <v>9.8717401323398044E-3</v>
      </c>
      <c r="AB1826" s="169">
        <v>9.8799829231488445E-3</v>
      </c>
    </row>
    <row r="1827" spans="20:28" x14ac:dyDescent="0.2">
      <c r="T1827" s="130"/>
      <c r="U1827" s="151"/>
      <c r="X1827" s="170" t="str">
        <f t="shared" si="37"/>
        <v>1w</v>
      </c>
      <c r="Y1827" s="168">
        <f>_xll.qlCalendarAdvance(LiborCalendar,Y1826,X1827,"f",FALSE)</f>
        <v>51953</v>
      </c>
      <c r="Z1827" s="171">
        <f>_xll.qlInterestRateIndexValueDate(IborIndex,Y1827,Trigger)</f>
        <v>51957</v>
      </c>
      <c r="AA1827" s="172">
        <v>9.8687085266889029E-3</v>
      </c>
      <c r="AB1827" s="169">
        <v>9.8767466317539743E-3</v>
      </c>
    </row>
    <row r="1828" spans="20:28" x14ac:dyDescent="0.2">
      <c r="T1828" s="130"/>
      <c r="U1828" s="151"/>
      <c r="X1828" s="170" t="str">
        <f t="shared" si="37"/>
        <v>1w</v>
      </c>
      <c r="Y1828" s="168">
        <f>_xll.qlCalendarAdvance(LiborCalendar,Y1827,X1828,"f",FALSE)</f>
        <v>51964</v>
      </c>
      <c r="Z1828" s="171">
        <f>_xll.qlInterestRateIndexValueDate(IborIndex,Y1828,Trigger)</f>
        <v>51966</v>
      </c>
      <c r="AA1828" s="172">
        <v>9.8647307329408872E-3</v>
      </c>
      <c r="AB1828" s="169">
        <v>9.8726148086303311E-3</v>
      </c>
    </row>
    <row r="1829" spans="20:28" x14ac:dyDescent="0.2">
      <c r="T1829" s="130"/>
      <c r="U1829" s="151"/>
      <c r="X1829" s="170" t="str">
        <f t="shared" si="37"/>
        <v>1w</v>
      </c>
      <c r="Y1829" s="168">
        <f>_xll.qlCalendarAdvance(LiborCalendar,Y1828,X1829,"f",FALSE)</f>
        <v>51971</v>
      </c>
      <c r="Z1829" s="171">
        <f>_xll.qlInterestRateIndexValueDate(IborIndex,Y1829,Trigger)</f>
        <v>51973</v>
      </c>
      <c r="AA1829" s="172">
        <v>9.8616596031675385E-3</v>
      </c>
      <c r="AB1829" s="169">
        <v>9.8694238197172268E-3</v>
      </c>
    </row>
    <row r="1830" spans="20:28" x14ac:dyDescent="0.2">
      <c r="T1830" s="130"/>
      <c r="U1830" s="151"/>
      <c r="X1830" s="170" t="str">
        <f t="shared" si="37"/>
        <v>1w</v>
      </c>
      <c r="Y1830" s="168">
        <f>_xll.qlCalendarAdvance(LiborCalendar,Y1829,X1830,"f",FALSE)</f>
        <v>51978</v>
      </c>
      <c r="Z1830" s="171">
        <f>_xll.qlInterestRateIndexValueDate(IborIndex,Y1830,Trigger)</f>
        <v>51980</v>
      </c>
      <c r="AA1830" s="172">
        <v>9.858608344425604E-3</v>
      </c>
      <c r="AB1830" s="169">
        <v>9.8662526506299031E-3</v>
      </c>
    </row>
    <row r="1831" spans="20:28" x14ac:dyDescent="0.2">
      <c r="T1831" s="130"/>
      <c r="U1831" s="151"/>
      <c r="X1831" s="170" t="str">
        <f t="shared" si="37"/>
        <v>1w</v>
      </c>
      <c r="Y1831" s="168">
        <f>_xll.qlCalendarAdvance(LiborCalendar,Y1830,X1831,"f",FALSE)</f>
        <v>51985</v>
      </c>
      <c r="Z1831" s="171">
        <f>_xll.qlInterestRateIndexValueDate(IborIndex,Y1831,Trigger)</f>
        <v>51988</v>
      </c>
      <c r="AA1831" s="172">
        <v>9.854912816699311E-3</v>
      </c>
      <c r="AB1831" s="169">
        <v>9.8623861274083069E-3</v>
      </c>
    </row>
    <row r="1832" spans="20:28" x14ac:dyDescent="0.2">
      <c r="T1832" s="130"/>
      <c r="U1832" s="151"/>
      <c r="X1832" s="170" t="str">
        <f t="shared" si="37"/>
        <v>1w</v>
      </c>
      <c r="Y1832" s="168">
        <f>_xll.qlCalendarAdvance(LiborCalendar,Y1831,X1832,"f",FALSE)</f>
        <v>51992</v>
      </c>
      <c r="Z1832" s="171">
        <f>_xll.qlInterestRateIndexValueDate(IborIndex,Y1832,Trigger)</f>
        <v>51994</v>
      </c>
      <c r="AA1832" s="172">
        <v>9.8524888910204705E-3</v>
      </c>
      <c r="AB1832" s="169">
        <v>9.8599697720125334E-3</v>
      </c>
    </row>
    <row r="1833" spans="20:28" x14ac:dyDescent="0.2">
      <c r="T1833" s="130"/>
      <c r="U1833" s="151"/>
      <c r="X1833" s="170" t="str">
        <f t="shared" si="37"/>
        <v>1w</v>
      </c>
      <c r="Y1833" s="168">
        <f>_xll.qlCalendarAdvance(LiborCalendar,Y1832,X1833,"f",FALSE)</f>
        <v>51999</v>
      </c>
      <c r="Z1833" s="171">
        <f>_xll.qlInterestRateIndexValueDate(IborIndex,Y1833,Trigger)</f>
        <v>52002</v>
      </c>
      <c r="AA1833" s="172">
        <v>9.848923356363953E-3</v>
      </c>
      <c r="AB1833" s="169">
        <v>9.8562426140169634E-3</v>
      </c>
    </row>
    <row r="1834" spans="20:28" x14ac:dyDescent="0.2">
      <c r="T1834" s="130"/>
      <c r="U1834" s="151"/>
      <c r="X1834" s="170" t="str">
        <f t="shared" si="37"/>
        <v>1w</v>
      </c>
      <c r="Y1834" s="168">
        <f>_xll.qlCalendarAdvance(LiborCalendar,Y1833,X1834,"f",FALSE)</f>
        <v>52006</v>
      </c>
      <c r="Z1834" s="171">
        <f>_xll.qlInterestRateIndexValueDate(IborIndex,Y1834,Trigger)</f>
        <v>52008</v>
      </c>
      <c r="AA1834" s="172">
        <v>9.8465281458430236E-3</v>
      </c>
      <c r="AB1834" s="169">
        <v>9.853766172538414E-3</v>
      </c>
    </row>
    <row r="1835" spans="20:28" x14ac:dyDescent="0.2">
      <c r="T1835" s="130"/>
      <c r="U1835" s="151"/>
      <c r="X1835" s="170" t="str">
        <f t="shared" si="37"/>
        <v>1w</v>
      </c>
      <c r="Y1835" s="168">
        <f>_xll.qlCalendarAdvance(LiborCalendar,Y1834,X1835,"f",FALSE)</f>
        <v>52013</v>
      </c>
      <c r="Z1835" s="171">
        <f>_xll.qlInterestRateIndexValueDate(IborIndex,Y1835,Trigger)</f>
        <v>52015</v>
      </c>
      <c r="AA1835" s="172">
        <v>9.8435775803319761E-3</v>
      </c>
      <c r="AB1835" s="169">
        <v>9.8506941025799932E-3</v>
      </c>
    </row>
    <row r="1836" spans="20:28" x14ac:dyDescent="0.2">
      <c r="T1836" s="130"/>
      <c r="U1836" s="151"/>
      <c r="X1836" s="170" t="str">
        <f t="shared" si="37"/>
        <v>1w</v>
      </c>
      <c r="Y1836" s="168">
        <f>_xll.qlCalendarAdvance(LiborCalendar,Y1835,X1836,"f",FALSE)</f>
        <v>52020</v>
      </c>
      <c r="Z1836" s="171">
        <f>_xll.qlInterestRateIndexValueDate(IborIndex,Y1836,Trigger)</f>
        <v>52022</v>
      </c>
      <c r="AA1836" s="172">
        <v>9.8406468861455144E-3</v>
      </c>
      <c r="AB1836" s="169">
        <v>9.8476418525272891E-3</v>
      </c>
    </row>
    <row r="1837" spans="20:28" x14ac:dyDescent="0.2">
      <c r="T1837" s="130"/>
      <c r="U1837" s="151"/>
      <c r="X1837" s="170" t="str">
        <f t="shared" si="37"/>
        <v>1w</v>
      </c>
      <c r="Y1837" s="168">
        <f>_xll.qlCalendarAdvance(LiborCalendar,Y1836,X1837,"f",FALSE)</f>
        <v>52027</v>
      </c>
      <c r="Z1837" s="171">
        <f>_xll.qlInterestRateIndexValueDate(IborIndex,Y1837,Trigger)</f>
        <v>52029</v>
      </c>
      <c r="AA1837" s="172">
        <v>9.8377360632393249E-3</v>
      </c>
      <c r="AB1837" s="169">
        <v>9.8446094223003655E-3</v>
      </c>
    </row>
    <row r="1838" spans="20:28" x14ac:dyDescent="0.2">
      <c r="T1838" s="130"/>
      <c r="U1838" s="151"/>
      <c r="X1838" s="170" t="str">
        <f t="shared" si="37"/>
        <v>1w</v>
      </c>
      <c r="Y1838" s="168">
        <f>_xll.qlCalendarAdvance(LiborCalendar,Y1837,X1838,"f",FALSE)</f>
        <v>52034</v>
      </c>
      <c r="Z1838" s="171">
        <f>_xll.qlInterestRateIndexValueDate(IborIndex,Y1838,Trigger)</f>
        <v>52036</v>
      </c>
      <c r="AA1838" s="172">
        <v>9.8348451115699669E-3</v>
      </c>
      <c r="AB1838" s="169">
        <v>9.8415968118992225E-3</v>
      </c>
    </row>
    <row r="1839" spans="20:28" x14ac:dyDescent="0.2">
      <c r="T1839" s="130"/>
      <c r="U1839" s="151"/>
      <c r="X1839" s="170" t="str">
        <f t="shared" si="37"/>
        <v>1w</v>
      </c>
      <c r="Y1839" s="168">
        <f>_xll.qlCalendarAdvance(LiborCalendar,Y1838,X1839,"f",FALSE)</f>
        <v>52041</v>
      </c>
      <c r="Z1839" s="171">
        <f>_xll.qlInterestRateIndexValueDate(IborIndex,Y1839,Trigger)</f>
        <v>52043</v>
      </c>
      <c r="AA1839" s="172">
        <v>9.8319740310922575E-3</v>
      </c>
      <c r="AB1839" s="169">
        <v>9.8386040212439241E-3</v>
      </c>
    </row>
    <row r="1840" spans="20:28" x14ac:dyDescent="0.2">
      <c r="T1840" s="130"/>
      <c r="U1840" s="151"/>
      <c r="X1840" s="170" t="str">
        <f t="shared" si="37"/>
        <v>1w</v>
      </c>
      <c r="Y1840" s="168">
        <f>_xll.qlCalendarAdvance(LiborCalendar,Y1839,X1840,"f",FALSE)</f>
        <v>52048</v>
      </c>
      <c r="Z1840" s="171">
        <f>_xll.qlInterestRateIndexValueDate(IborIndex,Y1840,Trigger)</f>
        <v>52050</v>
      </c>
      <c r="AA1840" s="172">
        <v>9.8291228217636216E-3</v>
      </c>
      <c r="AB1840" s="169">
        <v>9.8356310504943423E-3</v>
      </c>
    </row>
    <row r="1841" spans="20:28" x14ac:dyDescent="0.2">
      <c r="T1841" s="130"/>
      <c r="U1841" s="151"/>
      <c r="X1841" s="170" t="str">
        <f t="shared" si="37"/>
        <v>1w</v>
      </c>
      <c r="Y1841" s="168">
        <f>_xll.qlCalendarAdvance(LiborCalendar,Y1840,X1841,"f",FALSE)</f>
        <v>52055</v>
      </c>
      <c r="Z1841" s="171">
        <f>_xll.qlInterestRateIndexValueDate(IborIndex,Y1841,Trigger)</f>
        <v>52057</v>
      </c>
      <c r="AA1841" s="172">
        <v>9.8262914835388782E-3</v>
      </c>
      <c r="AB1841" s="169">
        <v>9.832677899490605E-3</v>
      </c>
    </row>
    <row r="1842" spans="20:28" x14ac:dyDescent="0.2">
      <c r="T1842" s="130"/>
      <c r="U1842" s="151"/>
      <c r="X1842" s="170" t="str">
        <f t="shared" si="37"/>
        <v>1w</v>
      </c>
      <c r="Y1842" s="168">
        <f>_xll.qlCalendarAdvance(LiborCalendar,Y1841,X1842,"f",FALSE)</f>
        <v>52062</v>
      </c>
      <c r="Z1842" s="171">
        <f>_xll.qlInterestRateIndexValueDate(IborIndex,Y1842,Trigger)</f>
        <v>52064</v>
      </c>
      <c r="AA1842" s="172">
        <v>9.8234800163780594E-3</v>
      </c>
      <c r="AB1842" s="169">
        <v>9.8297445684725204E-3</v>
      </c>
    </row>
    <row r="1843" spans="20:28" x14ac:dyDescent="0.2">
      <c r="T1843" s="130"/>
      <c r="U1843" s="151"/>
      <c r="X1843" s="170" t="str">
        <f t="shared" si="37"/>
        <v>1w</v>
      </c>
      <c r="Y1843" s="168">
        <f>_xll.qlCalendarAdvance(LiborCalendar,Y1842,X1843,"f",FALSE)</f>
        <v>52069</v>
      </c>
      <c r="Z1843" s="171">
        <f>_xll.qlInterestRateIndexValueDate(IborIndex,Y1843,Trigger)</f>
        <v>52071</v>
      </c>
      <c r="AA1843" s="172">
        <v>9.8206884202351151E-3</v>
      </c>
      <c r="AB1843" s="169">
        <v>9.8268310571203443E-3</v>
      </c>
    </row>
    <row r="1844" spans="20:28" x14ac:dyDescent="0.2">
      <c r="T1844" s="130"/>
      <c r="U1844" s="151"/>
      <c r="X1844" s="170" t="str">
        <f t="shared" si="37"/>
        <v>1w</v>
      </c>
      <c r="Y1844" s="168">
        <f>_xll.qlCalendarAdvance(LiborCalendar,Y1843,X1844,"f",FALSE)</f>
        <v>52076</v>
      </c>
      <c r="Z1844" s="171">
        <f>_xll.qlInterestRateIndexValueDate(IborIndex,Y1844,Trigger)</f>
        <v>52078</v>
      </c>
      <c r="AA1844" s="172">
        <v>9.8179166950700791E-3</v>
      </c>
      <c r="AB1844" s="169">
        <v>9.8239373656738849E-3</v>
      </c>
    </row>
    <row r="1845" spans="20:28" x14ac:dyDescent="0.2">
      <c r="T1845" s="130"/>
      <c r="U1845" s="151"/>
      <c r="X1845" s="170" t="str">
        <f t="shared" si="37"/>
        <v>1w</v>
      </c>
      <c r="Y1845" s="168">
        <f>_xll.qlCalendarAdvance(LiborCalendar,Y1844,X1845,"f",FALSE)</f>
        <v>52083</v>
      </c>
      <c r="Z1845" s="171">
        <f>_xll.qlInterestRateIndexValueDate(IborIndex,Y1845,Trigger)</f>
        <v>52085</v>
      </c>
      <c r="AA1845" s="172">
        <v>9.8151648408395051E-3</v>
      </c>
      <c r="AB1845" s="169">
        <v>9.821063494053206E-3</v>
      </c>
    </row>
    <row r="1846" spans="20:28" x14ac:dyDescent="0.2">
      <c r="T1846" s="130"/>
      <c r="U1846" s="151"/>
      <c r="X1846" s="170" t="str">
        <f t="shared" si="37"/>
        <v>1w</v>
      </c>
      <c r="Y1846" s="168">
        <f>_xll.qlCalendarAdvance(LiborCalendar,Y1845,X1846,"f",FALSE)</f>
        <v>52090</v>
      </c>
      <c r="Z1846" s="171">
        <f>_xll.qlInterestRateIndexValueDate(IborIndex,Y1846,Trigger)</f>
        <v>52092</v>
      </c>
      <c r="AA1846" s="172">
        <v>9.8124328575034253E-3</v>
      </c>
      <c r="AB1846" s="169">
        <v>9.8182094422583077E-3</v>
      </c>
    </row>
    <row r="1847" spans="20:28" x14ac:dyDescent="0.2">
      <c r="T1847" s="130"/>
      <c r="U1847" s="151"/>
      <c r="X1847" s="170" t="str">
        <f t="shared" si="37"/>
        <v>1w</v>
      </c>
      <c r="Y1847" s="168">
        <f>_xll.qlCalendarAdvance(LiborCalendar,Y1846,X1847,"f",FALSE)</f>
        <v>52097</v>
      </c>
      <c r="Z1847" s="171">
        <f>_xll.qlInterestRateIndexValueDate(IborIndex,Y1847,Trigger)</f>
        <v>52099</v>
      </c>
      <c r="AA1847" s="172">
        <v>9.8097207450175295E-3</v>
      </c>
      <c r="AB1847" s="169">
        <v>9.81537521028919E-3</v>
      </c>
    </row>
    <row r="1848" spans="20:28" x14ac:dyDescent="0.2">
      <c r="T1848" s="130"/>
      <c r="U1848" s="151"/>
      <c r="X1848" s="170" t="str">
        <f t="shared" si="37"/>
        <v>1w</v>
      </c>
      <c r="Y1848" s="168">
        <f>_xll.qlCalendarAdvance(LiborCalendar,Y1847,X1848,"f",FALSE)</f>
        <v>52104</v>
      </c>
      <c r="Z1848" s="171">
        <f>_xll.qlInterestRateIndexValueDate(IborIndex,Y1848,Trigger)</f>
        <v>52106</v>
      </c>
      <c r="AA1848" s="172">
        <v>9.8070285033435844E-3</v>
      </c>
      <c r="AB1848" s="169">
        <v>9.8125607980659169E-3</v>
      </c>
    </row>
    <row r="1849" spans="20:28" x14ac:dyDescent="0.2">
      <c r="T1849" s="130"/>
      <c r="U1849" s="151"/>
      <c r="X1849" s="170" t="str">
        <f t="shared" si="37"/>
        <v>1w</v>
      </c>
      <c r="Y1849" s="168">
        <f>_xll.qlCalendarAdvance(LiborCalendar,Y1848,X1849,"f",FALSE)</f>
        <v>52111</v>
      </c>
      <c r="Z1849" s="171">
        <f>_xll.qlInterestRateIndexValueDate(IborIndex,Y1849,Trigger)</f>
        <v>52113</v>
      </c>
      <c r="AA1849" s="172">
        <v>9.8044098652326182E-3</v>
      </c>
      <c r="AB1849" s="169">
        <v>9.8097662057483603E-3</v>
      </c>
    </row>
    <row r="1850" spans="20:28" x14ac:dyDescent="0.2">
      <c r="T1850" s="130"/>
      <c r="U1850" s="151"/>
      <c r="X1850" s="170" t="str">
        <f t="shared" si="37"/>
        <v>1w</v>
      </c>
      <c r="Y1850" s="168">
        <f>_xll.qlCalendarAdvance(LiborCalendar,Y1849,X1850,"f",FALSE)</f>
        <v>52118</v>
      </c>
      <c r="Z1850" s="171">
        <f>_xll.qlInterestRateIndexValueDate(IborIndex,Y1850,Trigger)</f>
        <v>52120</v>
      </c>
      <c r="AA1850" s="172">
        <v>9.8017560178999593E-3</v>
      </c>
      <c r="AB1850" s="169">
        <v>9.8069914333365205E-3</v>
      </c>
    </row>
    <row r="1851" spans="20:28" x14ac:dyDescent="0.2">
      <c r="T1851" s="130"/>
      <c r="U1851" s="151"/>
      <c r="X1851" s="170" t="str">
        <f t="shared" si="37"/>
        <v>1w</v>
      </c>
      <c r="Y1851" s="168">
        <f>_xll.qlCalendarAdvance(LiborCalendar,Y1850,X1851,"f",FALSE)</f>
        <v>52125</v>
      </c>
      <c r="Z1851" s="171">
        <f>_xll.qlInterestRateIndexValueDate(IborIndex,Y1851,Trigger)</f>
        <v>52127</v>
      </c>
      <c r="AA1851" s="172">
        <v>9.799122040698334E-3</v>
      </c>
      <c r="AB1851" s="169">
        <v>9.8042364805905891E-3</v>
      </c>
    </row>
    <row r="1852" spans="20:28" x14ac:dyDescent="0.2">
      <c r="T1852" s="130"/>
      <c r="U1852" s="151"/>
      <c r="X1852" s="170" t="str">
        <f t="shared" si="37"/>
        <v>1w</v>
      </c>
      <c r="Y1852" s="168">
        <f>_xll.qlCalendarAdvance(LiborCalendar,Y1851,X1852,"f",FALSE)</f>
        <v>52132</v>
      </c>
      <c r="Z1852" s="171">
        <f>_xll.qlInterestRateIndexValueDate(IborIndex,Y1852,Trigger)</f>
        <v>52134</v>
      </c>
      <c r="AA1852" s="172">
        <v>9.7963099408998663E-3</v>
      </c>
      <c r="AB1852" s="169">
        <v>9.8015013477503743E-3</v>
      </c>
    </row>
    <row r="1853" spans="20:28" x14ac:dyDescent="0.2">
      <c r="T1853" s="130"/>
      <c r="U1853" s="151"/>
      <c r="X1853" s="170" t="str">
        <f t="shared" si="37"/>
        <v>1w</v>
      </c>
      <c r="Y1853" s="168">
        <f>_xll.qlCalendarAdvance(LiborCalendar,Y1852,X1853,"f",FALSE)</f>
        <v>52139</v>
      </c>
      <c r="Z1853" s="171">
        <f>_xll.qlInterestRateIndexValueDate(IborIndex,Y1853,Trigger)</f>
        <v>52141</v>
      </c>
      <c r="AA1853" s="172">
        <v>9.7937210996119975E-3</v>
      </c>
      <c r="AB1853" s="169">
        <v>9.7987860347359401E-3</v>
      </c>
    </row>
    <row r="1854" spans="20:28" x14ac:dyDescent="0.2">
      <c r="T1854" s="130"/>
      <c r="U1854" s="151"/>
      <c r="X1854" s="170" t="str">
        <f t="shared" si="37"/>
        <v>1w</v>
      </c>
      <c r="Y1854" s="168">
        <f>_xll.qlCalendarAdvance(LiborCalendar,Y1853,X1854,"f",FALSE)</f>
        <v>52146</v>
      </c>
      <c r="Z1854" s="171">
        <f>_xll.qlInterestRateIndexValueDate(IborIndex,Y1854,Trigger)</f>
        <v>52148</v>
      </c>
      <c r="AA1854" s="172">
        <v>9.7912923380432029E-3</v>
      </c>
      <c r="AB1854" s="169">
        <v>9.7960905415472865E-3</v>
      </c>
    </row>
    <row r="1855" spans="20:28" x14ac:dyDescent="0.2">
      <c r="T1855" s="130"/>
      <c r="U1855" s="151"/>
      <c r="X1855" s="170" t="str">
        <f t="shared" si="37"/>
        <v>1w</v>
      </c>
      <c r="Y1855" s="168">
        <f>_xll.qlCalendarAdvance(LiborCalendar,Y1854,X1855,"f",FALSE)</f>
        <v>52153</v>
      </c>
      <c r="Z1855" s="171">
        <f>_xll.qlInterestRateIndexValueDate(IborIndex,Y1855,Trigger)</f>
        <v>52155</v>
      </c>
      <c r="AA1855" s="172">
        <v>9.7887391909129672E-3</v>
      </c>
      <c r="AB1855" s="169">
        <v>9.7934148681844135E-3</v>
      </c>
    </row>
    <row r="1856" spans="20:28" x14ac:dyDescent="0.2">
      <c r="T1856" s="130"/>
      <c r="U1856" s="151"/>
      <c r="X1856" s="170" t="str">
        <f t="shared" si="37"/>
        <v>1w</v>
      </c>
      <c r="Y1856" s="168">
        <f>_xll.qlCalendarAdvance(LiborCalendar,Y1855,X1856,"f",FALSE)</f>
        <v>52160</v>
      </c>
      <c r="Z1856" s="171">
        <f>_xll.qlInterestRateIndexValueDate(IborIndex,Y1856,Trigger)</f>
        <v>52162</v>
      </c>
      <c r="AA1856" s="172">
        <v>9.7862059142749414E-3</v>
      </c>
      <c r="AB1856" s="169">
        <v>9.7907590146473211E-3</v>
      </c>
    </row>
    <row r="1857" spans="20:28" x14ac:dyDescent="0.2">
      <c r="T1857" s="130"/>
      <c r="U1857" s="151"/>
      <c r="X1857" s="170" t="str">
        <f t="shared" si="37"/>
        <v>1w</v>
      </c>
      <c r="Y1857" s="168">
        <f>_xll.qlCalendarAdvance(LiborCalendar,Y1856,X1857,"f",FALSE)</f>
        <v>52167</v>
      </c>
      <c r="Z1857" s="171">
        <f>_xll.qlInterestRateIndexValueDate(IborIndex,Y1857,Trigger)</f>
        <v>52169</v>
      </c>
      <c r="AA1857" s="172">
        <v>9.7836925080882851E-3</v>
      </c>
      <c r="AB1857" s="169">
        <v>9.7881229807761372E-3</v>
      </c>
    </row>
    <row r="1858" spans="20:28" x14ac:dyDescent="0.2">
      <c r="T1858" s="130"/>
      <c r="U1858" s="151"/>
      <c r="X1858" s="170" t="str">
        <f t="shared" si="37"/>
        <v>1w</v>
      </c>
      <c r="Y1858" s="168">
        <f>_xll.qlCalendarAdvance(LiborCalendar,Y1857,X1858,"f",FALSE)</f>
        <v>52174</v>
      </c>
      <c r="Z1858" s="171">
        <f>_xll.qlInterestRateIndexValueDate(IborIndex,Y1858,Trigger)</f>
        <v>52176</v>
      </c>
      <c r="AA1858" s="172">
        <v>9.7811989723182464E-3</v>
      </c>
      <c r="AB1858" s="169">
        <v>9.7855067668906059E-3</v>
      </c>
    </row>
    <row r="1859" spans="20:28" x14ac:dyDescent="0.2">
      <c r="T1859" s="130"/>
      <c r="U1859" s="151"/>
      <c r="X1859" s="170" t="str">
        <f t="shared" si="37"/>
        <v>1w</v>
      </c>
      <c r="Y1859" s="168">
        <f>_xll.qlCalendarAdvance(LiborCalendar,Y1858,X1859,"f",FALSE)</f>
        <v>52181</v>
      </c>
      <c r="Z1859" s="171">
        <f>_xll.qlInterestRateIndexValueDate(IborIndex,Y1859,Trigger)</f>
        <v>52183</v>
      </c>
      <c r="AA1859" s="172">
        <v>9.7787253069248556E-3</v>
      </c>
      <c r="AB1859" s="169">
        <v>9.7829103728308553E-3</v>
      </c>
    </row>
    <row r="1860" spans="20:28" x14ac:dyDescent="0.2">
      <c r="T1860" s="130"/>
      <c r="U1860" s="151"/>
      <c r="X1860" s="170" t="str">
        <f t="shared" si="37"/>
        <v>1w</v>
      </c>
      <c r="Y1860" s="168">
        <f>_xll.qlCalendarAdvance(LiborCalendar,Y1859,X1860,"f",FALSE)</f>
        <v>52188</v>
      </c>
      <c r="Z1860" s="171">
        <f>_xll.qlInterestRateIndexValueDate(IborIndex,Y1860,Trigger)</f>
        <v>52190</v>
      </c>
      <c r="AA1860" s="172">
        <v>9.776271511870752E-3</v>
      </c>
      <c r="AB1860" s="169">
        <v>9.7803337985169492E-3</v>
      </c>
    </row>
    <row r="1861" spans="20:28" x14ac:dyDescent="0.2">
      <c r="T1861" s="130"/>
      <c r="U1861" s="151"/>
      <c r="X1861" s="170" t="str">
        <f t="shared" si="37"/>
        <v>1w</v>
      </c>
      <c r="Y1861" s="168">
        <f>_xll.qlCalendarAdvance(LiborCalendar,Y1860,X1861,"f",FALSE)</f>
        <v>52195</v>
      </c>
      <c r="Z1861" s="171">
        <f>_xll.qlInterestRateIndexValueDate(IborIndex,Y1861,Trigger)</f>
        <v>52197</v>
      </c>
      <c r="AA1861" s="172">
        <v>9.7738375871185747E-3</v>
      </c>
      <c r="AB1861" s="169">
        <v>9.7777770441087597E-3</v>
      </c>
    </row>
    <row r="1862" spans="20:28" x14ac:dyDescent="0.2">
      <c r="T1862" s="130"/>
      <c r="U1862" s="151"/>
      <c r="X1862" s="170" t="str">
        <f t="shared" si="37"/>
        <v>1w</v>
      </c>
      <c r="Y1862" s="168">
        <f>_xll.qlCalendarAdvance(LiborCalendar,Y1861,X1862,"f",FALSE)</f>
        <v>52202</v>
      </c>
      <c r="Z1862" s="171">
        <f>_xll.qlInterestRateIndexValueDate(IborIndex,Y1862,Trigger)</f>
        <v>52204</v>
      </c>
      <c r="AA1862" s="172">
        <v>9.7714960139274609E-3</v>
      </c>
      <c r="AB1862" s="169">
        <v>9.7752401095263508E-3</v>
      </c>
    </row>
    <row r="1863" spans="20:28" x14ac:dyDescent="0.2">
      <c r="T1863" s="130"/>
      <c r="U1863" s="151"/>
      <c r="X1863" s="170" t="str">
        <f t="shared" si="37"/>
        <v>1w</v>
      </c>
      <c r="Y1863" s="168">
        <f>_xll.qlCalendarAdvance(LiborCalendar,Y1862,X1863,"f",FALSE)</f>
        <v>52209</v>
      </c>
      <c r="Z1863" s="171">
        <f>_xll.qlInterestRateIndexValueDate(IborIndex,Y1863,Trigger)</f>
        <v>52211</v>
      </c>
      <c r="AA1863" s="172">
        <v>9.7690991210175326E-3</v>
      </c>
      <c r="AB1863" s="169">
        <v>9.7727229946897864E-3</v>
      </c>
    </row>
    <row r="1864" spans="20:28" x14ac:dyDescent="0.2">
      <c r="T1864" s="130"/>
      <c r="U1864" s="151"/>
      <c r="X1864" s="170" t="str">
        <f t="shared" si="37"/>
        <v>1w</v>
      </c>
      <c r="Y1864" s="168">
        <f>_xll.qlCalendarAdvance(LiborCalendar,Y1863,X1864,"f",FALSE)</f>
        <v>52216</v>
      </c>
      <c r="Z1864" s="171">
        <f>_xll.qlInterestRateIndexValueDate(IborIndex,Y1864,Trigger)</f>
        <v>52218</v>
      </c>
      <c r="AA1864" s="172">
        <v>9.7667220971970892E-3</v>
      </c>
      <c r="AB1864" s="169">
        <v>9.7702256996790027E-3</v>
      </c>
    </row>
    <row r="1865" spans="20:28" x14ac:dyDescent="0.2">
      <c r="T1865" s="130"/>
      <c r="U1865" s="151"/>
      <c r="X1865" s="170" t="str">
        <f t="shared" si="37"/>
        <v>1w</v>
      </c>
      <c r="Y1865" s="168">
        <f>_xll.qlCalendarAdvance(LiborCalendar,Y1864,X1865,"f",FALSE)</f>
        <v>52223</v>
      </c>
      <c r="Z1865" s="171">
        <f>_xll.qlInterestRateIndexValueDate(IborIndex,Y1865,Trigger)</f>
        <v>52229</v>
      </c>
      <c r="AA1865" s="172">
        <v>9.7629641151574884E-3</v>
      </c>
      <c r="AB1865" s="169">
        <v>9.7663414230986234E-3</v>
      </c>
    </row>
    <row r="1866" spans="20:28" x14ac:dyDescent="0.2">
      <c r="T1866" s="130"/>
      <c r="U1866" s="151"/>
      <c r="X1866" s="170" t="str">
        <f t="shared" si="37"/>
        <v>1w</v>
      </c>
      <c r="Y1866" s="168">
        <f>_xll.qlCalendarAdvance(LiborCalendar,Y1865,X1866,"f",FALSE)</f>
        <v>52230</v>
      </c>
      <c r="Z1866" s="171">
        <f>_xll.qlInterestRateIndexValueDate(IborIndex,Y1866,Trigger)</f>
        <v>52236</v>
      </c>
      <c r="AA1866" s="172">
        <v>9.7606708762674101E-3</v>
      </c>
      <c r="AB1866" s="169">
        <v>9.7638950933198743E-3</v>
      </c>
    </row>
    <row r="1867" spans="20:28" x14ac:dyDescent="0.2">
      <c r="T1867" s="130"/>
      <c r="U1867" s="151"/>
      <c r="X1867" s="170" t="str">
        <f t="shared" si="37"/>
        <v>1w</v>
      </c>
      <c r="Y1867" s="168">
        <f>_xll.qlCalendarAdvance(LiborCalendar,Y1866,X1867,"f",FALSE)</f>
        <v>52237</v>
      </c>
      <c r="Z1867" s="171">
        <f>_xll.qlInterestRateIndexValueDate(IborIndex,Y1867,Trigger)</f>
        <v>52239</v>
      </c>
      <c r="AA1867" s="172">
        <v>9.7597102399138436E-3</v>
      </c>
      <c r="AB1867" s="169">
        <v>9.7628527336013349E-3</v>
      </c>
    </row>
    <row r="1868" spans="20:28" x14ac:dyDescent="0.2">
      <c r="T1868" s="130"/>
      <c r="U1868" s="151"/>
      <c r="X1868" s="170" t="str">
        <f t="shared" si="37"/>
        <v>1w</v>
      </c>
      <c r="Y1868" s="168">
        <f>_xll.qlCalendarAdvance(LiborCalendar,Y1867,X1868,"f",FALSE)</f>
        <v>52244</v>
      </c>
      <c r="Z1868" s="171">
        <f>_xll.qlInterestRateIndexValueDate(IborIndex,Y1868,Trigger)</f>
        <v>52246</v>
      </c>
      <c r="AA1868" s="172">
        <v>9.7574126920969562E-3</v>
      </c>
      <c r="AB1868" s="169">
        <v>9.7604347178936735E-3</v>
      </c>
    </row>
    <row r="1869" spans="20:28" x14ac:dyDescent="0.2">
      <c r="T1869" s="130"/>
      <c r="U1869" s="151"/>
      <c r="X1869" s="170" t="str">
        <f t="shared" si="37"/>
        <v>1w</v>
      </c>
      <c r="Y1869" s="168">
        <f>_xll.qlCalendarAdvance(LiborCalendar,Y1868,X1869,"f",FALSE)</f>
        <v>52251</v>
      </c>
      <c r="Z1869" s="171">
        <f>_xll.qlInterestRateIndexValueDate(IborIndex,Y1869,Trigger)</f>
        <v>52253</v>
      </c>
      <c r="AA1869" s="172">
        <v>9.7551350131954706E-3</v>
      </c>
      <c r="AB1869" s="169">
        <v>9.7580365220117926E-3</v>
      </c>
    </row>
    <row r="1870" spans="20:28" x14ac:dyDescent="0.2">
      <c r="T1870" s="130"/>
      <c r="U1870" s="151"/>
      <c r="X1870" s="170" t="str">
        <f t="shared" si="37"/>
        <v>1w</v>
      </c>
      <c r="Y1870" s="168">
        <f>_xll.qlCalendarAdvance(LiborCalendar,Y1869,X1870,"f",FALSE)</f>
        <v>52258</v>
      </c>
      <c r="Z1870" s="171">
        <f>_xll.qlInterestRateIndexValueDate(IborIndex,Y1870,Trigger)</f>
        <v>52260</v>
      </c>
      <c r="AA1870" s="172">
        <v>9.7528772031738598E-3</v>
      </c>
      <c r="AB1870" s="169">
        <v>9.7556581458757563E-3</v>
      </c>
    </row>
    <row r="1871" spans="20:28" x14ac:dyDescent="0.2">
      <c r="T1871" s="130"/>
      <c r="U1871" s="151"/>
      <c r="X1871" s="170" t="str">
        <f t="shared" si="37"/>
        <v>1w</v>
      </c>
      <c r="Y1871" s="168">
        <f>_xll.qlCalendarAdvance(LiborCalendar,Y1870,X1871,"f",FALSE)</f>
        <v>52265</v>
      </c>
      <c r="Z1871" s="171">
        <f>_xll.qlInterestRateIndexValueDate(IborIndex,Y1871,Trigger)</f>
        <v>52267</v>
      </c>
      <c r="AA1871" s="172">
        <v>9.7506634875322105E-3</v>
      </c>
      <c r="AB1871" s="169">
        <v>9.7532995896454366E-3</v>
      </c>
    </row>
    <row r="1872" spans="20:28" x14ac:dyDescent="0.2">
      <c r="T1872" s="130"/>
      <c r="U1872" s="151"/>
      <c r="X1872" s="170" t="str">
        <f t="shared" si="37"/>
        <v>1w</v>
      </c>
      <c r="Y1872" s="168">
        <f>_xll.qlCalendarAdvance(LiborCalendar,Y1871,X1872,"f",FALSE)</f>
        <v>52272</v>
      </c>
      <c r="Z1872" s="171">
        <f>_xll.qlInterestRateIndexValueDate(IborIndex,Y1872,Trigger)</f>
        <v>52274</v>
      </c>
      <c r="AA1872" s="172">
        <v>9.7484440560100492E-3</v>
      </c>
      <c r="AB1872" s="169">
        <v>9.7509608531609615E-3</v>
      </c>
    </row>
    <row r="1873" spans="20:28" x14ac:dyDescent="0.2">
      <c r="T1873" s="130"/>
      <c r="U1873" s="151"/>
      <c r="X1873" s="170" t="str">
        <f t="shared" si="37"/>
        <v>1w</v>
      </c>
      <c r="Y1873" s="168">
        <f>_xll.qlCalendarAdvance(LiborCalendar,Y1872,X1873,"f",FALSE)</f>
        <v>52279</v>
      </c>
      <c r="Z1873" s="171">
        <f>_xll.qlInterestRateIndexValueDate(IborIndex,Y1873,Trigger)</f>
        <v>52281</v>
      </c>
      <c r="AA1873" s="172">
        <v>9.7462444927207906E-3</v>
      </c>
      <c r="AB1873" s="169">
        <v>9.748641936502267E-3</v>
      </c>
    </row>
    <row r="1874" spans="20:28" x14ac:dyDescent="0.2">
      <c r="T1874" s="130"/>
      <c r="U1874" s="151"/>
      <c r="X1874" s="170" t="str">
        <f t="shared" si="37"/>
        <v>1w</v>
      </c>
      <c r="Y1874" s="168">
        <f>_xll.qlCalendarAdvance(LiborCalendar,Y1873,X1874,"f",FALSE)</f>
        <v>52286</v>
      </c>
      <c r="Z1874" s="171">
        <f>_xll.qlInterestRateIndexValueDate(IborIndex,Y1874,Trigger)</f>
        <v>52288</v>
      </c>
      <c r="AA1874" s="172">
        <v>9.7440647976320977E-3</v>
      </c>
      <c r="AB1874" s="169">
        <v>9.746342839669353E-3</v>
      </c>
    </row>
    <row r="1875" spans="20:28" x14ac:dyDescent="0.2">
      <c r="T1875" s="130"/>
      <c r="U1875" s="151"/>
      <c r="X1875" s="170" t="str">
        <f t="shared" si="37"/>
        <v>1w</v>
      </c>
      <c r="Y1875" s="168">
        <f>_xll.qlCalendarAdvance(LiborCalendar,Y1874,X1875,"f",FALSE)</f>
        <v>52293</v>
      </c>
      <c r="Z1875" s="171">
        <f>_xll.qlInterestRateIndexValueDate(IborIndex,Y1875,Trigger)</f>
        <v>52295</v>
      </c>
      <c r="AA1875" s="172">
        <v>9.7418490021550716E-3</v>
      </c>
      <c r="AB1875" s="169">
        <v>9.7440635626622196E-3</v>
      </c>
    </row>
    <row r="1876" spans="20:28" x14ac:dyDescent="0.2">
      <c r="T1876" s="130"/>
      <c r="U1876" s="151"/>
      <c r="X1876" s="170" t="str">
        <f t="shared" si="37"/>
        <v>1w</v>
      </c>
      <c r="Y1876" s="168">
        <f>_xll.qlCalendarAdvance(LiborCalendar,Y1875,X1876,"f",FALSE)</f>
        <v>52300</v>
      </c>
      <c r="Z1876" s="171">
        <f>_xll.qlInterestRateIndexValueDate(IborIndex,Y1876,Trigger)</f>
        <v>52302</v>
      </c>
      <c r="AA1876" s="172">
        <v>9.7397131276673633E-3</v>
      </c>
      <c r="AB1876" s="169">
        <v>9.7418041054808668E-3</v>
      </c>
    </row>
    <row r="1877" spans="20:28" x14ac:dyDescent="0.2">
      <c r="T1877" s="130"/>
      <c r="U1877" s="151"/>
      <c r="X1877" s="170" t="str">
        <f t="shared" ref="X1877:X1940" si="38">X1876</f>
        <v>1w</v>
      </c>
      <c r="Y1877" s="168">
        <f>_xll.qlCalendarAdvance(LiborCalendar,Y1876,X1877,"f",FALSE)</f>
        <v>52307</v>
      </c>
      <c r="Z1877" s="171">
        <f>_xll.qlInterestRateIndexValueDate(IborIndex,Y1877,Trigger)</f>
        <v>52309</v>
      </c>
      <c r="AA1877" s="172">
        <v>9.737597122925502E-3</v>
      </c>
      <c r="AB1877" s="169">
        <v>9.7395644681252946E-3</v>
      </c>
    </row>
    <row r="1878" spans="20:28" x14ac:dyDescent="0.2">
      <c r="T1878" s="130"/>
      <c r="U1878" s="151"/>
      <c r="X1878" s="170" t="str">
        <f t="shared" si="38"/>
        <v>1w</v>
      </c>
      <c r="Y1878" s="168">
        <f>_xll.qlCalendarAdvance(LiborCalendar,Y1877,X1878,"f",FALSE)</f>
        <v>52314</v>
      </c>
      <c r="Z1878" s="171">
        <f>_xll.qlInterestRateIndexValueDate(IborIndex,Y1878,Trigger)</f>
        <v>52316</v>
      </c>
      <c r="AA1878" s="172">
        <v>9.7355009878973432E-3</v>
      </c>
      <c r="AB1878" s="169">
        <v>9.7372411627691946E-3</v>
      </c>
    </row>
    <row r="1879" spans="20:28" x14ac:dyDescent="0.2">
      <c r="T1879" s="130"/>
      <c r="U1879" s="151"/>
      <c r="X1879" s="170" t="str">
        <f t="shared" si="38"/>
        <v>1w</v>
      </c>
      <c r="Y1879" s="168">
        <f>_xll.qlCalendarAdvance(LiborCalendar,Y1878,X1879,"f",FALSE)</f>
        <v>52321</v>
      </c>
      <c r="Z1879" s="171">
        <f>_xll.qlInterestRateIndexValueDate(IborIndex,Y1879,Trigger)</f>
        <v>52323</v>
      </c>
      <c r="AA1879" s="172">
        <v>9.7334378000135547E-3</v>
      </c>
      <c r="AB1879" s="169">
        <v>9.7351446527316199E-3</v>
      </c>
    </row>
    <row r="1880" spans="20:28" x14ac:dyDescent="0.2">
      <c r="T1880" s="130"/>
      <c r="U1880" s="151"/>
      <c r="X1880" s="170" t="str">
        <f t="shared" si="38"/>
        <v>1w</v>
      </c>
      <c r="Y1880" s="168">
        <f>_xll.qlCalendarAdvance(LiborCalendar,Y1879,X1880,"f",FALSE)</f>
        <v>52328</v>
      </c>
      <c r="Z1880" s="171">
        <f>_xll.qlInterestRateIndexValueDate(IborIndex,Y1880,Trigger)</f>
        <v>52330</v>
      </c>
      <c r="AA1880" s="172">
        <v>9.7313800406247358E-3</v>
      </c>
      <c r="AB1880" s="169">
        <v>9.7329644747734534E-3</v>
      </c>
    </row>
    <row r="1881" spans="20:28" x14ac:dyDescent="0.2">
      <c r="T1881" s="130"/>
      <c r="U1881" s="151"/>
      <c r="X1881" s="170" t="str">
        <f t="shared" si="38"/>
        <v>1w</v>
      </c>
      <c r="Y1881" s="168">
        <f>_xll.qlCalendarAdvance(LiborCalendar,Y1880,X1881,"f",FALSE)</f>
        <v>52335</v>
      </c>
      <c r="Z1881" s="171">
        <f>_xll.qlInterestRateIndexValueDate(IborIndex,Y1881,Trigger)</f>
        <v>52337</v>
      </c>
      <c r="AA1881" s="172">
        <v>9.7293421503093364E-3</v>
      </c>
      <c r="AB1881" s="169">
        <v>9.7308041167210035E-3</v>
      </c>
    </row>
    <row r="1882" spans="20:28" x14ac:dyDescent="0.2">
      <c r="T1882" s="130"/>
      <c r="U1882" s="151"/>
      <c r="X1882" s="170" t="str">
        <f t="shared" si="38"/>
        <v>1w</v>
      </c>
      <c r="Y1882" s="168">
        <f>_xll.qlCalendarAdvance(LiborCalendar,Y1881,X1882,"f",FALSE)</f>
        <v>52342</v>
      </c>
      <c r="Z1882" s="171">
        <f>_xll.qlInterestRateIndexValueDate(IborIndex,Y1882,Trigger)</f>
        <v>52344</v>
      </c>
      <c r="AA1882" s="172">
        <v>9.7273241290383693E-3</v>
      </c>
      <c r="AB1882" s="169">
        <v>9.7286635784143982E-3</v>
      </c>
    </row>
    <row r="1883" spans="20:28" x14ac:dyDescent="0.2">
      <c r="T1883" s="130"/>
      <c r="U1883" s="151"/>
      <c r="X1883" s="170" t="str">
        <f t="shared" si="38"/>
        <v>1w</v>
      </c>
      <c r="Y1883" s="168">
        <f>_xll.qlCalendarAdvance(LiborCalendar,Y1882,X1883,"f",FALSE)</f>
        <v>52349</v>
      </c>
      <c r="Z1883" s="171">
        <f>_xll.qlInterestRateIndexValueDate(IborIndex,Y1883,Trigger)</f>
        <v>52351</v>
      </c>
      <c r="AA1883" s="172">
        <v>9.7253183573742241E-3</v>
      </c>
      <c r="AB1883" s="169">
        <v>9.7265428598536374E-3</v>
      </c>
    </row>
    <row r="1884" spans="20:28" x14ac:dyDescent="0.2">
      <c r="T1884" s="130"/>
      <c r="U1884" s="151"/>
      <c r="X1884" s="170" t="str">
        <f t="shared" si="38"/>
        <v>1w</v>
      </c>
      <c r="Y1884" s="168">
        <f>_xll.qlCalendarAdvance(LiborCalendar,Y1883,X1884,"f",FALSE)</f>
        <v>52356</v>
      </c>
      <c r="Z1884" s="171">
        <f>_xll.qlInterestRateIndexValueDate(IborIndex,Y1884,Trigger)</f>
        <v>52359</v>
      </c>
      <c r="AA1884" s="172">
        <v>9.7230489188668921E-3</v>
      </c>
      <c r="AB1884" s="169">
        <v>9.7241081296761678E-3</v>
      </c>
    </row>
    <row r="1885" spans="20:28" x14ac:dyDescent="0.2">
      <c r="T1885" s="130"/>
      <c r="U1885" s="151"/>
      <c r="X1885" s="170" t="str">
        <f t="shared" si="38"/>
        <v>1w</v>
      </c>
      <c r="Y1885" s="168">
        <f>_xll.qlCalendarAdvance(LiborCalendar,Y1884,X1885,"f",FALSE)</f>
        <v>52363</v>
      </c>
      <c r="Z1885" s="171">
        <f>_xll.qlInterestRateIndexValueDate(IborIndex,Y1885,Trigger)</f>
        <v>52365</v>
      </c>
      <c r="AA1885" s="172">
        <v>9.7213843920746189E-3</v>
      </c>
      <c r="AB1885" s="169">
        <v>9.7223608822893937E-3</v>
      </c>
    </row>
    <row r="1886" spans="20:28" x14ac:dyDescent="0.2">
      <c r="T1886" s="130"/>
      <c r="U1886" s="151"/>
      <c r="X1886" s="170" t="str">
        <f t="shared" si="38"/>
        <v>1w</v>
      </c>
      <c r="Y1886" s="168">
        <f>_xll.qlCalendarAdvance(LiborCalendar,Y1885,X1886,"f",FALSE)</f>
        <v>52370</v>
      </c>
      <c r="Z1886" s="171">
        <f>_xll.qlInterestRateIndexValueDate(IborIndex,Y1886,Trigger)</f>
        <v>52372</v>
      </c>
      <c r="AA1886" s="172">
        <v>9.7194472136421725E-3</v>
      </c>
      <c r="AB1886" s="169">
        <v>9.7202996232059746E-3</v>
      </c>
    </row>
    <row r="1887" spans="20:28" x14ac:dyDescent="0.2">
      <c r="T1887" s="130"/>
      <c r="U1887" s="151"/>
      <c r="X1887" s="170" t="str">
        <f t="shared" si="38"/>
        <v>1w</v>
      </c>
      <c r="Y1887" s="168">
        <f>_xll.qlCalendarAdvance(LiborCalendar,Y1886,X1887,"f",FALSE)</f>
        <v>52377</v>
      </c>
      <c r="Z1887" s="171">
        <f>_xll.qlInterestRateIndexValueDate(IborIndex,Y1887,Trigger)</f>
        <v>52379</v>
      </c>
      <c r="AA1887" s="172">
        <v>9.7175299046479927E-3</v>
      </c>
      <c r="AB1887" s="169">
        <v>9.7182581839483362E-3</v>
      </c>
    </row>
    <row r="1888" spans="20:28" x14ac:dyDescent="0.2">
      <c r="T1888" s="130"/>
      <c r="U1888" s="151"/>
      <c r="X1888" s="170" t="str">
        <f t="shared" si="38"/>
        <v>1w</v>
      </c>
      <c r="Y1888" s="168">
        <f>_xll.qlCalendarAdvance(LiborCalendar,Y1887,X1888,"f",FALSE)</f>
        <v>52384</v>
      </c>
      <c r="Z1888" s="171">
        <f>_xll.qlInterestRateIndexValueDate(IborIndex,Y1888,Trigger)</f>
        <v>52386</v>
      </c>
      <c r="AA1888" s="172">
        <v>9.7156324650642788E-3</v>
      </c>
      <c r="AB1888" s="169">
        <v>9.7162365645164783E-3</v>
      </c>
    </row>
    <row r="1889" spans="20:28" x14ac:dyDescent="0.2">
      <c r="T1889" s="130"/>
      <c r="U1889" s="151"/>
      <c r="X1889" s="170" t="str">
        <f t="shared" si="38"/>
        <v>1w</v>
      </c>
      <c r="Y1889" s="168">
        <f>_xll.qlCalendarAdvance(LiborCalendar,Y1888,X1889,"f",FALSE)</f>
        <v>52391</v>
      </c>
      <c r="Z1889" s="171">
        <f>_xll.qlInterestRateIndexValueDate(IborIndex,Y1889,Trigger)</f>
        <v>52393</v>
      </c>
      <c r="AA1889" s="172">
        <v>9.7137548948606177E-3</v>
      </c>
      <c r="AB1889" s="169">
        <v>9.7142347649104011E-3</v>
      </c>
    </row>
    <row r="1890" spans="20:28" x14ac:dyDescent="0.2">
      <c r="T1890" s="130"/>
      <c r="U1890" s="151"/>
      <c r="X1890" s="170" t="str">
        <f t="shared" si="38"/>
        <v>1w</v>
      </c>
      <c r="Y1890" s="168">
        <f>_xll.qlCalendarAdvance(LiborCalendar,Y1889,X1890,"f",FALSE)</f>
        <v>52398</v>
      </c>
      <c r="Z1890" s="171">
        <f>_xll.qlInterestRateIndexValueDate(IborIndex,Y1890,Trigger)</f>
        <v>52400</v>
      </c>
      <c r="AA1890" s="172">
        <v>9.7118971940092086E-3</v>
      </c>
      <c r="AB1890" s="169">
        <v>9.7122527849702323E-3</v>
      </c>
    </row>
    <row r="1891" spans="20:28" x14ac:dyDescent="0.2">
      <c r="T1891" s="130"/>
      <c r="U1891" s="151"/>
      <c r="X1891" s="170" t="str">
        <f t="shared" si="38"/>
        <v>1w</v>
      </c>
      <c r="Y1891" s="168">
        <f>_xll.qlCalendarAdvance(LiborCalendar,Y1890,X1891,"f",FALSE)</f>
        <v>52405</v>
      </c>
      <c r="Z1891" s="171">
        <f>_xll.qlInterestRateIndexValueDate(IborIndex,Y1891,Trigger)</f>
        <v>52407</v>
      </c>
      <c r="AA1891" s="172">
        <v>9.7100593624813766E-3</v>
      </c>
      <c r="AB1891" s="169">
        <v>9.7102906250157162E-3</v>
      </c>
    </row>
    <row r="1892" spans="20:28" x14ac:dyDescent="0.2">
      <c r="T1892" s="130"/>
      <c r="U1892" s="151"/>
      <c r="X1892" s="170" t="str">
        <f t="shared" si="38"/>
        <v>1w</v>
      </c>
      <c r="Y1892" s="168">
        <f>_xll.qlCalendarAdvance(LiborCalendar,Y1891,X1892,"f",FALSE)</f>
        <v>52412</v>
      </c>
      <c r="Z1892" s="171">
        <f>_xll.qlInterestRateIndexValueDate(IborIndex,Y1892,Trigger)</f>
        <v>52414</v>
      </c>
      <c r="AA1892" s="172">
        <v>9.7082414002501883E-3</v>
      </c>
      <c r="AB1892" s="169">
        <v>9.7083482848070446E-3</v>
      </c>
    </row>
    <row r="1893" spans="20:28" x14ac:dyDescent="0.2">
      <c r="T1893" s="130"/>
      <c r="U1893" s="151"/>
      <c r="X1893" s="170" t="str">
        <f t="shared" si="38"/>
        <v>1w</v>
      </c>
      <c r="Y1893" s="168">
        <f>_xll.qlCalendarAdvance(LiborCalendar,Y1892,X1893,"f",FALSE)</f>
        <v>52419</v>
      </c>
      <c r="Z1893" s="171">
        <f>_xll.qlInterestRateIndexValueDate(IborIndex,Y1893,Trigger)</f>
        <v>52421</v>
      </c>
      <c r="AA1893" s="172">
        <v>9.7064433072878379E-3</v>
      </c>
      <c r="AB1893" s="169">
        <v>9.7064257644241536E-3</v>
      </c>
    </row>
    <row r="1894" spans="20:28" x14ac:dyDescent="0.2">
      <c r="T1894" s="130"/>
      <c r="U1894" s="151"/>
      <c r="X1894" s="170" t="str">
        <f t="shared" si="38"/>
        <v>1w</v>
      </c>
      <c r="Y1894" s="168">
        <f>_xll.qlCalendarAdvance(LiborCalendar,Y1893,X1894,"f",FALSE)</f>
        <v>52426</v>
      </c>
      <c r="Z1894" s="171">
        <f>_xll.qlInterestRateIndexValueDate(IborIndex,Y1894,Trigger)</f>
        <v>52428</v>
      </c>
      <c r="AA1894" s="172">
        <v>9.7046650835656539E-3</v>
      </c>
      <c r="AB1894" s="169">
        <v>9.7045230638670432E-3</v>
      </c>
    </row>
    <row r="1895" spans="20:28" x14ac:dyDescent="0.2">
      <c r="T1895" s="130"/>
      <c r="U1895" s="151"/>
      <c r="X1895" s="170" t="str">
        <f t="shared" si="38"/>
        <v>1w</v>
      </c>
      <c r="Y1895" s="168">
        <f>_xll.qlCalendarAdvance(LiborCalendar,Y1894,X1895,"f",FALSE)</f>
        <v>52433</v>
      </c>
      <c r="Z1895" s="171">
        <f>_xll.qlInterestRateIndexValueDate(IborIndex,Y1895,Trigger)</f>
        <v>52435</v>
      </c>
      <c r="AA1895" s="172">
        <v>9.7029067290584393E-3</v>
      </c>
      <c r="AB1895" s="169">
        <v>9.7026401830557774E-3</v>
      </c>
    </row>
    <row r="1896" spans="20:28" x14ac:dyDescent="0.2">
      <c r="T1896" s="130"/>
      <c r="U1896" s="151"/>
      <c r="X1896" s="170" t="str">
        <f t="shared" si="38"/>
        <v>1w</v>
      </c>
      <c r="Y1896" s="168">
        <f>_xll.qlCalendarAdvance(LiborCalendar,Y1895,X1896,"f",FALSE)</f>
        <v>52440</v>
      </c>
      <c r="Z1896" s="171">
        <f>_xll.qlInterestRateIndexValueDate(IborIndex,Y1896,Trigger)</f>
        <v>52442</v>
      </c>
      <c r="AA1896" s="172">
        <v>9.7011682437383884E-3</v>
      </c>
      <c r="AB1896" s="169">
        <v>9.7007771220702921E-3</v>
      </c>
    </row>
    <row r="1897" spans="20:28" x14ac:dyDescent="0.2">
      <c r="T1897" s="130"/>
      <c r="U1897" s="151"/>
      <c r="X1897" s="170" t="str">
        <f t="shared" si="38"/>
        <v>1w</v>
      </c>
      <c r="Y1897" s="168">
        <f>_xll.qlCalendarAdvance(LiborCalendar,Y1896,X1897,"f",FALSE)</f>
        <v>52447</v>
      </c>
      <c r="Z1897" s="171">
        <f>_xll.qlInterestRateIndexValueDate(IborIndex,Y1897,Trigger)</f>
        <v>52449</v>
      </c>
      <c r="AA1897" s="172">
        <v>9.6994496275785696E-3</v>
      </c>
      <c r="AB1897" s="169">
        <v>9.6989338809105874E-3</v>
      </c>
    </row>
    <row r="1898" spans="20:28" x14ac:dyDescent="0.2">
      <c r="T1898" s="130"/>
      <c r="U1898" s="151"/>
      <c r="X1898" s="170" t="str">
        <f t="shared" si="38"/>
        <v>1w</v>
      </c>
      <c r="Y1898" s="168">
        <f>_xll.qlCalendarAdvance(LiborCalendar,Y1897,X1898,"f",FALSE)</f>
        <v>52454</v>
      </c>
      <c r="Z1898" s="171">
        <f>_xll.qlInterestRateIndexValueDate(IborIndex,Y1898,Trigger)</f>
        <v>52456</v>
      </c>
      <c r="AA1898" s="172">
        <v>9.6977508805537824E-3</v>
      </c>
      <c r="AB1898" s="169">
        <v>9.6971104594967272E-3</v>
      </c>
    </row>
    <row r="1899" spans="20:28" x14ac:dyDescent="0.2">
      <c r="T1899" s="130"/>
      <c r="U1899" s="151"/>
      <c r="X1899" s="170" t="str">
        <f t="shared" si="38"/>
        <v>1w</v>
      </c>
      <c r="Y1899" s="168">
        <f>_xll.qlCalendarAdvance(LiborCalendar,Y1898,X1899,"f",FALSE)</f>
        <v>52461</v>
      </c>
      <c r="Z1899" s="171">
        <f>_xll.qlInterestRateIndexValueDate(IborIndex,Y1899,Trigger)</f>
        <v>52463</v>
      </c>
      <c r="AA1899" s="172">
        <v>9.6960720026388319E-3</v>
      </c>
      <c r="AB1899" s="169">
        <v>9.6953068579086477E-3</v>
      </c>
    </row>
    <row r="1900" spans="20:28" x14ac:dyDescent="0.2">
      <c r="T1900" s="130"/>
      <c r="U1900" s="151"/>
      <c r="X1900" s="170" t="str">
        <f t="shared" si="38"/>
        <v>1w</v>
      </c>
      <c r="Y1900" s="168">
        <f>_xll.qlCalendarAdvance(LiborCalendar,Y1899,X1900,"f",FALSE)</f>
        <v>52468</v>
      </c>
      <c r="Z1900" s="171">
        <f>_xll.qlInterestRateIndexValueDate(IborIndex,Y1900,Trigger)</f>
        <v>52470</v>
      </c>
      <c r="AA1900" s="172">
        <v>9.6944129938067811E-3</v>
      </c>
      <c r="AB1900" s="169">
        <v>9.6935230761463487E-3</v>
      </c>
    </row>
    <row r="1901" spans="20:28" x14ac:dyDescent="0.2">
      <c r="T1901" s="130"/>
      <c r="U1901" s="151"/>
      <c r="X1901" s="170" t="str">
        <f t="shared" si="38"/>
        <v>1w</v>
      </c>
      <c r="Y1901" s="168">
        <f>_xll.qlCalendarAdvance(LiborCalendar,Y1900,X1901,"f",FALSE)</f>
        <v>52475</v>
      </c>
      <c r="Z1901" s="171">
        <f>_xll.qlInterestRateIndexValueDate(IborIndex,Y1901,Trigger)</f>
        <v>52477</v>
      </c>
      <c r="AA1901" s="172">
        <v>9.692756804567413E-3</v>
      </c>
      <c r="AB1901" s="169">
        <v>9.6917591141298942E-3</v>
      </c>
    </row>
    <row r="1902" spans="20:28" x14ac:dyDescent="0.2">
      <c r="T1902" s="130"/>
      <c r="U1902" s="151"/>
      <c r="X1902" s="170" t="str">
        <f t="shared" si="38"/>
        <v>1w</v>
      </c>
      <c r="Y1902" s="168">
        <f>_xll.qlCalendarAdvance(LiborCalendar,Y1901,X1902,"f",FALSE)</f>
        <v>52482</v>
      </c>
      <c r="Z1902" s="171">
        <f>_xll.qlInterestRateIndexValueDate(IborIndex,Y1902,Trigger)</f>
        <v>52484</v>
      </c>
      <c r="AA1902" s="172">
        <v>9.6911361581907534E-3</v>
      </c>
      <c r="AB1902" s="169">
        <v>9.6900149720191564E-3</v>
      </c>
    </row>
    <row r="1903" spans="20:28" x14ac:dyDescent="0.2">
      <c r="T1903" s="130"/>
      <c r="U1903" s="151"/>
      <c r="X1903" s="170" t="str">
        <f t="shared" si="38"/>
        <v>1w</v>
      </c>
      <c r="Y1903" s="168">
        <f>_xll.qlCalendarAdvance(LiborCalendar,Y1902,X1903,"f",FALSE)</f>
        <v>52489</v>
      </c>
      <c r="Z1903" s="171">
        <f>_xll.qlInterestRateIndexValueDate(IborIndex,Y1903,Trigger)</f>
        <v>52491</v>
      </c>
      <c r="AA1903" s="172">
        <v>9.6895353802840395E-3</v>
      </c>
      <c r="AB1903" s="169">
        <v>9.6882906497341992E-3</v>
      </c>
    </row>
    <row r="1904" spans="20:28" x14ac:dyDescent="0.2">
      <c r="T1904" s="130"/>
      <c r="U1904" s="151"/>
      <c r="X1904" s="170" t="str">
        <f t="shared" si="38"/>
        <v>1w</v>
      </c>
      <c r="Y1904" s="168">
        <f>_xll.qlCalendarAdvance(LiborCalendar,Y1903,X1904,"f",FALSE)</f>
        <v>52496</v>
      </c>
      <c r="Z1904" s="171">
        <f>_xll.qlInterestRateIndexValueDate(IborIndex,Y1904,Trigger)</f>
        <v>52498</v>
      </c>
      <c r="AA1904" s="172">
        <v>9.6879544708217986E-3</v>
      </c>
      <c r="AB1904" s="169">
        <v>9.6865861471950865E-3</v>
      </c>
    </row>
    <row r="1905" spans="20:28" x14ac:dyDescent="0.2">
      <c r="T1905" s="130"/>
      <c r="U1905" s="151"/>
      <c r="X1905" s="170" t="str">
        <f t="shared" si="38"/>
        <v>1w</v>
      </c>
      <c r="Y1905" s="168">
        <f>_xll.qlCalendarAdvance(LiborCalendar,Y1904,X1905,"f",FALSE)</f>
        <v>52503</v>
      </c>
      <c r="Z1905" s="171">
        <f>_xll.qlInterestRateIndexValueDate(IborIndex,Y1905,Trigger)</f>
        <v>52505</v>
      </c>
      <c r="AA1905" s="172">
        <v>9.6864844410879704E-3</v>
      </c>
      <c r="AB1905" s="169">
        <v>9.6849014644817544E-3</v>
      </c>
    </row>
    <row r="1906" spans="20:28" x14ac:dyDescent="0.2">
      <c r="T1906" s="130"/>
      <c r="U1906" s="151"/>
      <c r="X1906" s="170" t="str">
        <f t="shared" si="38"/>
        <v>1w</v>
      </c>
      <c r="Y1906" s="168">
        <f>_xll.qlCalendarAdvance(LiborCalendar,Y1905,X1906,"f",FALSE)</f>
        <v>52510</v>
      </c>
      <c r="Z1906" s="171">
        <f>_xll.qlInterestRateIndexValueDate(IborIndex,Y1906,Trigger)</f>
        <v>52512</v>
      </c>
      <c r="AA1906" s="172">
        <v>9.6848761901791036E-3</v>
      </c>
      <c r="AB1906" s="169">
        <v>9.6832366015142668E-3</v>
      </c>
    </row>
    <row r="1907" spans="20:28" x14ac:dyDescent="0.2">
      <c r="T1907" s="130"/>
      <c r="U1907" s="151"/>
      <c r="X1907" s="170" t="str">
        <f t="shared" si="38"/>
        <v>1w</v>
      </c>
      <c r="Y1907" s="168">
        <f>_xll.qlCalendarAdvance(LiborCalendar,Y1906,X1907,"f",FALSE)</f>
        <v>52517</v>
      </c>
      <c r="Z1907" s="171">
        <f>_xll.qlInterestRateIndexValueDate(IborIndex,Y1907,Trigger)</f>
        <v>52519</v>
      </c>
      <c r="AA1907" s="172">
        <v>9.6833562642426891E-3</v>
      </c>
      <c r="AB1907" s="169">
        <v>9.6815915583725598E-3</v>
      </c>
    </row>
    <row r="1908" spans="20:28" x14ac:dyDescent="0.2">
      <c r="T1908" s="130"/>
      <c r="U1908" s="151"/>
      <c r="X1908" s="170" t="str">
        <f t="shared" si="38"/>
        <v>1w</v>
      </c>
      <c r="Y1908" s="168">
        <f>_xll.qlCalendarAdvance(LiborCalendar,Y1907,X1908,"f",FALSE)</f>
        <v>52524</v>
      </c>
      <c r="Z1908" s="171">
        <f>_xll.qlInterestRateIndexValueDate(IborIndex,Y1908,Trigger)</f>
        <v>52526</v>
      </c>
      <c r="AA1908" s="172">
        <v>9.6818562071971544E-3</v>
      </c>
      <c r="AB1908" s="169">
        <v>9.6799663351365695E-3</v>
      </c>
    </row>
    <row r="1909" spans="20:28" x14ac:dyDescent="0.2">
      <c r="T1909" s="130"/>
      <c r="U1909" s="151"/>
      <c r="X1909" s="170" t="str">
        <f t="shared" si="38"/>
        <v>1w</v>
      </c>
      <c r="Y1909" s="168">
        <f>_xll.qlCalendarAdvance(LiborCalendar,Y1908,X1909,"f",FALSE)</f>
        <v>52531</v>
      </c>
      <c r="Z1909" s="171">
        <f>_xll.qlInterestRateIndexValueDate(IborIndex,Y1909,Trigger)</f>
        <v>52533</v>
      </c>
      <c r="AA1909" s="172">
        <v>9.6803760190181717E-3</v>
      </c>
      <c r="AB1909" s="169">
        <v>9.6783609315664876E-3</v>
      </c>
    </row>
    <row r="1910" spans="20:28" x14ac:dyDescent="0.2">
      <c r="T1910" s="130"/>
      <c r="U1910" s="151"/>
      <c r="X1910" s="170" t="str">
        <f t="shared" si="38"/>
        <v>1w</v>
      </c>
      <c r="Y1910" s="168">
        <f>_xll.qlCalendarAdvance(LiborCalendar,Y1909,X1910,"f",FALSE)</f>
        <v>52538</v>
      </c>
      <c r="Z1910" s="171">
        <f>_xll.qlInterestRateIndexValueDate(IborIndex,Y1910,Trigger)</f>
        <v>52540</v>
      </c>
      <c r="AA1910" s="172">
        <v>9.678915699685757E-3</v>
      </c>
      <c r="AB1910" s="169">
        <v>9.6767753479021223E-3</v>
      </c>
    </row>
    <row r="1911" spans="20:28" x14ac:dyDescent="0.2">
      <c r="T1911" s="130"/>
      <c r="U1911" s="151"/>
      <c r="X1911" s="170" t="str">
        <f t="shared" si="38"/>
        <v>1w</v>
      </c>
      <c r="Y1911" s="168">
        <f>_xll.qlCalendarAdvance(LiborCalendar,Y1910,X1911,"f",FALSE)</f>
        <v>52545</v>
      </c>
      <c r="Z1911" s="171">
        <f>_xll.qlInterestRateIndexValueDate(IborIndex,Y1911,Trigger)</f>
        <v>52547</v>
      </c>
      <c r="AA1911" s="172">
        <v>9.6774752491747135E-3</v>
      </c>
      <c r="AB1911" s="169">
        <v>9.6752095839036656E-3</v>
      </c>
    </row>
    <row r="1912" spans="20:28" x14ac:dyDescent="0.2">
      <c r="T1912" s="130"/>
      <c r="U1912" s="151"/>
      <c r="X1912" s="170" t="str">
        <f t="shared" si="38"/>
        <v>1w</v>
      </c>
      <c r="Y1912" s="168">
        <f>_xll.qlCalendarAdvance(LiborCalendar,Y1911,X1912,"f",FALSE)</f>
        <v>52552</v>
      </c>
      <c r="Z1912" s="171">
        <f>_xll.qlInterestRateIndexValueDate(IborIndex,Y1912,Trigger)</f>
        <v>52554</v>
      </c>
      <c r="AA1912" s="172">
        <v>9.6760546674659262E-3</v>
      </c>
      <c r="AB1912" s="169">
        <v>9.6736636398908615E-3</v>
      </c>
    </row>
    <row r="1913" spans="20:28" x14ac:dyDescent="0.2">
      <c r="T1913" s="130"/>
      <c r="U1913" s="151"/>
      <c r="X1913" s="170" t="str">
        <f t="shared" si="38"/>
        <v>1w</v>
      </c>
      <c r="Y1913" s="168">
        <f>_xll.qlCalendarAdvance(LiborCalendar,Y1912,X1913,"f",FALSE)</f>
        <v>52559</v>
      </c>
      <c r="Z1913" s="171">
        <f>_xll.qlInterestRateIndexValueDate(IborIndex,Y1913,Trigger)</f>
        <v>52561</v>
      </c>
      <c r="AA1913" s="172">
        <v>9.6746539545350639E-3</v>
      </c>
      <c r="AB1913" s="169">
        <v>9.6721375155439659E-3</v>
      </c>
    </row>
    <row r="1914" spans="20:28" x14ac:dyDescent="0.2">
      <c r="T1914" s="130"/>
      <c r="U1914" s="151"/>
      <c r="X1914" s="170" t="str">
        <f t="shared" si="38"/>
        <v>1w</v>
      </c>
      <c r="Y1914" s="168">
        <f>_xll.qlCalendarAdvance(LiborCalendar,Y1913,X1914,"f",FALSE)</f>
        <v>52566</v>
      </c>
      <c r="Z1914" s="171">
        <f>_xll.qlInterestRateIndexValueDate(IborIndex,Y1914,Trigger)</f>
        <v>52568</v>
      </c>
      <c r="AA1914" s="172">
        <v>9.6732381356014769E-3</v>
      </c>
      <c r="AB1914" s="169">
        <v>9.670631211102787E-3</v>
      </c>
    </row>
    <row r="1915" spans="20:28" x14ac:dyDescent="0.2">
      <c r="T1915" s="130"/>
      <c r="U1915" s="151"/>
      <c r="X1915" s="170" t="str">
        <f t="shared" si="38"/>
        <v>1w</v>
      </c>
      <c r="Y1915" s="168">
        <f>_xll.qlCalendarAdvance(LiborCalendar,Y1914,X1915,"f",FALSE)</f>
        <v>52573</v>
      </c>
      <c r="Z1915" s="171">
        <f>_xll.qlInterestRateIndexValueDate(IborIndex,Y1915,Trigger)</f>
        <v>52575</v>
      </c>
      <c r="AA1915" s="172">
        <v>9.6718757775324828E-3</v>
      </c>
      <c r="AB1915" s="169">
        <v>9.6691447263275165E-3</v>
      </c>
    </row>
    <row r="1916" spans="20:28" x14ac:dyDescent="0.2">
      <c r="T1916" s="130"/>
      <c r="U1916" s="151"/>
      <c r="X1916" s="170" t="str">
        <f t="shared" si="38"/>
        <v>1w</v>
      </c>
      <c r="Y1916" s="168">
        <f>_xll.qlCalendarAdvance(LiborCalendar,Y1915,X1916,"f",FALSE)</f>
        <v>52580</v>
      </c>
      <c r="Z1916" s="171">
        <f>_xll.qlInterestRateIndexValueDate(IborIndex,Y1916,Trigger)</f>
        <v>52582</v>
      </c>
      <c r="AA1916" s="172">
        <v>9.6705332876426773E-3</v>
      </c>
      <c r="AB1916" s="169">
        <v>9.6676780614579627E-3</v>
      </c>
    </row>
    <row r="1917" spans="20:28" x14ac:dyDescent="0.2">
      <c r="T1917" s="130"/>
      <c r="U1917" s="151"/>
      <c r="X1917" s="170" t="str">
        <f t="shared" si="38"/>
        <v>1w</v>
      </c>
      <c r="Y1917" s="168">
        <f>_xll.qlCalendarAdvance(LiborCalendar,Y1916,X1917,"f",FALSE)</f>
        <v>52587</v>
      </c>
      <c r="Z1917" s="171">
        <f>_xll.qlInterestRateIndexValueDate(IborIndex,Y1917,Trigger)</f>
        <v>52589</v>
      </c>
      <c r="AA1917" s="172">
        <v>9.6692106659136152E-3</v>
      </c>
      <c r="AB1917" s="169">
        <v>9.666340935911677E-3</v>
      </c>
    </row>
    <row r="1918" spans="20:28" x14ac:dyDescent="0.2">
      <c r="T1918" s="130"/>
      <c r="U1918" s="151"/>
      <c r="X1918" s="170" t="str">
        <f t="shared" si="38"/>
        <v>1w</v>
      </c>
      <c r="Y1918" s="168">
        <f>_xll.qlCalendarAdvance(LiborCalendar,Y1917,X1918,"f",FALSE)</f>
        <v>52594</v>
      </c>
      <c r="Z1918" s="171">
        <f>_xll.qlInterestRateIndexValueDate(IborIndex,Y1918,Trigger)</f>
        <v>52596</v>
      </c>
      <c r="AA1918" s="172">
        <v>9.6679079123233366E-3</v>
      </c>
      <c r="AB1918" s="169">
        <v>9.6648904157436988E-3</v>
      </c>
    </row>
    <row r="1919" spans="20:28" x14ac:dyDescent="0.2">
      <c r="T1919" s="130"/>
      <c r="U1919" s="151"/>
      <c r="X1919" s="170" t="str">
        <f t="shared" si="38"/>
        <v>1w</v>
      </c>
      <c r="Y1919" s="168">
        <f>_xll.qlCalendarAdvance(LiborCalendar,Y1918,X1919,"f",FALSE)</f>
        <v>52601</v>
      </c>
      <c r="Z1919" s="171">
        <f>_xll.qlInterestRateIndexValueDate(IborIndex,Y1919,Trigger)</f>
        <v>52603</v>
      </c>
      <c r="AA1919" s="172">
        <v>9.6666250268542721E-3</v>
      </c>
      <c r="AB1919" s="169">
        <v>9.6633969856441126E-3</v>
      </c>
    </row>
    <row r="1920" spans="20:28" x14ac:dyDescent="0.2">
      <c r="T1920" s="130"/>
      <c r="U1920" s="151"/>
      <c r="X1920" s="170" t="str">
        <f t="shared" si="38"/>
        <v>1w</v>
      </c>
      <c r="Y1920" s="168">
        <f>_xll.qlCalendarAdvance(LiborCalendar,Y1919,X1920,"f",FALSE)</f>
        <v>52608</v>
      </c>
      <c r="Z1920" s="171">
        <f>_xll.qlInterestRateIndexValueDate(IborIndex,Y1920,Trigger)</f>
        <v>52610</v>
      </c>
      <c r="AA1920" s="172">
        <v>9.6653620094844604E-3</v>
      </c>
      <c r="AB1920" s="169">
        <v>9.6620095999178091E-3</v>
      </c>
    </row>
    <row r="1921" spans="20:28" x14ac:dyDescent="0.2">
      <c r="T1921" s="130"/>
      <c r="U1921" s="151"/>
      <c r="X1921" s="170" t="str">
        <f t="shared" si="38"/>
        <v>1w</v>
      </c>
      <c r="Y1921" s="168">
        <f>_xll.qlCalendarAdvance(LiborCalendar,Y1920,X1921,"f",FALSE)</f>
        <v>52615</v>
      </c>
      <c r="Z1921" s="171">
        <f>_xll.qlInterestRateIndexValueDate(IborIndex,Y1921,Trigger)</f>
        <v>52617</v>
      </c>
      <c r="AA1921" s="172">
        <v>9.6641188601972131E-3</v>
      </c>
      <c r="AB1921" s="169">
        <v>9.6606420340172861E-3</v>
      </c>
    </row>
    <row r="1922" spans="20:28" x14ac:dyDescent="0.2">
      <c r="T1922" s="130"/>
      <c r="U1922" s="151"/>
      <c r="X1922" s="170" t="str">
        <f t="shared" si="38"/>
        <v>1w</v>
      </c>
      <c r="Y1922" s="168">
        <f>_xll.qlCalendarAdvance(LiborCalendar,Y1921,X1922,"f",FALSE)</f>
        <v>52622</v>
      </c>
      <c r="Z1922" s="171">
        <f>_xll.qlInterestRateIndexValueDate(IborIndex,Y1922,Trigger)</f>
        <v>52624</v>
      </c>
      <c r="AA1922" s="172">
        <v>9.6628955789732039E-3</v>
      </c>
      <c r="AB1922" s="169">
        <v>9.6592942879425436E-3</v>
      </c>
    </row>
    <row r="1923" spans="20:28" x14ac:dyDescent="0.2">
      <c r="T1923" s="130"/>
      <c r="U1923" s="151"/>
      <c r="X1923" s="170" t="str">
        <f t="shared" si="38"/>
        <v>1w</v>
      </c>
      <c r="Y1923" s="168">
        <f>_xll.qlCalendarAdvance(LiborCalendar,Y1922,X1923,"f",FALSE)</f>
        <v>52629</v>
      </c>
      <c r="Z1923" s="171">
        <f>_xll.qlInterestRateIndexValueDate(IborIndex,Y1923,Trigger)</f>
        <v>52631</v>
      </c>
      <c r="AA1923" s="172">
        <v>9.661644861085783E-3</v>
      </c>
      <c r="AB1923" s="169">
        <v>9.6579663616136457E-3</v>
      </c>
    </row>
    <row r="1924" spans="20:28" x14ac:dyDescent="0.2">
      <c r="T1924" s="130"/>
      <c r="U1924" s="151"/>
      <c r="X1924" s="170" t="str">
        <f t="shared" si="38"/>
        <v>1w</v>
      </c>
      <c r="Y1924" s="168">
        <f>_xll.qlCalendarAdvance(LiborCalendar,Y1923,X1924,"f",FALSE)</f>
        <v>52636</v>
      </c>
      <c r="Z1924" s="171">
        <f>_xll.qlInterestRateIndexValueDate(IborIndex,Y1924,Trigger)</f>
        <v>52638</v>
      </c>
      <c r="AA1924" s="172">
        <v>9.6604599285505799E-3</v>
      </c>
      <c r="AB1924" s="169">
        <v>9.6566582551105284E-3</v>
      </c>
    </row>
    <row r="1925" spans="20:28" x14ac:dyDescent="0.2">
      <c r="T1925" s="130"/>
      <c r="U1925" s="151"/>
      <c r="X1925" s="170" t="str">
        <f t="shared" si="38"/>
        <v>1w</v>
      </c>
      <c r="Y1925" s="168">
        <f>_xll.qlCalendarAdvance(LiborCalendar,Y1924,X1925,"f",FALSE)</f>
        <v>52643</v>
      </c>
      <c r="Z1925" s="171">
        <f>_xll.qlInterestRateIndexValueDate(IborIndex,Y1925,Trigger)</f>
        <v>52645</v>
      </c>
      <c r="AA1925" s="172">
        <v>9.659294863489265E-3</v>
      </c>
      <c r="AB1925" s="169">
        <v>9.6553699684331917E-3</v>
      </c>
    </row>
    <row r="1926" spans="20:28" x14ac:dyDescent="0.2">
      <c r="T1926" s="130"/>
      <c r="U1926" s="151"/>
      <c r="X1926" s="170" t="str">
        <f t="shared" si="38"/>
        <v>1w</v>
      </c>
      <c r="Y1926" s="168">
        <f>_xll.qlCalendarAdvance(LiborCalendar,Y1925,X1926,"f",FALSE)</f>
        <v>52650</v>
      </c>
      <c r="Z1926" s="171">
        <f>_xll.qlInterestRateIndexValueDate(IborIndex,Y1926,Trigger)</f>
        <v>52652</v>
      </c>
      <c r="AA1926" s="172">
        <v>9.658149665884963E-3</v>
      </c>
      <c r="AB1926" s="169">
        <v>9.6541015015816356E-3</v>
      </c>
    </row>
    <row r="1927" spans="20:28" x14ac:dyDescent="0.2">
      <c r="T1927" s="130"/>
      <c r="U1927" s="151"/>
      <c r="X1927" s="170" t="str">
        <f t="shared" si="38"/>
        <v>1w</v>
      </c>
      <c r="Y1927" s="168">
        <f>_xll.qlCalendarAdvance(LiborCalendar,Y1926,X1927,"f",FALSE)</f>
        <v>52657</v>
      </c>
      <c r="Z1927" s="171">
        <f>_xll.qlInterestRateIndexValueDate(IborIndex,Y1927,Trigger)</f>
        <v>52659</v>
      </c>
      <c r="AA1927" s="172">
        <v>9.657130183977819E-3</v>
      </c>
      <c r="AB1927" s="169">
        <v>9.652852854475924E-3</v>
      </c>
    </row>
    <row r="1928" spans="20:28" x14ac:dyDescent="0.2">
      <c r="T1928" s="130"/>
      <c r="U1928" s="151"/>
      <c r="X1928" s="170" t="str">
        <f t="shared" si="38"/>
        <v>1w</v>
      </c>
      <c r="Y1928" s="168">
        <f>_xll.qlCalendarAdvance(LiborCalendar,Y1927,X1928,"f",FALSE)</f>
        <v>52664</v>
      </c>
      <c r="Z1928" s="171">
        <f>_xll.qlInterestRateIndexValueDate(IborIndex,Y1928,Trigger)</f>
        <v>52666</v>
      </c>
      <c r="AA1928" s="172">
        <v>9.6560275003534091E-3</v>
      </c>
      <c r="AB1928" s="169">
        <v>9.651624027195993E-3</v>
      </c>
    </row>
    <row r="1929" spans="20:28" x14ac:dyDescent="0.2">
      <c r="T1929" s="130"/>
      <c r="U1929" s="151"/>
      <c r="X1929" s="170" t="str">
        <f t="shared" si="38"/>
        <v>1w</v>
      </c>
      <c r="Y1929" s="168">
        <f>_xll.qlCalendarAdvance(LiborCalendar,Y1928,X1929,"f",FALSE)</f>
        <v>52671</v>
      </c>
      <c r="Z1929" s="171">
        <f>_xll.qlInterestRateIndexValueDate(IborIndex,Y1929,Trigger)</f>
        <v>52673</v>
      </c>
      <c r="AA1929" s="172">
        <v>9.6549446852045584E-3</v>
      </c>
      <c r="AB1929" s="169">
        <v>9.6504150197418426E-3</v>
      </c>
    </row>
    <row r="1930" spans="20:28" x14ac:dyDescent="0.2">
      <c r="T1930" s="130"/>
      <c r="U1930" s="151"/>
      <c r="X1930" s="170" t="str">
        <f t="shared" si="38"/>
        <v>1w</v>
      </c>
      <c r="Y1930" s="168">
        <f>_xll.qlCalendarAdvance(LiborCalendar,Y1929,X1930,"f",FALSE)</f>
        <v>52678</v>
      </c>
      <c r="Z1930" s="171">
        <f>_xll.qlInterestRateIndexValueDate(IborIndex,Y1930,Trigger)</f>
        <v>52680</v>
      </c>
      <c r="AA1930" s="172">
        <v>9.6538817385130246E-3</v>
      </c>
      <c r="AB1930" s="169">
        <v>9.6492258320335367E-3</v>
      </c>
    </row>
    <row r="1931" spans="20:28" x14ac:dyDescent="0.2">
      <c r="T1931" s="130"/>
      <c r="U1931" s="151"/>
      <c r="X1931" s="170" t="str">
        <f t="shared" si="38"/>
        <v>1w</v>
      </c>
      <c r="Y1931" s="168">
        <f>_xll.qlCalendarAdvance(LiborCalendar,Y1930,X1931,"f",FALSE)</f>
        <v>52685</v>
      </c>
      <c r="Z1931" s="171">
        <f>_xll.qlInterestRateIndexValueDate(IborIndex,Y1931,Trigger)</f>
        <v>52687</v>
      </c>
      <c r="AA1931" s="172">
        <v>9.6527801078575247E-3</v>
      </c>
      <c r="AB1931" s="169">
        <v>9.6480564641510114E-3</v>
      </c>
    </row>
    <row r="1932" spans="20:28" x14ac:dyDescent="0.2">
      <c r="T1932" s="130"/>
      <c r="U1932" s="151"/>
      <c r="X1932" s="170" t="str">
        <f t="shared" si="38"/>
        <v>1w</v>
      </c>
      <c r="Y1932" s="168">
        <f>_xll.qlCalendarAdvance(LiborCalendar,Y1931,X1932,"f",FALSE)</f>
        <v>52692</v>
      </c>
      <c r="Z1932" s="171">
        <f>_xll.qlInterestRateIndexValueDate(IborIndex,Y1932,Trigger)</f>
        <v>52694</v>
      </c>
      <c r="AA1932" s="172">
        <v>9.6517555063022776E-3</v>
      </c>
      <c r="AB1932" s="169">
        <v>9.6469069160143306E-3</v>
      </c>
    </row>
    <row r="1933" spans="20:28" x14ac:dyDescent="0.2">
      <c r="T1933" s="130"/>
      <c r="U1933" s="151"/>
      <c r="X1933" s="170" t="str">
        <f t="shared" si="38"/>
        <v>1w</v>
      </c>
      <c r="Y1933" s="168">
        <f>_xll.qlCalendarAdvance(LiborCalendar,Y1932,X1933,"f",FALSE)</f>
        <v>52699</v>
      </c>
      <c r="Z1933" s="171">
        <f>_xll.qlInterestRateIndexValueDate(IborIndex,Y1933,Trigger)</f>
        <v>52701</v>
      </c>
      <c r="AA1933" s="172">
        <v>9.6507507726231647E-3</v>
      </c>
      <c r="AB1933" s="169">
        <v>9.6459753273201443E-3</v>
      </c>
    </row>
    <row r="1934" spans="20:28" x14ac:dyDescent="0.2">
      <c r="T1934" s="130"/>
      <c r="U1934" s="151"/>
      <c r="X1934" s="170" t="str">
        <f t="shared" si="38"/>
        <v>1w</v>
      </c>
      <c r="Y1934" s="168">
        <f>_xll.qlCalendarAdvance(LiborCalendar,Y1933,X1934,"f",FALSE)</f>
        <v>52706</v>
      </c>
      <c r="Z1934" s="171">
        <f>_xll.qlInterestRateIndexValueDate(IborIndex,Y1934,Trigger)</f>
        <v>52708</v>
      </c>
      <c r="AA1934" s="172">
        <v>9.6497659068078903E-3</v>
      </c>
      <c r="AB1934" s="169">
        <v>9.6446672792183108E-3</v>
      </c>
    </row>
    <row r="1935" spans="20:28" x14ac:dyDescent="0.2">
      <c r="T1935" s="130"/>
      <c r="U1935" s="151"/>
      <c r="X1935" s="170" t="str">
        <f t="shared" si="38"/>
        <v>1w</v>
      </c>
      <c r="Y1935" s="168">
        <f>_xll.qlCalendarAdvance(LiborCalendar,Y1934,X1935,"f",FALSE)</f>
        <v>52713</v>
      </c>
      <c r="Z1935" s="171">
        <f>_xll.qlInterestRateIndexValueDate(IborIndex,Y1935,Trigger)</f>
        <v>52715</v>
      </c>
      <c r="AA1935" s="172">
        <v>9.6488009088388851E-3</v>
      </c>
      <c r="AB1935" s="169">
        <v>9.6435771905589718E-3</v>
      </c>
    </row>
    <row r="1936" spans="20:28" x14ac:dyDescent="0.2">
      <c r="T1936" s="130"/>
      <c r="U1936" s="151"/>
      <c r="X1936" s="170" t="str">
        <f t="shared" si="38"/>
        <v>1w</v>
      </c>
      <c r="Y1936" s="168">
        <f>_xll.qlCalendarAdvance(LiborCalendar,Y1935,X1936,"f",FALSE)</f>
        <v>52720</v>
      </c>
      <c r="Z1936" s="171">
        <f>_xll.qlInterestRateIndexValueDate(IborIndex,Y1936,Trigger)</f>
        <v>52722</v>
      </c>
      <c r="AA1936" s="172">
        <v>9.6479212951150473E-3</v>
      </c>
      <c r="AB1936" s="169">
        <v>9.6425069216454773E-3</v>
      </c>
    </row>
    <row r="1937" spans="20:28" x14ac:dyDescent="0.2">
      <c r="T1937" s="130"/>
      <c r="U1937" s="151"/>
      <c r="X1937" s="170" t="str">
        <f t="shared" si="38"/>
        <v>1w</v>
      </c>
      <c r="Y1937" s="168">
        <f>_xll.qlCalendarAdvance(LiborCalendar,Y1936,X1937,"f",FALSE)</f>
        <v>52727</v>
      </c>
      <c r="Z1937" s="171">
        <f>_xll.qlInterestRateIndexValueDate(IborIndex,Y1937,Trigger)</f>
        <v>52729</v>
      </c>
      <c r="AA1937" s="172">
        <v>9.6469974271998337E-3</v>
      </c>
      <c r="AB1937" s="169">
        <v>9.6414564725577634E-3</v>
      </c>
    </row>
    <row r="1938" spans="20:28" x14ac:dyDescent="0.2">
      <c r="T1938" s="130"/>
      <c r="U1938" s="151"/>
      <c r="X1938" s="170" t="str">
        <f t="shared" si="38"/>
        <v>1w</v>
      </c>
      <c r="Y1938" s="168">
        <f>_xll.qlCalendarAdvance(LiborCalendar,Y1937,X1938,"f",FALSE)</f>
        <v>52734</v>
      </c>
      <c r="Z1938" s="171">
        <f>_xll.qlInterestRateIndexValueDate(IborIndex,Y1938,Trigger)</f>
        <v>52736</v>
      </c>
      <c r="AA1938" s="172">
        <v>9.6460934276211621E-3</v>
      </c>
      <c r="AB1938" s="169">
        <v>9.640425843215894E-3</v>
      </c>
    </row>
    <row r="1939" spans="20:28" x14ac:dyDescent="0.2">
      <c r="T1939" s="130"/>
      <c r="U1939" s="151"/>
      <c r="X1939" s="170" t="str">
        <f t="shared" si="38"/>
        <v>1w</v>
      </c>
      <c r="Y1939" s="168">
        <f>_xll.qlCalendarAdvance(LiborCalendar,Y1938,X1939,"f",FALSE)</f>
        <v>52741</v>
      </c>
      <c r="Z1939" s="171">
        <f>_xll.qlInterestRateIndexValueDate(IborIndex,Y1939,Trigger)</f>
        <v>52744</v>
      </c>
      <c r="AA1939" s="172">
        <v>9.6452951214630305E-3</v>
      </c>
      <c r="AB1939" s="169">
        <v>9.639446224389836E-3</v>
      </c>
    </row>
    <row r="1940" spans="20:28" x14ac:dyDescent="0.2">
      <c r="T1940" s="130"/>
      <c r="U1940" s="151"/>
      <c r="X1940" s="170" t="str">
        <f t="shared" si="38"/>
        <v>1w</v>
      </c>
      <c r="Y1940" s="168">
        <f>_xll.qlCalendarAdvance(LiborCalendar,Y1939,X1940,"f",FALSE)</f>
        <v>52748</v>
      </c>
      <c r="Z1940" s="171">
        <f>_xll.qlInterestRateIndexValueDate(IborIndex,Y1940,Trigger)</f>
        <v>52750</v>
      </c>
      <c r="AA1940" s="172">
        <v>9.644345033423915E-3</v>
      </c>
      <c r="AB1940" s="169">
        <v>9.638424044009497E-3</v>
      </c>
    </row>
    <row r="1941" spans="20:28" x14ac:dyDescent="0.2">
      <c r="T1941" s="130"/>
      <c r="U1941" s="151"/>
      <c r="X1941" s="170" t="str">
        <f t="shared" ref="X1941:X2004" si="39">X1940</f>
        <v>1w</v>
      </c>
      <c r="Y1941" s="168">
        <f>_xll.qlCalendarAdvance(LiborCalendar,Y1940,X1941,"f",FALSE)</f>
        <v>52755</v>
      </c>
      <c r="Z1941" s="171">
        <f>_xll.qlInterestRateIndexValueDate(IborIndex,Y1941,Trigger)</f>
        <v>52757</v>
      </c>
      <c r="AA1941" s="172">
        <v>9.6435006387775371E-3</v>
      </c>
      <c r="AB1941" s="169">
        <v>9.6374528740650334E-3</v>
      </c>
    </row>
    <row r="1942" spans="20:28" x14ac:dyDescent="0.2">
      <c r="T1942" s="130"/>
      <c r="U1942" s="151"/>
      <c r="X1942" s="170" t="str">
        <f t="shared" si="39"/>
        <v>1w</v>
      </c>
      <c r="Y1942" s="168">
        <f>_xll.qlCalendarAdvance(LiborCalendar,Y1941,X1942,"f",FALSE)</f>
        <v>52762</v>
      </c>
      <c r="Z1942" s="171">
        <f>_xll.qlInterestRateIndexValueDate(IborIndex,Y1942,Trigger)</f>
        <v>52764</v>
      </c>
      <c r="AA1942" s="172">
        <v>9.6426761124155675E-3</v>
      </c>
      <c r="AB1942" s="169">
        <v>9.6365015239463503E-3</v>
      </c>
    </row>
    <row r="1943" spans="20:28" x14ac:dyDescent="0.2">
      <c r="T1943" s="130"/>
      <c r="U1943" s="151"/>
      <c r="X1943" s="170" t="str">
        <f t="shared" si="39"/>
        <v>1w</v>
      </c>
      <c r="Y1943" s="168">
        <f>_xll.qlCalendarAdvance(LiborCalendar,Y1942,X1943,"f",FALSE)</f>
        <v>52769</v>
      </c>
      <c r="Z1943" s="171">
        <f>_xll.qlInterestRateIndexValueDate(IborIndex,Y1943,Trigger)</f>
        <v>52771</v>
      </c>
      <c r="AA1943" s="172">
        <v>9.6418714543275805E-3</v>
      </c>
      <c r="AB1943" s="169">
        <v>9.6355699936534478E-3</v>
      </c>
    </row>
    <row r="1944" spans="20:28" x14ac:dyDescent="0.2">
      <c r="T1944" s="130"/>
      <c r="U1944" s="151"/>
      <c r="X1944" s="170" t="str">
        <f t="shared" si="39"/>
        <v>1w</v>
      </c>
      <c r="Y1944" s="168">
        <f>_xll.qlCalendarAdvance(LiborCalendar,Y1943,X1944,"f",FALSE)</f>
        <v>52776</v>
      </c>
      <c r="Z1944" s="171">
        <f>_xll.qlInterestRateIndexValueDate(IborIndex,Y1944,Trigger)</f>
        <v>52778</v>
      </c>
      <c r="AA1944" s="172">
        <v>9.6410866644979377E-3</v>
      </c>
      <c r="AB1944" s="169">
        <v>9.6346582831063898E-3</v>
      </c>
    </row>
    <row r="1945" spans="20:28" x14ac:dyDescent="0.2">
      <c r="T1945" s="130"/>
      <c r="U1945" s="151"/>
      <c r="X1945" s="170" t="str">
        <f t="shared" si="39"/>
        <v>1w</v>
      </c>
      <c r="Y1945" s="168">
        <f>_xll.qlCalendarAdvance(LiborCalendar,Y1944,X1945,"f",FALSE)</f>
        <v>52783</v>
      </c>
      <c r="Z1945" s="171">
        <f>_xll.qlInterestRateIndexValueDate(IborIndex,Y1945,Trigger)</f>
        <v>52785</v>
      </c>
      <c r="AA1945" s="172">
        <v>9.6403217429170789E-3</v>
      </c>
      <c r="AB1945" s="169">
        <v>9.6337663923851125E-3</v>
      </c>
    </row>
    <row r="1946" spans="20:28" x14ac:dyDescent="0.2">
      <c r="T1946" s="130"/>
      <c r="U1946" s="151"/>
      <c r="X1946" s="170" t="str">
        <f t="shared" si="39"/>
        <v>1w</v>
      </c>
      <c r="Y1946" s="168">
        <f>_xll.qlCalendarAdvance(LiborCalendar,Y1945,X1946,"f",FALSE)</f>
        <v>52790</v>
      </c>
      <c r="Z1946" s="171">
        <f>_xll.qlInterestRateIndexValueDate(IborIndex,Y1946,Trigger)</f>
        <v>52792</v>
      </c>
      <c r="AA1946" s="172">
        <v>9.639576689573711E-3</v>
      </c>
      <c r="AB1946" s="169">
        <v>9.6328943214896157E-3</v>
      </c>
    </row>
    <row r="1947" spans="20:28" x14ac:dyDescent="0.2">
      <c r="T1947" s="130"/>
      <c r="U1947" s="151"/>
      <c r="X1947" s="170" t="str">
        <f t="shared" si="39"/>
        <v>1w</v>
      </c>
      <c r="Y1947" s="168">
        <f>_xll.qlCalendarAdvance(LiborCalendar,Y1946,X1947,"f",FALSE)</f>
        <v>52797</v>
      </c>
      <c r="Z1947" s="171">
        <f>_xll.qlInterestRateIndexValueDate(IborIndex,Y1947,Trigger)</f>
        <v>52799</v>
      </c>
      <c r="AA1947" s="172">
        <v>9.6388515044539304E-3</v>
      </c>
      <c r="AB1947" s="169">
        <v>9.6320420703399634E-3</v>
      </c>
    </row>
    <row r="1948" spans="20:28" x14ac:dyDescent="0.2">
      <c r="T1948" s="130"/>
      <c r="U1948" s="151"/>
      <c r="X1948" s="170" t="str">
        <f t="shared" si="39"/>
        <v>1w</v>
      </c>
      <c r="Y1948" s="168">
        <f>_xll.qlCalendarAdvance(LiborCalendar,Y1947,X1948,"f",FALSE)</f>
        <v>52804</v>
      </c>
      <c r="Z1948" s="171">
        <f>_xll.qlInterestRateIndexValueDate(IborIndex,Y1948,Trigger)</f>
        <v>52806</v>
      </c>
      <c r="AA1948" s="172">
        <v>9.6381461875481803E-3</v>
      </c>
      <c r="AB1948" s="169">
        <v>9.6312096390160917E-3</v>
      </c>
    </row>
    <row r="1949" spans="20:28" x14ac:dyDescent="0.2">
      <c r="T1949" s="130"/>
      <c r="U1949" s="151"/>
      <c r="X1949" s="170" t="str">
        <f t="shared" si="39"/>
        <v>1w</v>
      </c>
      <c r="Y1949" s="168">
        <f>_xll.qlCalendarAdvance(LiborCalendar,Y1948,X1949,"f",FALSE)</f>
        <v>52811</v>
      </c>
      <c r="Z1949" s="171">
        <f>_xll.qlInterestRateIndexValueDate(IborIndex,Y1949,Trigger)</f>
        <v>52813</v>
      </c>
      <c r="AA1949" s="172">
        <v>9.6374607388460352E-3</v>
      </c>
      <c r="AB1949" s="169">
        <v>9.6303970274380646E-3</v>
      </c>
    </row>
    <row r="1950" spans="20:28" x14ac:dyDescent="0.2">
      <c r="T1950" s="130"/>
      <c r="U1950" s="151"/>
      <c r="X1950" s="170" t="str">
        <f t="shared" si="39"/>
        <v>1w</v>
      </c>
      <c r="Y1950" s="168">
        <f>_xll.qlCalendarAdvance(LiborCalendar,Y1949,X1950,"f",FALSE)</f>
        <v>52818</v>
      </c>
      <c r="Z1950" s="171">
        <f>_xll.qlInterestRateIndexValueDate(IborIndex,Y1950,Trigger)</f>
        <v>52820</v>
      </c>
      <c r="AA1950" s="172">
        <v>9.6367951583370658E-3</v>
      </c>
      <c r="AB1950" s="169">
        <v>9.629604235685818E-3</v>
      </c>
    </row>
    <row r="1951" spans="20:28" x14ac:dyDescent="0.2">
      <c r="T1951" s="130"/>
      <c r="U1951" s="151"/>
      <c r="X1951" s="170" t="str">
        <f t="shared" si="39"/>
        <v>1w</v>
      </c>
      <c r="Y1951" s="168">
        <f>_xll.qlCalendarAdvance(LiborCalendar,Y1950,X1951,"f",FALSE)</f>
        <v>52825</v>
      </c>
      <c r="Z1951" s="171">
        <f>_xll.qlInterestRateIndexValueDate(IborIndex,Y1951,Trigger)</f>
        <v>52827</v>
      </c>
      <c r="AA1951" s="172">
        <v>9.6361494460108499E-3</v>
      </c>
      <c r="AB1951" s="169">
        <v>9.6288312637593521E-3</v>
      </c>
    </row>
    <row r="1952" spans="20:28" x14ac:dyDescent="0.2">
      <c r="T1952" s="130"/>
      <c r="U1952" s="151"/>
      <c r="X1952" s="170" t="str">
        <f t="shared" si="39"/>
        <v>1w</v>
      </c>
      <c r="Y1952" s="168">
        <f>_xll.qlCalendarAdvance(LiborCalendar,Y1951,X1952,"f",FALSE)</f>
        <v>52832</v>
      </c>
      <c r="Z1952" s="171">
        <f>_xll.qlInterestRateIndexValueDate(IborIndex,Y1952,Trigger)</f>
        <v>52834</v>
      </c>
      <c r="AA1952" s="172">
        <v>9.6355236018578257E-3</v>
      </c>
      <c r="AB1952" s="169">
        <v>9.6280781115787306E-3</v>
      </c>
    </row>
    <row r="1953" spans="20:28" x14ac:dyDescent="0.2">
      <c r="T1953" s="130"/>
      <c r="U1953" s="151"/>
      <c r="X1953" s="170" t="str">
        <f t="shared" si="39"/>
        <v>1w</v>
      </c>
      <c r="Y1953" s="168">
        <f>_xll.qlCalendarAdvance(LiborCalendar,Y1952,X1953,"f",FALSE)</f>
        <v>52839</v>
      </c>
      <c r="Z1953" s="171">
        <f>_xll.qlInterestRateIndexValueDate(IborIndex,Y1953,Trigger)</f>
        <v>52841</v>
      </c>
      <c r="AA1953" s="172">
        <v>9.6348283322126149E-3</v>
      </c>
      <c r="AB1953" s="169">
        <v>9.6273447792238898E-3</v>
      </c>
    </row>
    <row r="1954" spans="20:28" x14ac:dyDescent="0.2">
      <c r="T1954" s="130"/>
      <c r="U1954" s="151"/>
      <c r="X1954" s="170" t="str">
        <f t="shared" si="39"/>
        <v>1w</v>
      </c>
      <c r="Y1954" s="168">
        <f>_xll.qlCalendarAdvance(LiborCalendar,Y1953,X1954,"f",FALSE)</f>
        <v>52846</v>
      </c>
      <c r="Z1954" s="171">
        <f>_xll.qlInterestRateIndexValueDate(IborIndex,Y1954,Trigger)</f>
        <v>52848</v>
      </c>
      <c r="AA1954" s="172">
        <v>9.6342408209290353E-3</v>
      </c>
      <c r="AB1954" s="169">
        <v>9.6266312666148934E-3</v>
      </c>
    </row>
    <row r="1955" spans="20:28" x14ac:dyDescent="0.2">
      <c r="T1955" s="130"/>
      <c r="U1955" s="151"/>
      <c r="X1955" s="170" t="str">
        <f t="shared" si="39"/>
        <v>1w</v>
      </c>
      <c r="Y1955" s="168">
        <f>_xll.qlCalendarAdvance(LiborCalendar,Y1954,X1955,"f",FALSE)</f>
        <v>52853</v>
      </c>
      <c r="Z1955" s="171">
        <f>_xll.qlInterestRateIndexValueDate(IborIndex,Y1955,Trigger)</f>
        <v>52855</v>
      </c>
      <c r="AA1955" s="172">
        <v>9.633673177258946E-3</v>
      </c>
      <c r="AB1955" s="169">
        <v>9.6259375738316777E-3</v>
      </c>
    </row>
    <row r="1956" spans="20:28" x14ac:dyDescent="0.2">
      <c r="T1956" s="130"/>
      <c r="U1956" s="151"/>
      <c r="X1956" s="170" t="str">
        <f t="shared" si="39"/>
        <v>1w</v>
      </c>
      <c r="Y1956" s="168">
        <f>_xll.qlCalendarAdvance(LiborCalendar,Y1955,X1956,"f",FALSE)</f>
        <v>52860</v>
      </c>
      <c r="Z1956" s="171">
        <f>_xll.qlInterestRateIndexValueDate(IborIndex,Y1956,Trigger)</f>
        <v>52862</v>
      </c>
      <c r="AA1956" s="172">
        <v>9.6331254011944381E-3</v>
      </c>
      <c r="AB1956" s="169">
        <v>9.6252637008742425E-3</v>
      </c>
    </row>
    <row r="1957" spans="20:28" x14ac:dyDescent="0.2">
      <c r="T1957" s="130"/>
      <c r="U1957" s="151"/>
      <c r="X1957" s="170" t="str">
        <f t="shared" si="39"/>
        <v>1w</v>
      </c>
      <c r="Y1957" s="168">
        <f>_xll.qlCalendarAdvance(LiborCalendar,Y1956,X1957,"f",FALSE)</f>
        <v>52867</v>
      </c>
      <c r="Z1957" s="171">
        <f>_xll.qlInterestRateIndexValueDate(IborIndex,Y1957,Trigger)</f>
        <v>52869</v>
      </c>
      <c r="AA1957" s="172">
        <v>9.6325974927267289E-3</v>
      </c>
      <c r="AB1957" s="169">
        <v>9.624609647742588E-3</v>
      </c>
    </row>
    <row r="1958" spans="20:28" x14ac:dyDescent="0.2">
      <c r="T1958" s="130"/>
      <c r="U1958" s="151"/>
      <c r="X1958" s="170" t="str">
        <f t="shared" si="39"/>
        <v>1w</v>
      </c>
      <c r="Y1958" s="168">
        <f>_xll.qlCalendarAdvance(LiborCalendar,Y1957,X1958,"f",FALSE)</f>
        <v>52874</v>
      </c>
      <c r="Z1958" s="171">
        <f>_xll.qlInterestRateIndexValueDate(IborIndex,Y1958,Trigger)</f>
        <v>52876</v>
      </c>
      <c r="AA1958" s="172">
        <v>9.6321857680597752E-3</v>
      </c>
      <c r="AB1958" s="169">
        <v>9.6239754142768419E-3</v>
      </c>
    </row>
    <row r="1959" spans="20:28" x14ac:dyDescent="0.2">
      <c r="T1959" s="130"/>
      <c r="U1959" s="151"/>
      <c r="X1959" s="170" t="str">
        <f t="shared" si="39"/>
        <v>1w</v>
      </c>
      <c r="Y1959" s="168">
        <f>_xll.qlCalendarAdvance(LiborCalendar,Y1958,X1959,"f",FALSE)</f>
        <v>52881</v>
      </c>
      <c r="Z1959" s="171">
        <f>_xll.qlInterestRateIndexValueDate(IborIndex,Y1959,Trigger)</f>
        <v>52883</v>
      </c>
      <c r="AA1959" s="172">
        <v>9.6316990008680024E-3</v>
      </c>
      <c r="AB1959" s="169">
        <v>9.6233610007168124E-3</v>
      </c>
    </row>
    <row r="1960" spans="20:28" x14ac:dyDescent="0.2">
      <c r="T1960" s="130"/>
      <c r="U1960" s="151"/>
      <c r="X1960" s="170" t="str">
        <f t="shared" si="39"/>
        <v>1w</v>
      </c>
      <c r="Y1960" s="168">
        <f>_xll.qlCalendarAdvance(LiborCalendar,Y1959,X1960,"f",FALSE)</f>
        <v>52888</v>
      </c>
      <c r="Z1960" s="171">
        <f>_xll.qlInterestRateIndexValueDate(IborIndex,Y1960,Trigger)</f>
        <v>52890</v>
      </c>
      <c r="AA1960" s="172">
        <v>9.6312321017816525E-3</v>
      </c>
      <c r="AB1960" s="169">
        <v>9.6227664069026275E-3</v>
      </c>
    </row>
    <row r="1961" spans="20:28" x14ac:dyDescent="0.2">
      <c r="T1961" s="130"/>
      <c r="U1961" s="151"/>
      <c r="X1961" s="170" t="str">
        <f t="shared" si="39"/>
        <v>1w</v>
      </c>
      <c r="Y1961" s="168">
        <f>_xll.qlCalendarAdvance(LiborCalendar,Y1960,X1961,"f",FALSE)</f>
        <v>52895</v>
      </c>
      <c r="Z1961" s="171">
        <f>_xll.qlInterestRateIndexValueDate(IborIndex,Y1961,Trigger)</f>
        <v>52897</v>
      </c>
      <c r="AA1961" s="172">
        <v>9.6307850707946438E-3</v>
      </c>
      <c r="AB1961" s="169">
        <v>9.6221916329142232E-3</v>
      </c>
    </row>
    <row r="1962" spans="20:28" x14ac:dyDescent="0.2">
      <c r="T1962" s="130"/>
      <c r="U1962" s="151"/>
      <c r="X1962" s="170" t="str">
        <f t="shared" si="39"/>
        <v>1w</v>
      </c>
      <c r="Y1962" s="168">
        <f>_xll.qlCalendarAdvance(LiborCalendar,Y1961,X1962,"f",FALSE)</f>
        <v>52902</v>
      </c>
      <c r="Z1962" s="171">
        <f>_xll.qlInterestRateIndexValueDate(IborIndex,Y1962,Trigger)</f>
        <v>52904</v>
      </c>
      <c r="AA1962" s="172">
        <v>9.6303579078974143E-3</v>
      </c>
      <c r="AB1962" s="169">
        <v>9.6216366786716634E-3</v>
      </c>
    </row>
    <row r="1963" spans="20:28" x14ac:dyDescent="0.2">
      <c r="T1963" s="130"/>
      <c r="U1963" s="151"/>
      <c r="X1963" s="170" t="str">
        <f t="shared" si="39"/>
        <v>1w</v>
      </c>
      <c r="Y1963" s="168">
        <f>_xll.qlCalendarAdvance(LiborCalendar,Y1962,X1963,"f",FALSE)</f>
        <v>52909</v>
      </c>
      <c r="Z1963" s="171">
        <f>_xll.qlInterestRateIndexValueDate(IborIndex,Y1963,Trigger)</f>
        <v>52911</v>
      </c>
      <c r="AA1963" s="172">
        <v>9.6299506130873621E-3</v>
      </c>
      <c r="AB1963" s="169">
        <v>9.6211015443348202E-3</v>
      </c>
    </row>
    <row r="1964" spans="20:28" x14ac:dyDescent="0.2">
      <c r="T1964" s="130"/>
      <c r="U1964" s="151"/>
      <c r="X1964" s="170" t="str">
        <f t="shared" si="39"/>
        <v>1w</v>
      </c>
      <c r="Y1964" s="168">
        <f>_xll.qlCalendarAdvance(LiborCalendar,Y1963,X1964,"f",FALSE)</f>
        <v>52916</v>
      </c>
      <c r="Z1964" s="171">
        <f>_xll.qlInterestRateIndexValueDate(IborIndex,Y1964,Trigger)</f>
        <v>52918</v>
      </c>
      <c r="AA1964" s="172">
        <v>9.6295631863540596E-3</v>
      </c>
      <c r="AB1964" s="169">
        <v>9.6205862296638855E-3</v>
      </c>
    </row>
    <row r="1965" spans="20:28" x14ac:dyDescent="0.2">
      <c r="T1965" s="130"/>
      <c r="U1965" s="151"/>
      <c r="X1965" s="170" t="str">
        <f t="shared" si="39"/>
        <v>1w</v>
      </c>
      <c r="Y1965" s="168">
        <f>_xll.qlCalendarAdvance(LiborCalendar,Y1964,X1965,"f",FALSE)</f>
        <v>52923</v>
      </c>
      <c r="Z1965" s="171">
        <f>_xll.qlInterestRateIndexValueDate(IborIndex,Y1965,Trigger)</f>
        <v>52925</v>
      </c>
      <c r="AA1965" s="172">
        <v>9.6291956276948979E-3</v>
      </c>
      <c r="AB1965" s="169">
        <v>9.6200907348187314E-3</v>
      </c>
    </row>
    <row r="1966" spans="20:28" x14ac:dyDescent="0.2">
      <c r="T1966" s="130"/>
      <c r="U1966" s="151"/>
      <c r="X1966" s="170" t="str">
        <f t="shared" si="39"/>
        <v>1w</v>
      </c>
      <c r="Y1966" s="168">
        <f>_xll.qlCalendarAdvance(LiborCalendar,Y1965,X1966,"f",FALSE)</f>
        <v>52930</v>
      </c>
      <c r="Z1966" s="171">
        <f>_xll.qlInterestRateIndexValueDate(IborIndex,Y1966,Trigger)</f>
        <v>52932</v>
      </c>
      <c r="AA1966" s="172">
        <v>9.6286329135857329E-3</v>
      </c>
      <c r="AB1966" s="169">
        <v>9.6196150597993579E-3</v>
      </c>
    </row>
    <row r="1967" spans="20:28" x14ac:dyDescent="0.2">
      <c r="T1967" s="130"/>
      <c r="U1967" s="151"/>
      <c r="X1967" s="170" t="str">
        <f t="shared" si="39"/>
        <v>1w</v>
      </c>
      <c r="Y1967" s="168">
        <f>_xll.qlCalendarAdvance(LiborCalendar,Y1966,X1967,"f",FALSE)</f>
        <v>52937</v>
      </c>
      <c r="Z1967" s="171">
        <f>_xll.qlInterestRateIndexValueDate(IborIndex,Y1967,Trigger)</f>
        <v>52939</v>
      </c>
      <c r="AA1967" s="172">
        <v>9.6283022704275467E-3</v>
      </c>
      <c r="AB1967" s="169">
        <v>9.619159204525829E-3</v>
      </c>
    </row>
    <row r="1968" spans="20:28" x14ac:dyDescent="0.2">
      <c r="T1968" s="130"/>
      <c r="U1968" s="151"/>
      <c r="X1968" s="170" t="str">
        <f t="shared" si="39"/>
        <v>1w</v>
      </c>
      <c r="Y1968" s="168">
        <f>_xll.qlCalendarAdvance(LiborCalendar,Y1967,X1968,"f",FALSE)</f>
        <v>52944</v>
      </c>
      <c r="Z1968" s="171">
        <f>_xll.qlInterestRateIndexValueDate(IborIndex,Y1968,Trigger)</f>
        <v>52946</v>
      </c>
      <c r="AA1968" s="172">
        <v>9.6279914942645206E-3</v>
      </c>
      <c r="AB1968" s="169">
        <v>9.6187231690780806E-3</v>
      </c>
    </row>
    <row r="1969" spans="20:28" x14ac:dyDescent="0.2">
      <c r="T1969" s="130"/>
      <c r="U1969" s="151"/>
      <c r="X1969" s="170" t="str">
        <f t="shared" si="39"/>
        <v>1w</v>
      </c>
      <c r="Y1969" s="168">
        <f>_xll.qlCalendarAdvance(LiborCalendar,Y1968,X1969,"f",FALSE)</f>
        <v>52951</v>
      </c>
      <c r="Z1969" s="171">
        <f>_xll.qlInterestRateIndexValueDate(IborIndex,Y1969,Trigger)</f>
        <v>52953</v>
      </c>
      <c r="AA1969" s="172">
        <v>9.6277005850939901E-3</v>
      </c>
      <c r="AB1969" s="169">
        <v>9.6183069534561128E-3</v>
      </c>
    </row>
    <row r="1970" spans="20:28" x14ac:dyDescent="0.2">
      <c r="T1970" s="130"/>
      <c r="U1970" s="151"/>
      <c r="X1970" s="170" t="str">
        <f t="shared" si="39"/>
        <v>1w</v>
      </c>
      <c r="Y1970" s="168">
        <f>_xll.qlCalendarAdvance(LiborCalendar,Y1969,X1970,"f",FALSE)</f>
        <v>52959</v>
      </c>
      <c r="Z1970" s="171">
        <f>_xll.qlInterestRateIndexValueDate(IborIndex,Y1970,Trigger)</f>
        <v>52961</v>
      </c>
      <c r="AA1970" s="172">
        <v>9.6275057340206339E-3</v>
      </c>
      <c r="AB1970" s="169">
        <v>9.6181594737876352E-3</v>
      </c>
    </row>
    <row r="1971" spans="20:28" x14ac:dyDescent="0.2">
      <c r="T1971" s="130"/>
      <c r="U1971" s="151"/>
      <c r="X1971" s="170" t="str">
        <f t="shared" si="39"/>
        <v>1w</v>
      </c>
      <c r="Y1971" s="168">
        <f>_xll.qlCalendarAdvance(LiborCalendar,Y1970,X1971,"f",FALSE)</f>
        <v>52966</v>
      </c>
      <c r="Z1971" s="171">
        <f>_xll.qlInterestRateIndexValueDate(IborIndex,Y1971,Trigger)</f>
        <v>52968</v>
      </c>
      <c r="AA1971" s="172">
        <v>9.6271441073296771E-3</v>
      </c>
      <c r="AB1971" s="169">
        <v>9.6176870962771943E-3</v>
      </c>
    </row>
    <row r="1972" spans="20:28" x14ac:dyDescent="0.2">
      <c r="T1972" s="130"/>
      <c r="U1972" s="151"/>
      <c r="X1972" s="170" t="str">
        <f t="shared" si="39"/>
        <v>1w</v>
      </c>
      <c r="Y1972" s="168">
        <f>_xll.qlCalendarAdvance(LiborCalendar,Y1971,X1972,"f",FALSE)</f>
        <v>52973</v>
      </c>
      <c r="Z1972" s="171">
        <f>_xll.qlInterestRateIndexValueDate(IborIndex,Y1972,Trigger)</f>
        <v>52975</v>
      </c>
      <c r="AA1972" s="172">
        <v>9.6269156372477127E-3</v>
      </c>
      <c r="AB1972" s="169">
        <v>9.6173359840445727E-3</v>
      </c>
    </row>
    <row r="1973" spans="20:28" x14ac:dyDescent="0.2">
      <c r="T1973" s="130"/>
      <c r="U1973" s="151"/>
      <c r="X1973" s="170" t="str">
        <f t="shared" si="39"/>
        <v>1w</v>
      </c>
      <c r="Y1973" s="168">
        <f>_xll.qlCalendarAdvance(LiborCalendar,Y1972,X1973,"f",FALSE)</f>
        <v>52980</v>
      </c>
      <c r="Z1973" s="171">
        <f>_xll.qlInterestRateIndexValueDate(IborIndex,Y1973,Trigger)</f>
        <v>52982</v>
      </c>
      <c r="AA1973" s="172">
        <v>9.626707034138704E-3</v>
      </c>
      <c r="AB1973" s="169">
        <v>9.6170046926769004E-3</v>
      </c>
    </row>
    <row r="1974" spans="20:28" x14ac:dyDescent="0.2">
      <c r="T1974" s="130"/>
      <c r="U1974" s="151"/>
      <c r="X1974" s="170" t="str">
        <f t="shared" si="39"/>
        <v>1w</v>
      </c>
      <c r="Y1974" s="168">
        <f>_xll.qlCalendarAdvance(LiborCalendar,Y1973,X1974,"f",FALSE)</f>
        <v>52987</v>
      </c>
      <c r="Z1974" s="171">
        <f>_xll.qlInterestRateIndexValueDate(IborIndex,Y1974,Trigger)</f>
        <v>52989</v>
      </c>
      <c r="AA1974" s="172">
        <v>9.6265182980026509E-3</v>
      </c>
      <c r="AB1974" s="169">
        <v>9.6166932221475321E-3</v>
      </c>
    </row>
    <row r="1975" spans="20:28" x14ac:dyDescent="0.2">
      <c r="T1975" s="130"/>
      <c r="U1975" s="151"/>
      <c r="X1975" s="170" t="str">
        <f t="shared" si="39"/>
        <v>1w</v>
      </c>
      <c r="Y1975" s="168">
        <f>_xll.qlCalendarAdvance(LiborCalendar,Y1974,X1975,"f",FALSE)</f>
        <v>52994</v>
      </c>
      <c r="Z1975" s="171">
        <f>_xll.qlInterestRateIndexValueDate(IborIndex,Y1975,Trigger)</f>
        <v>52996</v>
      </c>
      <c r="AA1975" s="172">
        <v>9.6262292085255996E-3</v>
      </c>
      <c r="AB1975" s="169">
        <v>9.6164015724564678E-3</v>
      </c>
    </row>
    <row r="1976" spans="20:28" x14ac:dyDescent="0.2">
      <c r="T1976" s="130"/>
      <c r="U1976" s="151"/>
      <c r="X1976" s="170" t="str">
        <f t="shared" si="39"/>
        <v>1w</v>
      </c>
      <c r="Y1976" s="168">
        <f>_xll.qlCalendarAdvance(LiborCalendar,Y1975,X1976,"f",FALSE)</f>
        <v>53001</v>
      </c>
      <c r="Z1976" s="171">
        <f>_xll.qlInterestRateIndexValueDate(IborIndex,Y1976,Trigger)</f>
        <v>53003</v>
      </c>
      <c r="AA1976" s="172">
        <v>9.6260787912739124E-3</v>
      </c>
      <c r="AB1976" s="169">
        <v>9.6161297436303528E-3</v>
      </c>
    </row>
    <row r="1977" spans="20:28" x14ac:dyDescent="0.2">
      <c r="T1977" s="130"/>
      <c r="U1977" s="151"/>
      <c r="X1977" s="170" t="str">
        <f t="shared" si="39"/>
        <v>1w</v>
      </c>
      <c r="Y1977" s="168">
        <f>_xll.qlCalendarAdvance(LiborCalendar,Y1976,X1977,"f",FALSE)</f>
        <v>53008</v>
      </c>
      <c r="Z1977" s="171">
        <f>_xll.qlInterestRateIndexValueDate(IborIndex,Y1977,Trigger)</f>
        <v>53010</v>
      </c>
      <c r="AA1977" s="172" t="e">
        <v>#N/A</v>
      </c>
      <c r="AB1977" s="169">
        <v>9.6158777356691871E-3</v>
      </c>
    </row>
    <row r="1978" spans="20:28" x14ac:dyDescent="0.2">
      <c r="T1978" s="130"/>
      <c r="U1978" s="151"/>
      <c r="X1978" s="170" t="str">
        <f t="shared" si="39"/>
        <v>1w</v>
      </c>
      <c r="Y1978" s="168">
        <f>_xll.qlCalendarAdvance(LiborCalendar,Y1977,X1978,"f",FALSE)</f>
        <v>53015</v>
      </c>
      <c r="Z1978" s="171">
        <f>_xll.qlInterestRateIndexValueDate(IborIndex,Y1978,Trigger)</f>
        <v>53017</v>
      </c>
      <c r="AA1978" s="172" t="e">
        <v>#N/A</v>
      </c>
      <c r="AB1978" s="169">
        <v>9.6156455485463255E-3</v>
      </c>
    </row>
    <row r="1979" spans="20:28" x14ac:dyDescent="0.2">
      <c r="T1979" s="130"/>
      <c r="U1979" s="151"/>
      <c r="X1979" s="170" t="str">
        <f t="shared" si="39"/>
        <v>1w</v>
      </c>
      <c r="Y1979" s="168">
        <f>_xll.qlCalendarAdvance(LiborCalendar,Y1978,X1979,"f",FALSE)</f>
        <v>53022</v>
      </c>
      <c r="Z1979" s="171">
        <f>_xll.qlInterestRateIndexValueDate(IborIndex,Y1979,Trigger)</f>
        <v>53024</v>
      </c>
      <c r="AA1979" s="172" t="e">
        <v>#N/A</v>
      </c>
      <c r="AB1979" s="169">
        <v>9.6154331822617678E-3</v>
      </c>
    </row>
    <row r="1980" spans="20:28" x14ac:dyDescent="0.2">
      <c r="T1980" s="130"/>
      <c r="U1980" s="151"/>
      <c r="X1980" s="170" t="str">
        <f t="shared" si="39"/>
        <v>1w</v>
      </c>
      <c r="Y1980" s="168">
        <f>_xll.qlCalendarAdvance(LiborCalendar,Y1979,X1980,"f",FALSE)</f>
        <v>53029</v>
      </c>
      <c r="Z1980" s="171">
        <f>_xll.qlInterestRateIndexValueDate(IborIndex,Y1980,Trigger)</f>
        <v>53031</v>
      </c>
      <c r="AA1980" s="172" t="e">
        <v>#N/A</v>
      </c>
      <c r="AB1980" s="169">
        <v>9.6152406368421595E-3</v>
      </c>
    </row>
    <row r="1981" spans="20:28" x14ac:dyDescent="0.2">
      <c r="T1981" s="130"/>
      <c r="U1981" s="151"/>
      <c r="X1981" s="170" t="str">
        <f t="shared" si="39"/>
        <v>1w</v>
      </c>
      <c r="Y1981" s="168">
        <f>_xll.qlCalendarAdvance(LiborCalendar,Y1980,X1981,"f",FALSE)</f>
        <v>53036</v>
      </c>
      <c r="Z1981" s="171">
        <f>_xll.qlInterestRateIndexValueDate(IborIndex,Y1981,Trigger)</f>
        <v>53038</v>
      </c>
      <c r="AA1981" s="172" t="e">
        <v>#N/A</v>
      </c>
      <c r="AB1981" s="169">
        <v>9.6150679123141458E-3</v>
      </c>
    </row>
    <row r="1982" spans="20:28" x14ac:dyDescent="0.2">
      <c r="T1982" s="130"/>
      <c r="U1982" s="151"/>
      <c r="X1982" s="170" t="str">
        <f t="shared" si="39"/>
        <v>1w</v>
      </c>
      <c r="Y1982" s="168">
        <f>_xll.qlCalendarAdvance(LiborCalendar,Y1981,X1982,"f",FALSE)</f>
        <v>53043</v>
      </c>
      <c r="Z1982" s="171">
        <f>_xll.qlInterestRateIndexValueDate(IborIndex,Y1982,Trigger)</f>
        <v>53045</v>
      </c>
      <c r="AA1982" s="172" t="e">
        <v>#N/A</v>
      </c>
      <c r="AB1982" s="169">
        <v>9.6149150085977908E-3</v>
      </c>
    </row>
    <row r="1983" spans="20:28" x14ac:dyDescent="0.2">
      <c r="T1983" s="130"/>
      <c r="U1983" s="151"/>
      <c r="X1983" s="170" t="str">
        <f t="shared" si="39"/>
        <v>1w</v>
      </c>
      <c r="Y1983" s="168">
        <f>_xll.qlCalendarAdvance(LiborCalendar,Y1982,X1983,"f",FALSE)</f>
        <v>53050</v>
      </c>
      <c r="Z1983" s="171">
        <f>_xll.qlInterestRateIndexValueDate(IborIndex,Y1983,Trigger)</f>
        <v>53052</v>
      </c>
      <c r="AA1983" s="172" t="e">
        <v>#N/A</v>
      </c>
      <c r="AB1983" s="169">
        <v>9.6147819257197398E-3</v>
      </c>
    </row>
    <row r="1984" spans="20:28" x14ac:dyDescent="0.2">
      <c r="T1984" s="130"/>
      <c r="U1984" s="151"/>
      <c r="X1984" s="170" t="str">
        <f t="shared" si="39"/>
        <v>1w</v>
      </c>
      <c r="Y1984" s="168">
        <f>_xll.qlCalendarAdvance(LiborCalendar,Y1983,X1984,"f",FALSE)</f>
        <v>53057</v>
      </c>
      <c r="Z1984" s="171">
        <f>_xll.qlInterestRateIndexValueDate(IborIndex,Y1984,Trigger)</f>
        <v>53063</v>
      </c>
      <c r="AA1984" s="172" t="e">
        <v>#N/A</v>
      </c>
      <c r="AB1984" s="169">
        <v>9.614369286383706E-3</v>
      </c>
    </row>
    <row r="1985" spans="20:28" x14ac:dyDescent="0.2">
      <c r="T1985" s="130"/>
      <c r="U1985" s="151"/>
      <c r="X1985" s="170" t="str">
        <f t="shared" si="39"/>
        <v>1w</v>
      </c>
      <c r="Y1985" s="168">
        <f>_xll.qlCalendarAdvance(LiborCalendar,Y1984,X1985,"f",FALSE)</f>
        <v>53064</v>
      </c>
      <c r="Z1985" s="171">
        <f>_xll.qlInterestRateIndexValueDate(IborIndex,Y1985,Trigger)</f>
        <v>53066</v>
      </c>
      <c r="AA1985" s="172" t="e">
        <v>#N/A</v>
      </c>
      <c r="AB1985" s="169">
        <v>9.6145752225318404E-3</v>
      </c>
    </row>
    <row r="1986" spans="20:28" x14ac:dyDescent="0.2">
      <c r="T1986" s="130"/>
      <c r="U1986" s="151"/>
      <c r="X1986" s="170" t="str">
        <f t="shared" si="39"/>
        <v>1w</v>
      </c>
      <c r="Y1986" s="168">
        <f>_xll.qlCalendarAdvance(LiborCalendar,Y1985,X1986,"f",FALSE)</f>
        <v>53071</v>
      </c>
      <c r="Z1986" s="171">
        <f>_xll.qlInterestRateIndexValueDate(IborIndex,Y1986,Trigger)</f>
        <v>53073</v>
      </c>
      <c r="AA1986" s="172" t="e">
        <v>#N/A</v>
      </c>
      <c r="AB1986" s="169">
        <v>9.6145016022486374E-3</v>
      </c>
    </row>
    <row r="1987" spans="20:28" x14ac:dyDescent="0.2">
      <c r="T1987" s="130"/>
      <c r="U1987" s="151"/>
      <c r="X1987" s="170" t="str">
        <f t="shared" si="39"/>
        <v>1w</v>
      </c>
      <c r="Y1987" s="168">
        <f>_xll.qlCalendarAdvance(LiborCalendar,Y1986,X1987,"f",FALSE)</f>
        <v>53078</v>
      </c>
      <c r="Z1987" s="171">
        <f>_xll.qlInterestRateIndexValueDate(IborIndex,Y1987,Trigger)</f>
        <v>53080</v>
      </c>
      <c r="AA1987" s="172" t="e">
        <v>#N/A</v>
      </c>
      <c r="AB1987" s="169">
        <v>9.6145732196140088E-3</v>
      </c>
    </row>
    <row r="1988" spans="20:28" x14ac:dyDescent="0.2">
      <c r="T1988" s="130"/>
      <c r="U1988" s="151"/>
      <c r="X1988" s="170" t="str">
        <f t="shared" si="39"/>
        <v>1w</v>
      </c>
      <c r="Y1988" s="168">
        <f>_xll.qlCalendarAdvance(LiborCalendar,Y1987,X1988,"f",FALSE)</f>
        <v>53085</v>
      </c>
      <c r="Z1988" s="171">
        <f>_xll.qlInterestRateIndexValueDate(IborIndex,Y1988,Trigger)</f>
        <v>53087</v>
      </c>
      <c r="AA1988" s="172" t="e">
        <v>#N/A</v>
      </c>
      <c r="AB1988" s="169">
        <v>9.6144138241971433E-3</v>
      </c>
    </row>
    <row r="1989" spans="20:28" x14ac:dyDescent="0.2">
      <c r="T1989" s="130"/>
      <c r="U1989" s="151"/>
      <c r="X1989" s="170" t="str">
        <f t="shared" si="39"/>
        <v>1w</v>
      </c>
      <c r="Y1989" s="168">
        <f>_xll.qlCalendarAdvance(LiborCalendar,Y1988,X1989,"f",FALSE)</f>
        <v>53092</v>
      </c>
      <c r="Z1989" s="171">
        <f>_xll.qlInterestRateIndexValueDate(IborIndex,Y1989,Trigger)</f>
        <v>53094</v>
      </c>
      <c r="AA1989" s="172" t="e">
        <v>#N/A</v>
      </c>
      <c r="AB1989" s="169">
        <v>9.6143996664288522E-3</v>
      </c>
    </row>
    <row r="1990" spans="20:28" x14ac:dyDescent="0.2">
      <c r="T1990" s="130"/>
      <c r="U1990" s="151"/>
      <c r="X1990" s="170" t="str">
        <f t="shared" si="39"/>
        <v>1w</v>
      </c>
      <c r="Y1990" s="168">
        <f>_xll.qlCalendarAdvance(LiborCalendar,Y1989,X1990,"f",FALSE)</f>
        <v>53099</v>
      </c>
      <c r="Z1990" s="171">
        <f>_xll.qlInterestRateIndexValueDate(IborIndex,Y1990,Trigger)</f>
        <v>53101</v>
      </c>
      <c r="AA1990" s="172" t="e">
        <v>#N/A</v>
      </c>
      <c r="AB1990" s="169" t="e">
        <v>#N/A</v>
      </c>
    </row>
    <row r="1991" spans="20:28" x14ac:dyDescent="0.2">
      <c r="T1991" s="130"/>
      <c r="U1991" s="151"/>
      <c r="X1991" s="170" t="str">
        <f t="shared" si="39"/>
        <v>1w</v>
      </c>
      <c r="Y1991" s="168">
        <f>_xll.qlCalendarAdvance(LiborCalendar,Y1990,X1991,"f",FALSE)</f>
        <v>53106</v>
      </c>
      <c r="Z1991" s="171">
        <f>_xll.qlInterestRateIndexValueDate(IborIndex,Y1991,Trigger)</f>
        <v>53108</v>
      </c>
      <c r="AA1991" s="172" t="e">
        <v>#N/A</v>
      </c>
      <c r="AB1991" s="169" t="e">
        <v>#N/A</v>
      </c>
    </row>
    <row r="1992" spans="20:28" x14ac:dyDescent="0.2">
      <c r="T1992" s="130"/>
      <c r="U1992" s="151"/>
      <c r="X1992" s="170" t="str">
        <f t="shared" si="39"/>
        <v>1w</v>
      </c>
      <c r="Y1992" s="168">
        <f>_xll.qlCalendarAdvance(LiborCalendar,Y1991,X1992,"f",FALSE)</f>
        <v>53113</v>
      </c>
      <c r="Z1992" s="171">
        <f>_xll.qlInterestRateIndexValueDate(IborIndex,Y1992,Trigger)</f>
        <v>53115</v>
      </c>
      <c r="AA1992" s="172" t="e">
        <v>#N/A</v>
      </c>
      <c r="AB1992" s="169" t="e">
        <v>#N/A</v>
      </c>
    </row>
    <row r="1993" spans="20:28" x14ac:dyDescent="0.2">
      <c r="T1993" s="130"/>
      <c r="U1993" s="151"/>
      <c r="X1993" s="170" t="str">
        <f t="shared" si="39"/>
        <v>1w</v>
      </c>
      <c r="Y1993" s="168">
        <f>_xll.qlCalendarAdvance(LiborCalendar,Y1992,X1993,"f",FALSE)</f>
        <v>53120</v>
      </c>
      <c r="Z1993" s="171">
        <f>_xll.qlInterestRateIndexValueDate(IborIndex,Y1993,Trigger)</f>
        <v>53122</v>
      </c>
      <c r="AA1993" s="172" t="e">
        <v>#N/A</v>
      </c>
      <c r="AB1993" s="169" t="e">
        <v>#N/A</v>
      </c>
    </row>
    <row r="1994" spans="20:28" x14ac:dyDescent="0.2">
      <c r="T1994" s="130"/>
      <c r="U1994" s="151"/>
      <c r="X1994" s="170" t="str">
        <f t="shared" si="39"/>
        <v>1w</v>
      </c>
      <c r="Y1994" s="168">
        <f>_xll.qlCalendarAdvance(LiborCalendar,Y1993,X1994,"f",FALSE)</f>
        <v>53127</v>
      </c>
      <c r="Z1994" s="171">
        <f>_xll.qlInterestRateIndexValueDate(IborIndex,Y1994,Trigger)</f>
        <v>53129</v>
      </c>
      <c r="AA1994" s="172" t="e">
        <v>#N/A</v>
      </c>
      <c r="AB1994" s="169" t="e">
        <v>#N/A</v>
      </c>
    </row>
    <row r="1995" spans="20:28" x14ac:dyDescent="0.2">
      <c r="T1995" s="130"/>
      <c r="U1995" s="151"/>
      <c r="X1995" s="170" t="str">
        <f t="shared" si="39"/>
        <v>1w</v>
      </c>
      <c r="Y1995" s="168">
        <f>_xll.qlCalendarAdvance(LiborCalendar,Y1994,X1995,"f",FALSE)</f>
        <v>53134</v>
      </c>
      <c r="Z1995" s="171">
        <f>_xll.qlInterestRateIndexValueDate(IborIndex,Y1995,Trigger)</f>
        <v>53136</v>
      </c>
      <c r="AA1995" s="172" t="e">
        <v>#N/A</v>
      </c>
      <c r="AB1995" s="169" t="e">
        <v>#N/A</v>
      </c>
    </row>
    <row r="1996" spans="20:28" x14ac:dyDescent="0.2">
      <c r="T1996" s="130"/>
      <c r="U1996" s="151"/>
      <c r="X1996" s="170" t="str">
        <f t="shared" si="39"/>
        <v>1w</v>
      </c>
      <c r="Y1996" s="168">
        <f>_xll.qlCalendarAdvance(LiborCalendar,Y1995,X1996,"f",FALSE)</f>
        <v>53141</v>
      </c>
      <c r="Z1996" s="171">
        <f>_xll.qlInterestRateIndexValueDate(IborIndex,Y1996,Trigger)</f>
        <v>53143</v>
      </c>
      <c r="AA1996" s="172" t="e">
        <v>#N/A</v>
      </c>
      <c r="AB1996" s="169" t="e">
        <v>#N/A</v>
      </c>
    </row>
    <row r="1997" spans="20:28" x14ac:dyDescent="0.2">
      <c r="T1997" s="130"/>
      <c r="U1997" s="151"/>
      <c r="X1997" s="170" t="str">
        <f t="shared" si="39"/>
        <v>1w</v>
      </c>
      <c r="Y1997" s="168">
        <f>_xll.qlCalendarAdvance(LiborCalendar,Y1996,X1997,"f",FALSE)</f>
        <v>53148</v>
      </c>
      <c r="Z1997" s="171">
        <f>_xll.qlInterestRateIndexValueDate(IborIndex,Y1997,Trigger)</f>
        <v>53150</v>
      </c>
      <c r="AA1997" s="172" t="e">
        <v>#N/A</v>
      </c>
      <c r="AB1997" s="169" t="e">
        <v>#N/A</v>
      </c>
    </row>
    <row r="1998" spans="20:28" x14ac:dyDescent="0.2">
      <c r="T1998" s="130"/>
      <c r="U1998" s="151"/>
      <c r="X1998" s="170" t="str">
        <f t="shared" si="39"/>
        <v>1w</v>
      </c>
      <c r="Y1998" s="168">
        <f>_xll.qlCalendarAdvance(LiborCalendar,Y1997,X1998,"f",FALSE)</f>
        <v>53155</v>
      </c>
      <c r="Z1998" s="171">
        <f>_xll.qlInterestRateIndexValueDate(IborIndex,Y1998,Trigger)</f>
        <v>53157</v>
      </c>
      <c r="AA1998" s="172" t="e">
        <v>#N/A</v>
      </c>
      <c r="AB1998" s="169" t="e">
        <v>#N/A</v>
      </c>
    </row>
    <row r="1999" spans="20:28" x14ac:dyDescent="0.2">
      <c r="T1999" s="130"/>
      <c r="U1999" s="151"/>
      <c r="X1999" s="170" t="str">
        <f t="shared" si="39"/>
        <v>1w</v>
      </c>
      <c r="Y1999" s="168">
        <f>_xll.qlCalendarAdvance(LiborCalendar,Y1998,X1999,"f",FALSE)</f>
        <v>53162</v>
      </c>
      <c r="Z1999" s="171">
        <f>_xll.qlInterestRateIndexValueDate(IborIndex,Y1999,Trigger)</f>
        <v>53164</v>
      </c>
      <c r="AA1999" s="172" t="e">
        <v>#N/A</v>
      </c>
      <c r="AB1999" s="169" t="e">
        <v>#N/A</v>
      </c>
    </row>
    <row r="2000" spans="20:28" x14ac:dyDescent="0.2">
      <c r="T2000" s="130"/>
      <c r="U2000" s="151"/>
      <c r="X2000" s="170" t="str">
        <f t="shared" si="39"/>
        <v>1w</v>
      </c>
      <c r="Y2000" s="168">
        <f>_xll.qlCalendarAdvance(LiborCalendar,Y1999,X2000,"f",FALSE)</f>
        <v>53169</v>
      </c>
      <c r="Z2000" s="171">
        <f>_xll.qlInterestRateIndexValueDate(IborIndex,Y2000,Trigger)</f>
        <v>53171</v>
      </c>
      <c r="AA2000" s="172" t="e">
        <v>#N/A</v>
      </c>
      <c r="AB2000" s="169" t="e">
        <v>#N/A</v>
      </c>
    </row>
    <row r="2001" spans="20:28" x14ac:dyDescent="0.2">
      <c r="T2001" s="130"/>
      <c r="U2001" s="151"/>
      <c r="X2001" s="170" t="str">
        <f t="shared" si="39"/>
        <v>1w</v>
      </c>
      <c r="Y2001" s="168">
        <f>_xll.qlCalendarAdvance(LiborCalendar,Y2000,X2001,"f",FALSE)</f>
        <v>53176</v>
      </c>
      <c r="Z2001" s="171">
        <f>_xll.qlInterestRateIndexValueDate(IborIndex,Y2001,Trigger)</f>
        <v>53178</v>
      </c>
      <c r="AA2001" s="172" t="e">
        <v>#N/A</v>
      </c>
      <c r="AB2001" s="169" t="e">
        <v>#N/A</v>
      </c>
    </row>
    <row r="2002" spans="20:28" x14ac:dyDescent="0.2">
      <c r="T2002" s="130"/>
      <c r="U2002" s="151"/>
      <c r="X2002" s="170" t="str">
        <f t="shared" si="39"/>
        <v>1w</v>
      </c>
      <c r="Y2002" s="168">
        <f>_xll.qlCalendarAdvance(LiborCalendar,Y2001,X2002,"f",FALSE)</f>
        <v>53183</v>
      </c>
      <c r="Z2002" s="171">
        <f>_xll.qlInterestRateIndexValueDate(IborIndex,Y2002,Trigger)</f>
        <v>53185</v>
      </c>
      <c r="AA2002" s="172" t="e">
        <v>#N/A</v>
      </c>
      <c r="AB2002" s="169" t="e">
        <v>#N/A</v>
      </c>
    </row>
    <row r="2003" spans="20:28" x14ac:dyDescent="0.2">
      <c r="T2003" s="130"/>
      <c r="U2003" s="151"/>
      <c r="X2003" s="170" t="str">
        <f t="shared" si="39"/>
        <v>1w</v>
      </c>
      <c r="Y2003" s="168">
        <f>_xll.qlCalendarAdvance(LiborCalendar,Y2002,X2003,"f",FALSE)</f>
        <v>53190</v>
      </c>
      <c r="Z2003" s="171">
        <f>_xll.qlInterestRateIndexValueDate(IborIndex,Y2003,Trigger)</f>
        <v>53192</v>
      </c>
      <c r="AA2003" s="172" t="e">
        <v>#N/A</v>
      </c>
      <c r="AB2003" s="169" t="e">
        <v>#N/A</v>
      </c>
    </row>
    <row r="2004" spans="20:28" x14ac:dyDescent="0.2">
      <c r="T2004" s="130"/>
      <c r="U2004" s="151"/>
      <c r="X2004" s="170" t="str">
        <f t="shared" si="39"/>
        <v>1w</v>
      </c>
      <c r="Y2004" s="168">
        <f>_xll.qlCalendarAdvance(LiborCalendar,Y2003,X2004,"f",FALSE)</f>
        <v>53197</v>
      </c>
      <c r="Z2004" s="171">
        <f>_xll.qlInterestRateIndexValueDate(IborIndex,Y2004,Trigger)</f>
        <v>53199</v>
      </c>
      <c r="AA2004" s="172" t="e">
        <v>#N/A</v>
      </c>
      <c r="AB2004" s="169" t="e">
        <v>#N/A</v>
      </c>
    </row>
    <row r="2005" spans="20:28" x14ac:dyDescent="0.2">
      <c r="T2005" s="130"/>
      <c r="U2005" s="151"/>
      <c r="X2005" s="170" t="str">
        <f t="shared" ref="X2005:X2068" si="40">X2004</f>
        <v>1w</v>
      </c>
      <c r="Y2005" s="168">
        <f>_xll.qlCalendarAdvance(LiborCalendar,Y2004,X2005,"f",FALSE)</f>
        <v>53204</v>
      </c>
      <c r="Z2005" s="171">
        <f>_xll.qlInterestRateIndexValueDate(IborIndex,Y2005,Trigger)</f>
        <v>53206</v>
      </c>
      <c r="AA2005" s="172" t="e">
        <v>#N/A</v>
      </c>
      <c r="AB2005" s="169" t="e">
        <v>#N/A</v>
      </c>
    </row>
    <row r="2006" spans="20:28" x14ac:dyDescent="0.2">
      <c r="T2006" s="130"/>
      <c r="U2006" s="151"/>
      <c r="X2006" s="170" t="str">
        <f t="shared" si="40"/>
        <v>1w</v>
      </c>
      <c r="Y2006" s="168">
        <f>_xll.qlCalendarAdvance(LiborCalendar,Y2005,X2006,"f",FALSE)</f>
        <v>53211</v>
      </c>
      <c r="Z2006" s="171">
        <f>_xll.qlInterestRateIndexValueDate(IborIndex,Y2006,Trigger)</f>
        <v>53213</v>
      </c>
      <c r="AA2006" s="172" t="e">
        <v>#N/A</v>
      </c>
      <c r="AB2006" s="169" t="e">
        <v>#N/A</v>
      </c>
    </row>
    <row r="2007" spans="20:28" x14ac:dyDescent="0.2">
      <c r="T2007" s="130"/>
      <c r="U2007" s="151"/>
      <c r="X2007" s="170" t="str">
        <f t="shared" si="40"/>
        <v>1w</v>
      </c>
      <c r="Y2007" s="168">
        <f>_xll.qlCalendarAdvance(LiborCalendar,Y2006,X2007,"f",FALSE)</f>
        <v>53218</v>
      </c>
      <c r="Z2007" s="171">
        <f>_xll.qlInterestRateIndexValueDate(IborIndex,Y2007,Trigger)</f>
        <v>53220</v>
      </c>
      <c r="AA2007" s="172" t="e">
        <v>#N/A</v>
      </c>
      <c r="AB2007" s="169" t="e">
        <v>#N/A</v>
      </c>
    </row>
    <row r="2008" spans="20:28" x14ac:dyDescent="0.2">
      <c r="T2008" s="130"/>
      <c r="U2008" s="151"/>
      <c r="X2008" s="170" t="str">
        <f t="shared" si="40"/>
        <v>1w</v>
      </c>
      <c r="Y2008" s="168">
        <f>_xll.qlCalendarAdvance(LiborCalendar,Y2007,X2008,"f",FALSE)</f>
        <v>53225</v>
      </c>
      <c r="Z2008" s="171">
        <f>_xll.qlInterestRateIndexValueDate(IborIndex,Y2008,Trigger)</f>
        <v>53227</v>
      </c>
      <c r="AA2008" s="172" t="e">
        <v>#N/A</v>
      </c>
      <c r="AB2008" s="169" t="e">
        <v>#N/A</v>
      </c>
    </row>
    <row r="2009" spans="20:28" x14ac:dyDescent="0.2">
      <c r="T2009" s="130"/>
      <c r="U2009" s="151"/>
      <c r="X2009" s="170" t="str">
        <f t="shared" si="40"/>
        <v>1w</v>
      </c>
      <c r="Y2009" s="168">
        <f>_xll.qlCalendarAdvance(LiborCalendar,Y2008,X2009,"f",FALSE)</f>
        <v>53232</v>
      </c>
      <c r="Z2009" s="171">
        <f>_xll.qlInterestRateIndexValueDate(IborIndex,Y2009,Trigger)</f>
        <v>53234</v>
      </c>
      <c r="AA2009" s="172" t="e">
        <v>#N/A</v>
      </c>
      <c r="AB2009" s="169" t="e">
        <v>#N/A</v>
      </c>
    </row>
    <row r="2010" spans="20:28" x14ac:dyDescent="0.2">
      <c r="T2010" s="130"/>
      <c r="U2010" s="151"/>
      <c r="X2010" s="170" t="str">
        <f t="shared" si="40"/>
        <v>1w</v>
      </c>
      <c r="Y2010" s="168">
        <f>_xll.qlCalendarAdvance(LiborCalendar,Y2009,X2010,"f",FALSE)</f>
        <v>53239</v>
      </c>
      <c r="Z2010" s="171">
        <f>_xll.qlInterestRateIndexValueDate(IborIndex,Y2010,Trigger)</f>
        <v>53241</v>
      </c>
      <c r="AA2010" s="172" t="e">
        <v>#N/A</v>
      </c>
      <c r="AB2010" s="169" t="e">
        <v>#N/A</v>
      </c>
    </row>
    <row r="2011" spans="20:28" x14ac:dyDescent="0.2">
      <c r="T2011" s="130"/>
      <c r="U2011" s="151"/>
      <c r="X2011" s="170" t="str">
        <f t="shared" si="40"/>
        <v>1w</v>
      </c>
      <c r="Y2011" s="168">
        <f>_xll.qlCalendarAdvance(LiborCalendar,Y2010,X2011,"f",FALSE)</f>
        <v>53246</v>
      </c>
      <c r="Z2011" s="171">
        <f>_xll.qlInterestRateIndexValueDate(IborIndex,Y2011,Trigger)</f>
        <v>53248</v>
      </c>
      <c r="AA2011" s="172" t="e">
        <v>#N/A</v>
      </c>
      <c r="AB2011" s="169" t="e">
        <v>#N/A</v>
      </c>
    </row>
    <row r="2012" spans="20:28" x14ac:dyDescent="0.2">
      <c r="T2012" s="130"/>
      <c r="U2012" s="151"/>
      <c r="X2012" s="170" t="str">
        <f t="shared" si="40"/>
        <v>1w</v>
      </c>
      <c r="Y2012" s="168">
        <f>_xll.qlCalendarAdvance(LiborCalendar,Y2011,X2012,"f",FALSE)</f>
        <v>53253</v>
      </c>
      <c r="Z2012" s="171">
        <f>_xll.qlInterestRateIndexValueDate(IborIndex,Y2012,Trigger)</f>
        <v>53255</v>
      </c>
      <c r="AA2012" s="172" t="e">
        <v>#N/A</v>
      </c>
      <c r="AB2012" s="169" t="e">
        <v>#N/A</v>
      </c>
    </row>
    <row r="2013" spans="20:28" x14ac:dyDescent="0.2">
      <c r="T2013" s="130"/>
      <c r="U2013" s="151"/>
      <c r="X2013" s="170" t="str">
        <f t="shared" si="40"/>
        <v>1w</v>
      </c>
      <c r="Y2013" s="168">
        <f>_xll.qlCalendarAdvance(LiborCalendar,Y2012,X2013,"f",FALSE)</f>
        <v>53260</v>
      </c>
      <c r="Z2013" s="171">
        <f>_xll.qlInterestRateIndexValueDate(IborIndex,Y2013,Trigger)</f>
        <v>53262</v>
      </c>
      <c r="AA2013" s="172" t="e">
        <v>#N/A</v>
      </c>
      <c r="AB2013" s="169" t="e">
        <v>#N/A</v>
      </c>
    </row>
    <row r="2014" spans="20:28" x14ac:dyDescent="0.2">
      <c r="T2014" s="130"/>
      <c r="U2014" s="151"/>
      <c r="X2014" s="170" t="str">
        <f t="shared" si="40"/>
        <v>1w</v>
      </c>
      <c r="Y2014" s="168">
        <f>_xll.qlCalendarAdvance(LiborCalendar,Y2013,X2014,"f",FALSE)</f>
        <v>53267</v>
      </c>
      <c r="Z2014" s="171">
        <f>_xll.qlInterestRateIndexValueDate(IborIndex,Y2014,Trigger)</f>
        <v>53269</v>
      </c>
      <c r="AA2014" s="172" t="e">
        <v>#N/A</v>
      </c>
      <c r="AB2014" s="169" t="e">
        <v>#N/A</v>
      </c>
    </row>
    <row r="2015" spans="20:28" x14ac:dyDescent="0.2">
      <c r="T2015" s="130"/>
      <c r="U2015" s="151"/>
      <c r="X2015" s="170" t="str">
        <f t="shared" si="40"/>
        <v>1w</v>
      </c>
      <c r="Y2015" s="168">
        <f>_xll.qlCalendarAdvance(LiborCalendar,Y2014,X2015,"f",FALSE)</f>
        <v>53274</v>
      </c>
      <c r="Z2015" s="171">
        <f>_xll.qlInterestRateIndexValueDate(IborIndex,Y2015,Trigger)</f>
        <v>53276</v>
      </c>
      <c r="AA2015" s="172" t="e">
        <v>#N/A</v>
      </c>
      <c r="AB2015" s="169" t="e">
        <v>#N/A</v>
      </c>
    </row>
    <row r="2016" spans="20:28" x14ac:dyDescent="0.2">
      <c r="T2016" s="130"/>
      <c r="U2016" s="151"/>
      <c r="X2016" s="170" t="str">
        <f t="shared" si="40"/>
        <v>1w</v>
      </c>
      <c r="Y2016" s="168">
        <f>_xll.qlCalendarAdvance(LiborCalendar,Y2015,X2016,"f",FALSE)</f>
        <v>53281</v>
      </c>
      <c r="Z2016" s="171">
        <f>_xll.qlInterestRateIndexValueDate(IborIndex,Y2016,Trigger)</f>
        <v>53283</v>
      </c>
      <c r="AA2016" s="172" t="e">
        <v>#N/A</v>
      </c>
      <c r="AB2016" s="169" t="e">
        <v>#N/A</v>
      </c>
    </row>
    <row r="2017" spans="20:28" x14ac:dyDescent="0.2">
      <c r="T2017" s="130"/>
      <c r="U2017" s="151"/>
      <c r="X2017" s="170" t="str">
        <f t="shared" si="40"/>
        <v>1w</v>
      </c>
      <c r="Y2017" s="168">
        <f>_xll.qlCalendarAdvance(LiborCalendar,Y2016,X2017,"f",FALSE)</f>
        <v>53288</v>
      </c>
      <c r="Z2017" s="171">
        <f>_xll.qlInterestRateIndexValueDate(IborIndex,Y2017,Trigger)</f>
        <v>53290</v>
      </c>
      <c r="AA2017" s="172" t="e">
        <v>#N/A</v>
      </c>
      <c r="AB2017" s="169" t="e">
        <v>#N/A</v>
      </c>
    </row>
    <row r="2018" spans="20:28" x14ac:dyDescent="0.2">
      <c r="T2018" s="130"/>
      <c r="U2018" s="151"/>
      <c r="X2018" s="170" t="str">
        <f t="shared" si="40"/>
        <v>1w</v>
      </c>
      <c r="Y2018" s="168">
        <f>_xll.qlCalendarAdvance(LiborCalendar,Y2017,X2018,"f",FALSE)</f>
        <v>53295</v>
      </c>
      <c r="Z2018" s="171">
        <f>_xll.qlInterestRateIndexValueDate(IborIndex,Y2018,Trigger)</f>
        <v>53297</v>
      </c>
      <c r="AA2018" s="172" t="e">
        <v>#N/A</v>
      </c>
      <c r="AB2018" s="169" t="e">
        <v>#N/A</v>
      </c>
    </row>
    <row r="2019" spans="20:28" x14ac:dyDescent="0.2">
      <c r="T2019" s="130"/>
      <c r="U2019" s="151"/>
      <c r="X2019" s="170" t="str">
        <f t="shared" si="40"/>
        <v>1w</v>
      </c>
      <c r="Y2019" s="168">
        <f>_xll.qlCalendarAdvance(LiborCalendar,Y2018,X2019,"f",FALSE)</f>
        <v>53302</v>
      </c>
      <c r="Z2019" s="171">
        <f>_xll.qlInterestRateIndexValueDate(IborIndex,Y2019,Trigger)</f>
        <v>53304</v>
      </c>
      <c r="AA2019" s="172" t="e">
        <v>#N/A</v>
      </c>
      <c r="AB2019" s="169" t="e">
        <v>#N/A</v>
      </c>
    </row>
    <row r="2020" spans="20:28" x14ac:dyDescent="0.2">
      <c r="T2020" s="130"/>
      <c r="U2020" s="151"/>
      <c r="X2020" s="170" t="str">
        <f t="shared" si="40"/>
        <v>1w</v>
      </c>
      <c r="Y2020" s="168">
        <f>_xll.qlCalendarAdvance(LiborCalendar,Y2019,X2020,"f",FALSE)</f>
        <v>53309</v>
      </c>
      <c r="Z2020" s="171">
        <f>_xll.qlInterestRateIndexValueDate(IborIndex,Y2020,Trigger)</f>
        <v>53311</v>
      </c>
      <c r="AA2020" s="172" t="e">
        <v>#N/A</v>
      </c>
      <c r="AB2020" s="169" t="e">
        <v>#N/A</v>
      </c>
    </row>
    <row r="2021" spans="20:28" x14ac:dyDescent="0.2">
      <c r="T2021" s="130"/>
      <c r="U2021" s="151"/>
      <c r="X2021" s="170" t="str">
        <f t="shared" si="40"/>
        <v>1w</v>
      </c>
      <c r="Y2021" s="168">
        <f>_xll.qlCalendarAdvance(LiborCalendar,Y2020,X2021,"f",FALSE)</f>
        <v>53316</v>
      </c>
      <c r="Z2021" s="171">
        <f>_xll.qlInterestRateIndexValueDate(IborIndex,Y2021,Trigger)</f>
        <v>53318</v>
      </c>
      <c r="AA2021" s="172" t="e">
        <v>#N/A</v>
      </c>
      <c r="AB2021" s="169" t="e">
        <v>#N/A</v>
      </c>
    </row>
    <row r="2022" spans="20:28" x14ac:dyDescent="0.2">
      <c r="T2022" s="130"/>
      <c r="U2022" s="151"/>
      <c r="X2022" s="170" t="str">
        <f t="shared" si="40"/>
        <v>1w</v>
      </c>
      <c r="Y2022" s="168">
        <f>_xll.qlCalendarAdvance(LiborCalendar,Y2021,X2022,"f",FALSE)</f>
        <v>53323</v>
      </c>
      <c r="Z2022" s="171">
        <f>_xll.qlInterestRateIndexValueDate(IborIndex,Y2022,Trigger)</f>
        <v>53325</v>
      </c>
      <c r="AA2022" s="172" t="e">
        <v>#N/A</v>
      </c>
      <c r="AB2022" s="169" t="e">
        <v>#N/A</v>
      </c>
    </row>
    <row r="2023" spans="20:28" x14ac:dyDescent="0.2">
      <c r="T2023" s="130"/>
      <c r="U2023" s="151"/>
      <c r="X2023" s="170" t="str">
        <f t="shared" si="40"/>
        <v>1w</v>
      </c>
      <c r="Y2023" s="168">
        <f>_xll.qlCalendarAdvance(LiborCalendar,Y2022,X2023,"f",FALSE)</f>
        <v>53330</v>
      </c>
      <c r="Z2023" s="171">
        <f>_xll.qlInterestRateIndexValueDate(IborIndex,Y2023,Trigger)</f>
        <v>53332</v>
      </c>
      <c r="AA2023" s="172" t="e">
        <v>#N/A</v>
      </c>
      <c r="AB2023" s="169" t="e">
        <v>#N/A</v>
      </c>
    </row>
    <row r="2024" spans="20:28" x14ac:dyDescent="0.2">
      <c r="T2024" s="130"/>
      <c r="U2024" s="151"/>
      <c r="X2024" s="170" t="str">
        <f t="shared" si="40"/>
        <v>1w</v>
      </c>
      <c r="Y2024" s="168">
        <f>_xll.qlCalendarAdvance(LiborCalendar,Y2023,X2024,"f",FALSE)</f>
        <v>53337</v>
      </c>
      <c r="Z2024" s="171">
        <f>_xll.qlInterestRateIndexValueDate(IborIndex,Y2024,Trigger)</f>
        <v>53339</v>
      </c>
      <c r="AA2024" s="172" t="e">
        <v>#N/A</v>
      </c>
      <c r="AB2024" s="169" t="e">
        <v>#N/A</v>
      </c>
    </row>
    <row r="2025" spans="20:28" x14ac:dyDescent="0.2">
      <c r="T2025" s="130"/>
      <c r="U2025" s="151"/>
      <c r="X2025" s="170" t="str">
        <f t="shared" si="40"/>
        <v>1w</v>
      </c>
      <c r="Y2025" s="168">
        <f>_xll.qlCalendarAdvance(LiborCalendar,Y2024,X2025,"f",FALSE)</f>
        <v>53344</v>
      </c>
      <c r="Z2025" s="171">
        <f>_xll.qlInterestRateIndexValueDate(IborIndex,Y2025,Trigger)</f>
        <v>53346</v>
      </c>
      <c r="AA2025" s="172" t="e">
        <v>#N/A</v>
      </c>
      <c r="AB2025" s="169" t="e">
        <v>#N/A</v>
      </c>
    </row>
    <row r="2026" spans="20:28" x14ac:dyDescent="0.2">
      <c r="T2026" s="130"/>
      <c r="U2026" s="151"/>
      <c r="X2026" s="170" t="str">
        <f t="shared" si="40"/>
        <v>1w</v>
      </c>
      <c r="Y2026" s="168">
        <f>_xll.qlCalendarAdvance(LiborCalendar,Y2025,X2026,"f",FALSE)</f>
        <v>53351</v>
      </c>
      <c r="Z2026" s="171">
        <f>_xll.qlInterestRateIndexValueDate(IborIndex,Y2026,Trigger)</f>
        <v>53353</v>
      </c>
      <c r="AA2026" s="172" t="e">
        <v>#N/A</v>
      </c>
      <c r="AB2026" s="169" t="e">
        <v>#N/A</v>
      </c>
    </row>
    <row r="2027" spans="20:28" x14ac:dyDescent="0.2">
      <c r="T2027" s="130"/>
      <c r="U2027" s="151"/>
      <c r="X2027" s="170" t="str">
        <f t="shared" si="40"/>
        <v>1w</v>
      </c>
      <c r="Y2027" s="168">
        <f>_xll.qlCalendarAdvance(LiborCalendar,Y2026,X2027,"f",FALSE)</f>
        <v>53358</v>
      </c>
      <c r="Z2027" s="171">
        <f>_xll.qlInterestRateIndexValueDate(IborIndex,Y2027,Trigger)</f>
        <v>53360</v>
      </c>
      <c r="AA2027" s="172" t="e">
        <v>#N/A</v>
      </c>
      <c r="AB2027" s="169" t="e">
        <v>#N/A</v>
      </c>
    </row>
    <row r="2028" spans="20:28" x14ac:dyDescent="0.2">
      <c r="T2028" s="130"/>
      <c r="U2028" s="151"/>
      <c r="X2028" s="170" t="str">
        <f t="shared" si="40"/>
        <v>1w</v>
      </c>
      <c r="Y2028" s="168">
        <f>_xll.qlCalendarAdvance(LiborCalendar,Y2027,X2028,"f",FALSE)</f>
        <v>53365</v>
      </c>
      <c r="Z2028" s="171">
        <f>_xll.qlInterestRateIndexValueDate(IborIndex,Y2028,Trigger)</f>
        <v>53367</v>
      </c>
      <c r="AA2028" s="172" t="e">
        <v>#N/A</v>
      </c>
      <c r="AB2028" s="169" t="e">
        <v>#N/A</v>
      </c>
    </row>
    <row r="2029" spans="20:28" x14ac:dyDescent="0.2">
      <c r="T2029" s="130"/>
      <c r="U2029" s="151"/>
      <c r="X2029" s="170" t="str">
        <f t="shared" si="40"/>
        <v>1w</v>
      </c>
      <c r="Y2029" s="168">
        <f>_xll.qlCalendarAdvance(LiborCalendar,Y2028,X2029,"f",FALSE)</f>
        <v>53372</v>
      </c>
      <c r="Z2029" s="171">
        <f>_xll.qlInterestRateIndexValueDate(IborIndex,Y2029,Trigger)</f>
        <v>53374</v>
      </c>
      <c r="AA2029" s="172" t="e">
        <v>#N/A</v>
      </c>
      <c r="AB2029" s="169" t="e">
        <v>#N/A</v>
      </c>
    </row>
    <row r="2030" spans="20:28" x14ac:dyDescent="0.2">
      <c r="T2030" s="130"/>
      <c r="U2030" s="151"/>
      <c r="X2030" s="170" t="str">
        <f t="shared" si="40"/>
        <v>1w</v>
      </c>
      <c r="Y2030" s="168">
        <f>_xll.qlCalendarAdvance(LiborCalendar,Y2029,X2030,"f",FALSE)</f>
        <v>53379</v>
      </c>
      <c r="Z2030" s="171">
        <f>_xll.qlInterestRateIndexValueDate(IborIndex,Y2030,Trigger)</f>
        <v>53381</v>
      </c>
      <c r="AA2030" s="172" t="e">
        <v>#N/A</v>
      </c>
      <c r="AB2030" s="169" t="e">
        <v>#N/A</v>
      </c>
    </row>
    <row r="2031" spans="20:28" x14ac:dyDescent="0.2">
      <c r="T2031" s="130"/>
      <c r="U2031" s="151"/>
      <c r="X2031" s="170" t="str">
        <f t="shared" si="40"/>
        <v>1w</v>
      </c>
      <c r="Y2031" s="168">
        <f>_xll.qlCalendarAdvance(LiborCalendar,Y2030,X2031,"f",FALSE)</f>
        <v>53386</v>
      </c>
      <c r="Z2031" s="171">
        <f>_xll.qlInterestRateIndexValueDate(IborIndex,Y2031,Trigger)</f>
        <v>53388</v>
      </c>
      <c r="AA2031" s="172" t="e">
        <v>#N/A</v>
      </c>
      <c r="AB2031" s="169" t="e">
        <v>#N/A</v>
      </c>
    </row>
    <row r="2032" spans="20:28" x14ac:dyDescent="0.2">
      <c r="T2032" s="130"/>
      <c r="U2032" s="151"/>
      <c r="X2032" s="170" t="str">
        <f t="shared" si="40"/>
        <v>1w</v>
      </c>
      <c r="Y2032" s="168">
        <f>_xll.qlCalendarAdvance(LiborCalendar,Y2031,X2032,"f",FALSE)</f>
        <v>53393</v>
      </c>
      <c r="Z2032" s="171">
        <f>_xll.qlInterestRateIndexValueDate(IborIndex,Y2032,Trigger)</f>
        <v>53395</v>
      </c>
      <c r="AA2032" s="172" t="e">
        <v>#N/A</v>
      </c>
      <c r="AB2032" s="169" t="e">
        <v>#N/A</v>
      </c>
    </row>
    <row r="2033" spans="20:28" x14ac:dyDescent="0.2">
      <c r="T2033" s="130"/>
      <c r="U2033" s="151"/>
      <c r="X2033" s="170" t="str">
        <f t="shared" si="40"/>
        <v>1w</v>
      </c>
      <c r="Y2033" s="168">
        <f>_xll.qlCalendarAdvance(LiborCalendar,Y2032,X2033,"f",FALSE)</f>
        <v>53400</v>
      </c>
      <c r="Z2033" s="171">
        <f>_xll.qlInterestRateIndexValueDate(IborIndex,Y2033,Trigger)</f>
        <v>53402</v>
      </c>
      <c r="AA2033" s="172" t="e">
        <v>#N/A</v>
      </c>
      <c r="AB2033" s="169" t="e">
        <v>#N/A</v>
      </c>
    </row>
    <row r="2034" spans="20:28" x14ac:dyDescent="0.2">
      <c r="T2034" s="130"/>
      <c r="U2034" s="151"/>
      <c r="X2034" s="170" t="str">
        <f t="shared" si="40"/>
        <v>1w</v>
      </c>
      <c r="Y2034" s="168">
        <f>_xll.qlCalendarAdvance(LiborCalendar,Y2033,X2034,"f",FALSE)</f>
        <v>53407</v>
      </c>
      <c r="Z2034" s="171">
        <f>_xll.qlInterestRateIndexValueDate(IborIndex,Y2034,Trigger)</f>
        <v>53413</v>
      </c>
      <c r="AA2034" s="172" t="e">
        <v>#N/A</v>
      </c>
      <c r="AB2034" s="169" t="e">
        <v>#N/A</v>
      </c>
    </row>
    <row r="2035" spans="20:28" x14ac:dyDescent="0.2">
      <c r="T2035" s="130"/>
      <c r="U2035" s="151"/>
      <c r="X2035" s="170" t="str">
        <f t="shared" si="40"/>
        <v>1w</v>
      </c>
      <c r="Y2035" s="168">
        <f>_xll.qlCalendarAdvance(LiborCalendar,Y2034,X2035,"f",FALSE)</f>
        <v>53414</v>
      </c>
      <c r="Z2035" s="171">
        <f>_xll.qlInterestRateIndexValueDate(IborIndex,Y2035,Trigger)</f>
        <v>53416</v>
      </c>
      <c r="AA2035" s="172" t="e">
        <v>#N/A</v>
      </c>
      <c r="AB2035" s="169" t="e">
        <v>#N/A</v>
      </c>
    </row>
    <row r="2036" spans="20:28" x14ac:dyDescent="0.2">
      <c r="T2036" s="130"/>
      <c r="U2036" s="151"/>
      <c r="X2036" s="170" t="str">
        <f t="shared" si="40"/>
        <v>1w</v>
      </c>
      <c r="Y2036" s="168">
        <f>_xll.qlCalendarAdvance(LiborCalendar,Y2035,X2036,"f",FALSE)</f>
        <v>53421</v>
      </c>
      <c r="Z2036" s="171">
        <f>_xll.qlInterestRateIndexValueDate(IborIndex,Y2036,Trigger)</f>
        <v>53423</v>
      </c>
      <c r="AA2036" s="172" t="e">
        <v>#N/A</v>
      </c>
      <c r="AB2036" s="169" t="e">
        <v>#N/A</v>
      </c>
    </row>
    <row r="2037" spans="20:28" x14ac:dyDescent="0.2">
      <c r="T2037" s="130"/>
      <c r="U2037" s="151"/>
      <c r="X2037" s="170" t="str">
        <f t="shared" si="40"/>
        <v>1w</v>
      </c>
      <c r="Y2037" s="168">
        <f>_xll.qlCalendarAdvance(LiborCalendar,Y2036,X2037,"f",FALSE)</f>
        <v>53428</v>
      </c>
      <c r="Z2037" s="171">
        <f>_xll.qlInterestRateIndexValueDate(IborIndex,Y2037,Trigger)</f>
        <v>53430</v>
      </c>
      <c r="AA2037" s="172" t="e">
        <v>#N/A</v>
      </c>
      <c r="AB2037" s="169" t="e">
        <v>#N/A</v>
      </c>
    </row>
    <row r="2038" spans="20:28" x14ac:dyDescent="0.2">
      <c r="T2038" s="130"/>
      <c r="U2038" s="151"/>
      <c r="X2038" s="170" t="str">
        <f t="shared" si="40"/>
        <v>1w</v>
      </c>
      <c r="Y2038" s="168">
        <f>_xll.qlCalendarAdvance(LiborCalendar,Y2037,X2038,"f",FALSE)</f>
        <v>53435</v>
      </c>
      <c r="Z2038" s="171">
        <f>_xll.qlInterestRateIndexValueDate(IborIndex,Y2038,Trigger)</f>
        <v>53437</v>
      </c>
      <c r="AA2038" s="172" t="e">
        <v>#N/A</v>
      </c>
      <c r="AB2038" s="169" t="e">
        <v>#N/A</v>
      </c>
    </row>
    <row r="2039" spans="20:28" x14ac:dyDescent="0.2">
      <c r="T2039" s="130"/>
      <c r="U2039" s="151"/>
      <c r="X2039" s="170" t="str">
        <f t="shared" si="40"/>
        <v>1w</v>
      </c>
      <c r="Y2039" s="168">
        <f>_xll.qlCalendarAdvance(LiborCalendar,Y2038,X2039,"f",FALSE)</f>
        <v>53442</v>
      </c>
      <c r="Z2039" s="171">
        <f>_xll.qlInterestRateIndexValueDate(IborIndex,Y2039,Trigger)</f>
        <v>53444</v>
      </c>
      <c r="AA2039" s="172" t="e">
        <v>#N/A</v>
      </c>
      <c r="AB2039" s="169" t="e">
        <v>#N/A</v>
      </c>
    </row>
    <row r="2040" spans="20:28" x14ac:dyDescent="0.2">
      <c r="T2040" s="130"/>
      <c r="U2040" s="151"/>
      <c r="X2040" s="170" t="str">
        <f t="shared" si="40"/>
        <v>1w</v>
      </c>
      <c r="Y2040" s="168">
        <f>_xll.qlCalendarAdvance(LiborCalendar,Y2039,X2040,"f",FALSE)</f>
        <v>53449</v>
      </c>
      <c r="Z2040" s="171">
        <f>_xll.qlInterestRateIndexValueDate(IborIndex,Y2040,Trigger)</f>
        <v>53451</v>
      </c>
      <c r="AA2040" s="172" t="e">
        <v>#N/A</v>
      </c>
      <c r="AB2040" s="169" t="e">
        <v>#N/A</v>
      </c>
    </row>
    <row r="2041" spans="20:28" x14ac:dyDescent="0.2">
      <c r="T2041" s="130"/>
      <c r="U2041" s="151"/>
      <c r="X2041" s="170" t="str">
        <f t="shared" si="40"/>
        <v>1w</v>
      </c>
      <c r="Y2041" s="168">
        <f>_xll.qlCalendarAdvance(LiborCalendar,Y2040,X2041,"f",FALSE)</f>
        <v>53456</v>
      </c>
      <c r="Z2041" s="171">
        <f>_xll.qlInterestRateIndexValueDate(IborIndex,Y2041,Trigger)</f>
        <v>53458</v>
      </c>
      <c r="AA2041" s="172" t="e">
        <v>#N/A</v>
      </c>
      <c r="AB2041" s="169" t="e">
        <v>#N/A</v>
      </c>
    </row>
    <row r="2042" spans="20:28" x14ac:dyDescent="0.2">
      <c r="T2042" s="130"/>
      <c r="U2042" s="151"/>
      <c r="X2042" s="170" t="str">
        <f t="shared" si="40"/>
        <v>1w</v>
      </c>
      <c r="Y2042" s="168">
        <f>_xll.qlCalendarAdvance(LiborCalendar,Y2041,X2042,"f",FALSE)</f>
        <v>53463</v>
      </c>
      <c r="Z2042" s="171">
        <f>_xll.qlInterestRateIndexValueDate(IborIndex,Y2042,Trigger)</f>
        <v>53465</v>
      </c>
      <c r="AA2042" s="172" t="e">
        <v>#N/A</v>
      </c>
      <c r="AB2042" s="169" t="e">
        <v>#N/A</v>
      </c>
    </row>
    <row r="2043" spans="20:28" x14ac:dyDescent="0.2">
      <c r="T2043" s="130"/>
      <c r="U2043" s="151"/>
      <c r="X2043" s="170" t="str">
        <f t="shared" si="40"/>
        <v>1w</v>
      </c>
      <c r="Y2043" s="168">
        <f>_xll.qlCalendarAdvance(LiborCalendar,Y2042,X2043,"f",FALSE)</f>
        <v>53470</v>
      </c>
      <c r="Z2043" s="171">
        <f>_xll.qlInterestRateIndexValueDate(IborIndex,Y2043,Trigger)</f>
        <v>53472</v>
      </c>
      <c r="AA2043" s="172" t="e">
        <v>#N/A</v>
      </c>
      <c r="AB2043" s="169" t="e">
        <v>#N/A</v>
      </c>
    </row>
    <row r="2044" spans="20:28" x14ac:dyDescent="0.2">
      <c r="T2044" s="130"/>
      <c r="U2044" s="151"/>
      <c r="X2044" s="170" t="str">
        <f t="shared" si="40"/>
        <v>1w</v>
      </c>
      <c r="Y2044" s="168">
        <f>_xll.qlCalendarAdvance(LiborCalendar,Y2043,X2044,"f",FALSE)</f>
        <v>53477</v>
      </c>
      <c r="Z2044" s="171">
        <f>_xll.qlInterestRateIndexValueDate(IborIndex,Y2044,Trigger)</f>
        <v>53479</v>
      </c>
      <c r="AA2044" s="172" t="e">
        <v>#N/A</v>
      </c>
      <c r="AB2044" s="169" t="e">
        <v>#N/A</v>
      </c>
    </row>
    <row r="2045" spans="20:28" x14ac:dyDescent="0.2">
      <c r="T2045" s="130"/>
      <c r="U2045" s="151"/>
      <c r="X2045" s="170" t="str">
        <f t="shared" si="40"/>
        <v>1w</v>
      </c>
      <c r="Y2045" s="168">
        <f>_xll.qlCalendarAdvance(LiborCalendar,Y2044,X2045,"f",FALSE)</f>
        <v>53484</v>
      </c>
      <c r="Z2045" s="171">
        <f>_xll.qlInterestRateIndexValueDate(IborIndex,Y2045,Trigger)</f>
        <v>53486</v>
      </c>
      <c r="AA2045" s="172" t="e">
        <v>#N/A</v>
      </c>
      <c r="AB2045" s="169" t="e">
        <v>#N/A</v>
      </c>
    </row>
    <row r="2046" spans="20:28" x14ac:dyDescent="0.2">
      <c r="T2046" s="130"/>
      <c r="U2046" s="151"/>
      <c r="X2046" s="170" t="str">
        <f t="shared" si="40"/>
        <v>1w</v>
      </c>
      <c r="Y2046" s="168">
        <f>_xll.qlCalendarAdvance(LiborCalendar,Y2045,X2046,"f",FALSE)</f>
        <v>53491</v>
      </c>
      <c r="Z2046" s="171">
        <f>_xll.qlInterestRateIndexValueDate(IborIndex,Y2046,Trigger)</f>
        <v>53493</v>
      </c>
      <c r="AA2046" s="172" t="e">
        <v>#N/A</v>
      </c>
      <c r="AB2046" s="169" t="e">
        <v>#N/A</v>
      </c>
    </row>
    <row r="2047" spans="20:28" x14ac:dyDescent="0.2">
      <c r="T2047" s="130"/>
      <c r="U2047" s="151"/>
      <c r="X2047" s="170" t="str">
        <f t="shared" si="40"/>
        <v>1w</v>
      </c>
      <c r="Y2047" s="168">
        <f>_xll.qlCalendarAdvance(LiborCalendar,Y2046,X2047,"f",FALSE)</f>
        <v>53498</v>
      </c>
      <c r="Z2047" s="171">
        <f>_xll.qlInterestRateIndexValueDate(IborIndex,Y2047,Trigger)</f>
        <v>53500</v>
      </c>
      <c r="AA2047" s="172" t="e">
        <v>#N/A</v>
      </c>
      <c r="AB2047" s="169" t="e">
        <v>#N/A</v>
      </c>
    </row>
    <row r="2048" spans="20:28" x14ac:dyDescent="0.2">
      <c r="T2048" s="130"/>
      <c r="U2048" s="151"/>
      <c r="X2048" s="170" t="str">
        <f t="shared" si="40"/>
        <v>1w</v>
      </c>
      <c r="Y2048" s="168">
        <f>_xll.qlCalendarAdvance(LiborCalendar,Y2047,X2048,"f",FALSE)</f>
        <v>53505</v>
      </c>
      <c r="Z2048" s="171">
        <f>_xll.qlInterestRateIndexValueDate(IborIndex,Y2048,Trigger)</f>
        <v>53507</v>
      </c>
      <c r="AA2048" s="172" t="e">
        <v>#N/A</v>
      </c>
      <c r="AB2048" s="169" t="e">
        <v>#N/A</v>
      </c>
    </row>
    <row r="2049" spans="20:28" x14ac:dyDescent="0.2">
      <c r="T2049" s="130"/>
      <c r="U2049" s="151"/>
      <c r="X2049" s="170" t="str">
        <f t="shared" si="40"/>
        <v>1w</v>
      </c>
      <c r="Y2049" s="168">
        <f>_xll.qlCalendarAdvance(LiborCalendar,Y2048,X2049,"f",FALSE)</f>
        <v>53512</v>
      </c>
      <c r="Z2049" s="171">
        <f>_xll.qlInterestRateIndexValueDate(IborIndex,Y2049,Trigger)</f>
        <v>53514</v>
      </c>
      <c r="AA2049" s="172" t="e">
        <v>#N/A</v>
      </c>
      <c r="AB2049" s="169" t="e">
        <v>#N/A</v>
      </c>
    </row>
    <row r="2050" spans="20:28" x14ac:dyDescent="0.2">
      <c r="T2050" s="130"/>
      <c r="U2050" s="151"/>
      <c r="X2050" s="170" t="str">
        <f t="shared" si="40"/>
        <v>1w</v>
      </c>
      <c r="Y2050" s="168">
        <f>_xll.qlCalendarAdvance(LiborCalendar,Y2049,X2050,"f",FALSE)</f>
        <v>53519</v>
      </c>
      <c r="Z2050" s="171">
        <f>_xll.qlInterestRateIndexValueDate(IborIndex,Y2050,Trigger)</f>
        <v>53521</v>
      </c>
      <c r="AA2050" s="172" t="e">
        <v>#N/A</v>
      </c>
      <c r="AB2050" s="169" t="e">
        <v>#N/A</v>
      </c>
    </row>
    <row r="2051" spans="20:28" x14ac:dyDescent="0.2">
      <c r="T2051" s="130"/>
      <c r="U2051" s="151"/>
      <c r="X2051" s="170" t="str">
        <f t="shared" si="40"/>
        <v>1w</v>
      </c>
      <c r="Y2051" s="168">
        <f>_xll.qlCalendarAdvance(LiborCalendar,Y2050,X2051,"f",FALSE)</f>
        <v>53526</v>
      </c>
      <c r="Z2051" s="171">
        <f>_xll.qlInterestRateIndexValueDate(IborIndex,Y2051,Trigger)</f>
        <v>53528</v>
      </c>
      <c r="AA2051" s="172" t="e">
        <v>#N/A</v>
      </c>
      <c r="AB2051" s="169" t="e">
        <v>#N/A</v>
      </c>
    </row>
    <row r="2052" spans="20:28" x14ac:dyDescent="0.2">
      <c r="T2052" s="130"/>
      <c r="U2052" s="151"/>
      <c r="X2052" s="170" t="str">
        <f t="shared" si="40"/>
        <v>1w</v>
      </c>
      <c r="Y2052" s="168">
        <f>_xll.qlCalendarAdvance(LiborCalendar,Y2051,X2052,"f",FALSE)</f>
        <v>53533</v>
      </c>
      <c r="Z2052" s="171">
        <f>_xll.qlInterestRateIndexValueDate(IborIndex,Y2052,Trigger)</f>
        <v>53535</v>
      </c>
      <c r="AA2052" s="172" t="e">
        <v>#N/A</v>
      </c>
      <c r="AB2052" s="169" t="e">
        <v>#N/A</v>
      </c>
    </row>
    <row r="2053" spans="20:28" x14ac:dyDescent="0.2">
      <c r="T2053" s="130"/>
      <c r="U2053" s="151"/>
      <c r="X2053" s="170" t="str">
        <f t="shared" si="40"/>
        <v>1w</v>
      </c>
      <c r="Y2053" s="168">
        <f>_xll.qlCalendarAdvance(LiborCalendar,Y2052,X2053,"f",FALSE)</f>
        <v>53540</v>
      </c>
      <c r="Z2053" s="171">
        <f>_xll.qlInterestRateIndexValueDate(IborIndex,Y2053,Trigger)</f>
        <v>53542</v>
      </c>
      <c r="AA2053" s="172" t="e">
        <v>#N/A</v>
      </c>
      <c r="AB2053" s="169" t="e">
        <v>#N/A</v>
      </c>
    </row>
    <row r="2054" spans="20:28" x14ac:dyDescent="0.2">
      <c r="T2054" s="130"/>
      <c r="U2054" s="151"/>
      <c r="X2054" s="170" t="str">
        <f t="shared" si="40"/>
        <v>1w</v>
      </c>
      <c r="Y2054" s="168">
        <f>_xll.qlCalendarAdvance(LiborCalendar,Y2053,X2054,"f",FALSE)</f>
        <v>53547</v>
      </c>
      <c r="Z2054" s="171">
        <f>_xll.qlInterestRateIndexValueDate(IborIndex,Y2054,Trigger)</f>
        <v>53549</v>
      </c>
      <c r="AA2054" s="172" t="e">
        <v>#N/A</v>
      </c>
      <c r="AB2054" s="169" t="e">
        <v>#N/A</v>
      </c>
    </row>
    <row r="2055" spans="20:28" x14ac:dyDescent="0.2">
      <c r="T2055" s="130"/>
      <c r="U2055" s="151"/>
      <c r="X2055" s="170" t="str">
        <f t="shared" si="40"/>
        <v>1w</v>
      </c>
      <c r="Y2055" s="168">
        <f>_xll.qlCalendarAdvance(LiborCalendar,Y2054,X2055,"f",FALSE)</f>
        <v>53554</v>
      </c>
      <c r="Z2055" s="171">
        <f>_xll.qlInterestRateIndexValueDate(IborIndex,Y2055,Trigger)</f>
        <v>53556</v>
      </c>
      <c r="AA2055" s="172" t="e">
        <v>#N/A</v>
      </c>
      <c r="AB2055" s="169" t="e">
        <v>#N/A</v>
      </c>
    </row>
    <row r="2056" spans="20:28" x14ac:dyDescent="0.2">
      <c r="T2056" s="130"/>
      <c r="U2056" s="151"/>
      <c r="X2056" s="170" t="str">
        <f t="shared" si="40"/>
        <v>1w</v>
      </c>
      <c r="Y2056" s="168">
        <f>_xll.qlCalendarAdvance(LiborCalendar,Y2055,X2056,"f",FALSE)</f>
        <v>53561</v>
      </c>
      <c r="Z2056" s="171">
        <f>_xll.qlInterestRateIndexValueDate(IborIndex,Y2056,Trigger)</f>
        <v>53563</v>
      </c>
      <c r="AA2056" s="172" t="e">
        <v>#N/A</v>
      </c>
      <c r="AB2056" s="169" t="e">
        <v>#N/A</v>
      </c>
    </row>
    <row r="2057" spans="20:28" x14ac:dyDescent="0.2">
      <c r="T2057" s="130"/>
      <c r="U2057" s="151"/>
      <c r="X2057" s="170" t="str">
        <f t="shared" si="40"/>
        <v>1w</v>
      </c>
      <c r="Y2057" s="168">
        <f>_xll.qlCalendarAdvance(LiborCalendar,Y2056,X2057,"f",FALSE)</f>
        <v>53568</v>
      </c>
      <c r="Z2057" s="171">
        <f>_xll.qlInterestRateIndexValueDate(IborIndex,Y2057,Trigger)</f>
        <v>53570</v>
      </c>
      <c r="AA2057" s="172" t="e">
        <v>#N/A</v>
      </c>
      <c r="AB2057" s="169" t="e">
        <v>#N/A</v>
      </c>
    </row>
    <row r="2058" spans="20:28" x14ac:dyDescent="0.2">
      <c r="T2058" s="130"/>
      <c r="U2058" s="151"/>
      <c r="X2058" s="170" t="str">
        <f t="shared" si="40"/>
        <v>1w</v>
      </c>
      <c r="Y2058" s="168">
        <f>_xll.qlCalendarAdvance(LiborCalendar,Y2057,X2058,"f",FALSE)</f>
        <v>53575</v>
      </c>
      <c r="Z2058" s="171">
        <f>_xll.qlInterestRateIndexValueDate(IborIndex,Y2058,Trigger)</f>
        <v>53577</v>
      </c>
      <c r="AA2058" s="172" t="e">
        <v>#N/A</v>
      </c>
      <c r="AB2058" s="169" t="e">
        <v>#N/A</v>
      </c>
    </row>
    <row r="2059" spans="20:28" x14ac:dyDescent="0.2">
      <c r="T2059" s="130"/>
      <c r="U2059" s="151"/>
      <c r="X2059" s="170" t="str">
        <f t="shared" si="40"/>
        <v>1w</v>
      </c>
      <c r="Y2059" s="168">
        <f>_xll.qlCalendarAdvance(LiborCalendar,Y2058,X2059,"f",FALSE)</f>
        <v>53582</v>
      </c>
      <c r="Z2059" s="171">
        <f>_xll.qlInterestRateIndexValueDate(IborIndex,Y2059,Trigger)</f>
        <v>53584</v>
      </c>
      <c r="AA2059" s="172" t="e">
        <v>#N/A</v>
      </c>
      <c r="AB2059" s="169" t="e">
        <v>#N/A</v>
      </c>
    </row>
    <row r="2060" spans="20:28" x14ac:dyDescent="0.2">
      <c r="T2060" s="130"/>
      <c r="U2060" s="151"/>
      <c r="X2060" s="170" t="str">
        <f t="shared" si="40"/>
        <v>1w</v>
      </c>
      <c r="Y2060" s="168">
        <f>_xll.qlCalendarAdvance(LiborCalendar,Y2059,X2060,"f",FALSE)</f>
        <v>53589</v>
      </c>
      <c r="Z2060" s="171">
        <f>_xll.qlInterestRateIndexValueDate(IborIndex,Y2060,Trigger)</f>
        <v>53591</v>
      </c>
      <c r="AA2060" s="172" t="e">
        <v>#N/A</v>
      </c>
      <c r="AB2060" s="169" t="e">
        <v>#N/A</v>
      </c>
    </row>
    <row r="2061" spans="20:28" x14ac:dyDescent="0.2">
      <c r="T2061" s="130"/>
      <c r="U2061" s="151"/>
      <c r="X2061" s="170" t="str">
        <f t="shared" si="40"/>
        <v>1w</v>
      </c>
      <c r="Y2061" s="168">
        <f>_xll.qlCalendarAdvance(LiborCalendar,Y2060,X2061,"f",FALSE)</f>
        <v>53596</v>
      </c>
      <c r="Z2061" s="171">
        <f>_xll.qlInterestRateIndexValueDate(IborIndex,Y2061,Trigger)</f>
        <v>53598</v>
      </c>
      <c r="AA2061" s="172" t="e">
        <v>#N/A</v>
      </c>
      <c r="AB2061" s="169" t="e">
        <v>#N/A</v>
      </c>
    </row>
    <row r="2062" spans="20:28" x14ac:dyDescent="0.2">
      <c r="T2062" s="130"/>
      <c r="U2062" s="151"/>
      <c r="X2062" s="170" t="str">
        <f t="shared" si="40"/>
        <v>1w</v>
      </c>
      <c r="Y2062" s="168">
        <f>_xll.qlCalendarAdvance(LiborCalendar,Y2061,X2062,"f",FALSE)</f>
        <v>53603</v>
      </c>
      <c r="Z2062" s="171">
        <f>_xll.qlInterestRateIndexValueDate(IborIndex,Y2062,Trigger)</f>
        <v>53605</v>
      </c>
      <c r="AA2062" s="172" t="e">
        <v>#N/A</v>
      </c>
      <c r="AB2062" s="169" t="e">
        <v>#N/A</v>
      </c>
    </row>
    <row r="2063" spans="20:28" x14ac:dyDescent="0.2">
      <c r="T2063" s="130"/>
      <c r="U2063" s="151"/>
      <c r="X2063" s="170" t="str">
        <f t="shared" si="40"/>
        <v>1w</v>
      </c>
      <c r="Y2063" s="168">
        <f>_xll.qlCalendarAdvance(LiborCalendar,Y2062,X2063,"f",FALSE)</f>
        <v>53610</v>
      </c>
      <c r="Z2063" s="171">
        <f>_xll.qlInterestRateIndexValueDate(IborIndex,Y2063,Trigger)</f>
        <v>53612</v>
      </c>
      <c r="AA2063" s="172" t="e">
        <v>#N/A</v>
      </c>
      <c r="AB2063" s="169" t="e">
        <v>#N/A</v>
      </c>
    </row>
    <row r="2064" spans="20:28" x14ac:dyDescent="0.2">
      <c r="T2064" s="130"/>
      <c r="U2064" s="151"/>
      <c r="X2064" s="170" t="str">
        <f t="shared" si="40"/>
        <v>1w</v>
      </c>
      <c r="Y2064" s="168">
        <f>_xll.qlCalendarAdvance(LiborCalendar,Y2063,X2064,"f",FALSE)</f>
        <v>53617</v>
      </c>
      <c r="Z2064" s="171">
        <f>_xll.qlInterestRateIndexValueDate(IborIndex,Y2064,Trigger)</f>
        <v>53619</v>
      </c>
      <c r="AA2064" s="172" t="e">
        <v>#N/A</v>
      </c>
      <c r="AB2064" s="169" t="e">
        <v>#N/A</v>
      </c>
    </row>
    <row r="2065" spans="20:28" x14ac:dyDescent="0.2">
      <c r="T2065" s="130"/>
      <c r="U2065" s="151"/>
      <c r="X2065" s="170" t="str">
        <f t="shared" si="40"/>
        <v>1w</v>
      </c>
      <c r="Y2065" s="168">
        <f>_xll.qlCalendarAdvance(LiborCalendar,Y2064,X2065,"f",FALSE)</f>
        <v>53624</v>
      </c>
      <c r="Z2065" s="171">
        <f>_xll.qlInterestRateIndexValueDate(IborIndex,Y2065,Trigger)</f>
        <v>53626</v>
      </c>
      <c r="AA2065" s="172" t="e">
        <v>#N/A</v>
      </c>
      <c r="AB2065" s="169" t="e">
        <v>#N/A</v>
      </c>
    </row>
    <row r="2066" spans="20:28" x14ac:dyDescent="0.2">
      <c r="T2066" s="130"/>
      <c r="U2066" s="151"/>
      <c r="X2066" s="170" t="str">
        <f t="shared" si="40"/>
        <v>1w</v>
      </c>
      <c r="Y2066" s="168">
        <f>_xll.qlCalendarAdvance(LiborCalendar,Y2065,X2066,"f",FALSE)</f>
        <v>53631</v>
      </c>
      <c r="Z2066" s="171">
        <f>_xll.qlInterestRateIndexValueDate(IborIndex,Y2066,Trigger)</f>
        <v>53633</v>
      </c>
      <c r="AA2066" s="172" t="e">
        <v>#N/A</v>
      </c>
      <c r="AB2066" s="169" t="e">
        <v>#N/A</v>
      </c>
    </row>
    <row r="2067" spans="20:28" x14ac:dyDescent="0.2">
      <c r="T2067" s="130"/>
      <c r="U2067" s="151"/>
      <c r="X2067" s="170" t="str">
        <f t="shared" si="40"/>
        <v>1w</v>
      </c>
      <c r="Y2067" s="168">
        <f>_xll.qlCalendarAdvance(LiborCalendar,Y2066,X2067,"f",FALSE)</f>
        <v>53638</v>
      </c>
      <c r="Z2067" s="171">
        <f>_xll.qlInterestRateIndexValueDate(IborIndex,Y2067,Trigger)</f>
        <v>53640</v>
      </c>
      <c r="AA2067" s="172" t="e">
        <v>#N/A</v>
      </c>
      <c r="AB2067" s="169" t="e">
        <v>#N/A</v>
      </c>
    </row>
    <row r="2068" spans="20:28" x14ac:dyDescent="0.2">
      <c r="T2068" s="130"/>
      <c r="U2068" s="151"/>
      <c r="X2068" s="170" t="str">
        <f t="shared" si="40"/>
        <v>1w</v>
      </c>
      <c r="Y2068" s="168">
        <f>_xll.qlCalendarAdvance(LiborCalendar,Y2067,X2068,"f",FALSE)</f>
        <v>53645</v>
      </c>
      <c r="Z2068" s="171">
        <f>_xll.qlInterestRateIndexValueDate(IborIndex,Y2068,Trigger)</f>
        <v>53647</v>
      </c>
      <c r="AA2068" s="172" t="e">
        <v>#N/A</v>
      </c>
      <c r="AB2068" s="169" t="e">
        <v>#N/A</v>
      </c>
    </row>
    <row r="2069" spans="20:28" x14ac:dyDescent="0.2">
      <c r="T2069" s="130"/>
      <c r="U2069" s="151"/>
      <c r="X2069" s="170" t="str">
        <f t="shared" ref="X2069:X2132" si="41">X2068</f>
        <v>1w</v>
      </c>
      <c r="Y2069" s="168">
        <f>_xll.qlCalendarAdvance(LiborCalendar,Y2068,X2069,"f",FALSE)</f>
        <v>53652</v>
      </c>
      <c r="Z2069" s="171">
        <f>_xll.qlInterestRateIndexValueDate(IborIndex,Y2069,Trigger)</f>
        <v>53654</v>
      </c>
      <c r="AA2069" s="172" t="e">
        <v>#N/A</v>
      </c>
      <c r="AB2069" s="169" t="e">
        <v>#N/A</v>
      </c>
    </row>
    <row r="2070" spans="20:28" x14ac:dyDescent="0.2">
      <c r="T2070" s="130"/>
      <c r="U2070" s="151"/>
      <c r="X2070" s="170" t="str">
        <f t="shared" si="41"/>
        <v>1w</v>
      </c>
      <c r="Y2070" s="168">
        <f>_xll.qlCalendarAdvance(LiborCalendar,Y2069,X2070,"f",FALSE)</f>
        <v>53659</v>
      </c>
      <c r="Z2070" s="171">
        <f>_xll.qlInterestRateIndexValueDate(IborIndex,Y2070,Trigger)</f>
        <v>53661</v>
      </c>
      <c r="AA2070" s="172" t="e">
        <v>#N/A</v>
      </c>
      <c r="AB2070" s="169" t="e">
        <v>#N/A</v>
      </c>
    </row>
    <row r="2071" spans="20:28" x14ac:dyDescent="0.2">
      <c r="T2071" s="130"/>
      <c r="U2071" s="151"/>
      <c r="X2071" s="170" t="str">
        <f t="shared" si="41"/>
        <v>1w</v>
      </c>
      <c r="Y2071" s="168">
        <f>_xll.qlCalendarAdvance(LiborCalendar,Y2070,X2071,"f",FALSE)</f>
        <v>53666</v>
      </c>
      <c r="Z2071" s="171">
        <f>_xll.qlInterestRateIndexValueDate(IborIndex,Y2071,Trigger)</f>
        <v>53668</v>
      </c>
      <c r="AA2071" s="172" t="e">
        <v>#N/A</v>
      </c>
      <c r="AB2071" s="169" t="e">
        <v>#N/A</v>
      </c>
    </row>
    <row r="2072" spans="20:28" x14ac:dyDescent="0.2">
      <c r="T2072" s="130"/>
      <c r="U2072" s="151"/>
      <c r="X2072" s="170" t="str">
        <f t="shared" si="41"/>
        <v>1w</v>
      </c>
      <c r="Y2072" s="168">
        <f>_xll.qlCalendarAdvance(LiborCalendar,Y2071,X2072,"f",FALSE)</f>
        <v>53673</v>
      </c>
      <c r="Z2072" s="171">
        <f>_xll.qlInterestRateIndexValueDate(IborIndex,Y2072,Trigger)</f>
        <v>53675</v>
      </c>
      <c r="AA2072" s="172" t="e">
        <v>#N/A</v>
      </c>
      <c r="AB2072" s="169" t="e">
        <v>#N/A</v>
      </c>
    </row>
    <row r="2073" spans="20:28" x14ac:dyDescent="0.2">
      <c r="T2073" s="130"/>
      <c r="U2073" s="151"/>
      <c r="X2073" s="170" t="str">
        <f t="shared" si="41"/>
        <v>1w</v>
      </c>
      <c r="Y2073" s="168">
        <f>_xll.qlCalendarAdvance(LiborCalendar,Y2072,X2073,"f",FALSE)</f>
        <v>53680</v>
      </c>
      <c r="Z2073" s="171">
        <f>_xll.qlInterestRateIndexValueDate(IborIndex,Y2073,Trigger)</f>
        <v>53682</v>
      </c>
      <c r="AA2073" s="172" t="e">
        <v>#N/A</v>
      </c>
      <c r="AB2073" s="169" t="e">
        <v>#N/A</v>
      </c>
    </row>
    <row r="2074" spans="20:28" x14ac:dyDescent="0.2">
      <c r="T2074" s="130"/>
      <c r="U2074" s="151"/>
      <c r="X2074" s="170" t="str">
        <f t="shared" si="41"/>
        <v>1w</v>
      </c>
      <c r="Y2074" s="168">
        <f>_xll.qlCalendarAdvance(LiborCalendar,Y2073,X2074,"f",FALSE)</f>
        <v>53688</v>
      </c>
      <c r="Z2074" s="171">
        <f>_xll.qlInterestRateIndexValueDate(IborIndex,Y2074,Trigger)</f>
        <v>53692</v>
      </c>
      <c r="AA2074" s="172" t="e">
        <v>#N/A</v>
      </c>
      <c r="AB2074" s="169" t="e">
        <v>#N/A</v>
      </c>
    </row>
    <row r="2075" spans="20:28" x14ac:dyDescent="0.2">
      <c r="T2075" s="130"/>
      <c r="U2075" s="151"/>
      <c r="X2075" s="170" t="str">
        <f t="shared" si="41"/>
        <v>1w</v>
      </c>
      <c r="Y2075" s="168">
        <f>_xll.qlCalendarAdvance(LiborCalendar,Y2074,X2075,"f",FALSE)</f>
        <v>53695</v>
      </c>
      <c r="Z2075" s="171">
        <f>_xll.qlInterestRateIndexValueDate(IborIndex,Y2075,Trigger)</f>
        <v>53699</v>
      </c>
      <c r="AA2075" s="172" t="e">
        <v>#N/A</v>
      </c>
      <c r="AB2075" s="169" t="e">
        <v>#N/A</v>
      </c>
    </row>
    <row r="2076" spans="20:28" x14ac:dyDescent="0.2">
      <c r="T2076" s="130"/>
      <c r="U2076" s="151"/>
      <c r="X2076" s="170" t="str">
        <f t="shared" si="41"/>
        <v>1w</v>
      </c>
      <c r="Y2076" s="168">
        <f>_xll.qlCalendarAdvance(LiborCalendar,Y2075,X2076,"f",FALSE)</f>
        <v>53702</v>
      </c>
      <c r="Z2076" s="171">
        <f>_xll.qlInterestRateIndexValueDate(IborIndex,Y2076,Trigger)</f>
        <v>53706</v>
      </c>
      <c r="AA2076" s="172" t="e">
        <v>#N/A</v>
      </c>
      <c r="AB2076" s="169" t="e">
        <v>#N/A</v>
      </c>
    </row>
    <row r="2077" spans="20:28" x14ac:dyDescent="0.2">
      <c r="T2077" s="130"/>
      <c r="U2077" s="151"/>
      <c r="X2077" s="170" t="str">
        <f t="shared" si="41"/>
        <v>1w</v>
      </c>
      <c r="Y2077" s="168">
        <f>_xll.qlCalendarAdvance(LiborCalendar,Y2076,X2077,"f",FALSE)</f>
        <v>53709</v>
      </c>
      <c r="Z2077" s="171">
        <f>_xll.qlInterestRateIndexValueDate(IborIndex,Y2077,Trigger)</f>
        <v>53713</v>
      </c>
      <c r="AA2077" s="172" t="e">
        <v>#N/A</v>
      </c>
      <c r="AB2077" s="169" t="e">
        <v>#N/A</v>
      </c>
    </row>
    <row r="2078" spans="20:28" x14ac:dyDescent="0.2">
      <c r="T2078" s="130"/>
      <c r="U2078" s="151"/>
      <c r="X2078" s="170" t="str">
        <f t="shared" si="41"/>
        <v>1w</v>
      </c>
      <c r="Y2078" s="168">
        <f>_xll.qlCalendarAdvance(LiborCalendar,Y2077,X2078,"f",FALSE)</f>
        <v>53716</v>
      </c>
      <c r="Z2078" s="171">
        <f>_xll.qlInterestRateIndexValueDate(IborIndex,Y2078,Trigger)</f>
        <v>53720</v>
      </c>
      <c r="AA2078" s="172" t="e">
        <v>#N/A</v>
      </c>
      <c r="AB2078" s="169" t="e">
        <v>#N/A</v>
      </c>
    </row>
    <row r="2079" spans="20:28" x14ac:dyDescent="0.2">
      <c r="T2079" s="130"/>
      <c r="U2079" s="151"/>
      <c r="X2079" s="170" t="str">
        <f t="shared" si="41"/>
        <v>1w</v>
      </c>
      <c r="Y2079" s="168">
        <f>_xll.qlCalendarAdvance(LiborCalendar,Y2078,X2079,"f",FALSE)</f>
        <v>53723</v>
      </c>
      <c r="Z2079" s="171">
        <f>_xll.qlInterestRateIndexValueDate(IborIndex,Y2079,Trigger)</f>
        <v>53727</v>
      </c>
      <c r="AA2079" s="172" t="e">
        <v>#N/A</v>
      </c>
      <c r="AB2079" s="169" t="e">
        <v>#N/A</v>
      </c>
    </row>
    <row r="2080" spans="20:28" x14ac:dyDescent="0.2">
      <c r="T2080" s="130"/>
      <c r="U2080" s="151"/>
      <c r="X2080" s="170" t="str">
        <f t="shared" si="41"/>
        <v>1w</v>
      </c>
      <c r="Y2080" s="168">
        <f>_xll.qlCalendarAdvance(LiborCalendar,Y2079,X2080,"f",FALSE)</f>
        <v>53730</v>
      </c>
      <c r="Z2080" s="171">
        <f>_xll.qlInterestRateIndexValueDate(IborIndex,Y2080,Trigger)</f>
        <v>53734</v>
      </c>
      <c r="AA2080" s="172" t="e">
        <v>#N/A</v>
      </c>
      <c r="AB2080" s="169" t="e">
        <v>#N/A</v>
      </c>
    </row>
    <row r="2081" spans="20:28" x14ac:dyDescent="0.2">
      <c r="T2081" s="130"/>
      <c r="U2081" s="151"/>
      <c r="X2081" s="170" t="str">
        <f t="shared" si="41"/>
        <v>1w</v>
      </c>
      <c r="Y2081" s="168">
        <f>_xll.qlCalendarAdvance(LiborCalendar,Y2080,X2081,"f",FALSE)</f>
        <v>53737</v>
      </c>
      <c r="Z2081" s="171">
        <f>_xll.qlInterestRateIndexValueDate(IborIndex,Y2081,Trigger)</f>
        <v>53741</v>
      </c>
      <c r="AA2081" s="172" t="e">
        <v>#N/A</v>
      </c>
      <c r="AB2081" s="169" t="e">
        <v>#N/A</v>
      </c>
    </row>
    <row r="2082" spans="20:28" x14ac:dyDescent="0.2">
      <c r="T2082" s="130"/>
      <c r="U2082" s="151"/>
      <c r="X2082" s="170" t="str">
        <f t="shared" si="41"/>
        <v>1w</v>
      </c>
      <c r="Y2082" s="168">
        <f>_xll.qlCalendarAdvance(LiborCalendar,Y2081,X2082,"f",FALSE)</f>
        <v>53744</v>
      </c>
      <c r="Z2082" s="171">
        <f>_xll.qlInterestRateIndexValueDate(IborIndex,Y2082,Trigger)</f>
        <v>53748</v>
      </c>
      <c r="AA2082" s="172" t="e">
        <v>#N/A</v>
      </c>
      <c r="AB2082" s="169" t="e">
        <v>#N/A</v>
      </c>
    </row>
    <row r="2083" spans="20:28" x14ac:dyDescent="0.2">
      <c r="T2083" s="130"/>
      <c r="U2083" s="151"/>
      <c r="X2083" s="170" t="str">
        <f t="shared" si="41"/>
        <v>1w</v>
      </c>
      <c r="Y2083" s="168">
        <f>_xll.qlCalendarAdvance(LiborCalendar,Y2082,X2083,"f",FALSE)</f>
        <v>53751</v>
      </c>
      <c r="Z2083" s="171">
        <f>_xll.qlInterestRateIndexValueDate(IborIndex,Y2083,Trigger)</f>
        <v>53755</v>
      </c>
      <c r="AA2083" s="172" t="e">
        <v>#N/A</v>
      </c>
      <c r="AB2083" s="169" t="e">
        <v>#N/A</v>
      </c>
    </row>
    <row r="2084" spans="20:28" x14ac:dyDescent="0.2">
      <c r="T2084" s="130"/>
      <c r="U2084" s="151"/>
      <c r="X2084" s="170" t="str">
        <f t="shared" si="41"/>
        <v>1w</v>
      </c>
      <c r="Y2084" s="168">
        <f>_xll.qlCalendarAdvance(LiborCalendar,Y2083,X2084,"f",FALSE)</f>
        <v>53758</v>
      </c>
      <c r="Z2084" s="171">
        <f>_xll.qlInterestRateIndexValueDate(IborIndex,Y2084,Trigger)</f>
        <v>53762</v>
      </c>
      <c r="AA2084" s="172" t="e">
        <v>#N/A</v>
      </c>
      <c r="AB2084" s="169" t="e">
        <v>#N/A</v>
      </c>
    </row>
    <row r="2085" spans="20:28" x14ac:dyDescent="0.2">
      <c r="T2085" s="130"/>
      <c r="U2085" s="151"/>
      <c r="X2085" s="170" t="str">
        <f t="shared" si="41"/>
        <v>1w</v>
      </c>
      <c r="Y2085" s="168">
        <f>_xll.qlCalendarAdvance(LiborCalendar,Y2084,X2085,"f",FALSE)</f>
        <v>53765</v>
      </c>
      <c r="Z2085" s="171">
        <f>_xll.qlInterestRateIndexValueDate(IborIndex,Y2085,Trigger)</f>
        <v>53769</v>
      </c>
      <c r="AA2085" s="172" t="e">
        <v>#N/A</v>
      </c>
      <c r="AB2085" s="169" t="e">
        <v>#N/A</v>
      </c>
    </row>
    <row r="2086" spans="20:28" x14ac:dyDescent="0.2">
      <c r="T2086" s="130"/>
      <c r="U2086" s="151"/>
      <c r="X2086" s="170" t="str">
        <f t="shared" si="41"/>
        <v>1w</v>
      </c>
      <c r="Y2086" s="168">
        <f>_xll.qlCalendarAdvance(LiborCalendar,Y2085,X2086,"f",FALSE)</f>
        <v>53772</v>
      </c>
      <c r="Z2086" s="171">
        <f>_xll.qlInterestRateIndexValueDate(IborIndex,Y2086,Trigger)</f>
        <v>53776</v>
      </c>
      <c r="AA2086" s="172" t="e">
        <v>#N/A</v>
      </c>
      <c r="AB2086" s="169" t="e">
        <v>#N/A</v>
      </c>
    </row>
    <row r="2087" spans="20:28" x14ac:dyDescent="0.2">
      <c r="T2087" s="130"/>
      <c r="U2087" s="151"/>
      <c r="X2087" s="170" t="str">
        <f t="shared" si="41"/>
        <v>1w</v>
      </c>
      <c r="Y2087" s="168">
        <f>_xll.qlCalendarAdvance(LiborCalendar,Y2086,X2087,"f",FALSE)</f>
        <v>53779</v>
      </c>
      <c r="Z2087" s="171">
        <f>_xll.qlInterestRateIndexValueDate(IborIndex,Y2087,Trigger)</f>
        <v>53783</v>
      </c>
      <c r="AA2087" s="172" t="e">
        <v>#N/A</v>
      </c>
      <c r="AB2087" s="169" t="e">
        <v>#N/A</v>
      </c>
    </row>
    <row r="2088" spans="20:28" x14ac:dyDescent="0.2">
      <c r="T2088" s="130"/>
      <c r="U2088" s="151"/>
      <c r="X2088" s="170" t="str">
        <f t="shared" si="41"/>
        <v>1w</v>
      </c>
      <c r="Y2088" s="168">
        <f>_xll.qlCalendarAdvance(LiborCalendar,Y2087,X2088,"f",FALSE)</f>
        <v>53786</v>
      </c>
      <c r="Z2088" s="171">
        <f>_xll.qlInterestRateIndexValueDate(IborIndex,Y2088,Trigger)</f>
        <v>53790</v>
      </c>
      <c r="AA2088" s="172" t="e">
        <v>#N/A</v>
      </c>
      <c r="AB2088" s="169" t="e">
        <v>#N/A</v>
      </c>
    </row>
    <row r="2089" spans="20:28" x14ac:dyDescent="0.2">
      <c r="T2089" s="130"/>
      <c r="U2089" s="151"/>
      <c r="X2089" s="170" t="str">
        <f t="shared" si="41"/>
        <v>1w</v>
      </c>
      <c r="Y2089" s="168">
        <f>_xll.qlCalendarAdvance(LiborCalendar,Y2088,X2089,"f",FALSE)</f>
        <v>53793</v>
      </c>
      <c r="Z2089" s="171">
        <f>_xll.qlInterestRateIndexValueDate(IborIndex,Y2089,Trigger)</f>
        <v>53799</v>
      </c>
      <c r="AA2089" s="172" t="e">
        <v>#N/A</v>
      </c>
      <c r="AB2089" s="169" t="e">
        <v>#N/A</v>
      </c>
    </row>
    <row r="2090" spans="20:28" x14ac:dyDescent="0.2">
      <c r="T2090" s="130"/>
      <c r="U2090" s="151"/>
      <c r="X2090" s="170" t="str">
        <f t="shared" si="41"/>
        <v>1w</v>
      </c>
      <c r="Y2090" s="168">
        <f>_xll.qlCalendarAdvance(LiborCalendar,Y2089,X2090,"f",FALSE)</f>
        <v>53800</v>
      </c>
      <c r="Z2090" s="171">
        <f>_xll.qlInterestRateIndexValueDate(IborIndex,Y2090,Trigger)</f>
        <v>53804</v>
      </c>
      <c r="AA2090" s="172" t="e">
        <v>#N/A</v>
      </c>
      <c r="AB2090" s="169" t="e">
        <v>#N/A</v>
      </c>
    </row>
    <row r="2091" spans="20:28" x14ac:dyDescent="0.2">
      <c r="T2091" s="130"/>
      <c r="U2091" s="151"/>
      <c r="X2091" s="170" t="str">
        <f t="shared" si="41"/>
        <v>1w</v>
      </c>
      <c r="Y2091" s="168">
        <f>_xll.qlCalendarAdvance(LiborCalendar,Y2090,X2091,"f",FALSE)</f>
        <v>53807</v>
      </c>
      <c r="Z2091" s="171">
        <f>_xll.qlInterestRateIndexValueDate(IborIndex,Y2091,Trigger)</f>
        <v>53811</v>
      </c>
      <c r="AA2091" s="172" t="e">
        <v>#N/A</v>
      </c>
      <c r="AB2091" s="169" t="e">
        <v>#N/A</v>
      </c>
    </row>
    <row r="2092" spans="20:28" x14ac:dyDescent="0.2">
      <c r="T2092" s="130"/>
      <c r="U2092" s="151"/>
      <c r="X2092" s="170" t="str">
        <f t="shared" si="41"/>
        <v>1w</v>
      </c>
      <c r="Y2092" s="168">
        <f>_xll.qlCalendarAdvance(LiborCalendar,Y2091,X2092,"f",FALSE)</f>
        <v>53814</v>
      </c>
      <c r="Z2092" s="171">
        <f>_xll.qlInterestRateIndexValueDate(IborIndex,Y2092,Trigger)</f>
        <v>53819</v>
      </c>
      <c r="AA2092" s="172" t="e">
        <v>#N/A</v>
      </c>
      <c r="AB2092" s="169" t="e">
        <v>#N/A</v>
      </c>
    </row>
    <row r="2093" spans="20:28" x14ac:dyDescent="0.2">
      <c r="T2093" s="130"/>
      <c r="U2093" s="151"/>
      <c r="X2093" s="170" t="str">
        <f t="shared" si="41"/>
        <v>1w</v>
      </c>
      <c r="Y2093" s="168">
        <f>_xll.qlCalendarAdvance(LiborCalendar,Y2092,X2093,"f",FALSE)</f>
        <v>53821</v>
      </c>
      <c r="Z2093" s="171">
        <f>_xll.qlInterestRateIndexValueDate(IborIndex,Y2093,Trigger)</f>
        <v>53825</v>
      </c>
      <c r="AA2093" s="172" t="e">
        <v>#N/A</v>
      </c>
      <c r="AB2093" s="169" t="e">
        <v>#N/A</v>
      </c>
    </row>
    <row r="2094" spans="20:28" x14ac:dyDescent="0.2">
      <c r="T2094" s="130"/>
      <c r="U2094" s="151"/>
      <c r="X2094" s="170" t="str">
        <f t="shared" si="41"/>
        <v>1w</v>
      </c>
      <c r="Y2094" s="168">
        <f>_xll.qlCalendarAdvance(LiborCalendar,Y2093,X2094,"f",FALSE)</f>
        <v>53828</v>
      </c>
      <c r="Z2094" s="171">
        <f>_xll.qlInterestRateIndexValueDate(IborIndex,Y2094,Trigger)</f>
        <v>53832</v>
      </c>
      <c r="AA2094" s="172" t="e">
        <v>#N/A</v>
      </c>
      <c r="AB2094" s="169" t="e">
        <v>#N/A</v>
      </c>
    </row>
    <row r="2095" spans="20:28" x14ac:dyDescent="0.2">
      <c r="T2095" s="130"/>
      <c r="U2095" s="151"/>
      <c r="X2095" s="170" t="str">
        <f t="shared" si="41"/>
        <v>1w</v>
      </c>
      <c r="Y2095" s="168">
        <f>_xll.qlCalendarAdvance(LiborCalendar,Y2094,X2095,"f",FALSE)</f>
        <v>53835</v>
      </c>
      <c r="Z2095" s="171">
        <f>_xll.qlInterestRateIndexValueDate(IborIndex,Y2095,Trigger)</f>
        <v>53840</v>
      </c>
      <c r="AA2095" s="172" t="e">
        <v>#N/A</v>
      </c>
      <c r="AB2095" s="169" t="e">
        <v>#N/A</v>
      </c>
    </row>
    <row r="2096" spans="20:28" x14ac:dyDescent="0.2">
      <c r="T2096" s="130"/>
      <c r="U2096" s="151"/>
      <c r="X2096" s="170" t="str">
        <f t="shared" si="41"/>
        <v>1w</v>
      </c>
      <c r="Y2096" s="168">
        <f>_xll.qlCalendarAdvance(LiborCalendar,Y2095,X2096,"f",FALSE)</f>
        <v>53842</v>
      </c>
      <c r="Z2096" s="171">
        <f>_xll.qlInterestRateIndexValueDate(IborIndex,Y2096,Trigger)</f>
        <v>53847</v>
      </c>
      <c r="AA2096" s="172" t="e">
        <v>#N/A</v>
      </c>
      <c r="AB2096" s="169" t="e">
        <v>#N/A</v>
      </c>
    </row>
    <row r="2097" spans="20:28" x14ac:dyDescent="0.2">
      <c r="T2097" s="130"/>
      <c r="U2097" s="151"/>
      <c r="X2097" s="170" t="str">
        <f t="shared" si="41"/>
        <v>1w</v>
      </c>
      <c r="Y2097" s="168">
        <f>_xll.qlCalendarAdvance(LiborCalendar,Y2096,X2097,"f",FALSE)</f>
        <v>53849</v>
      </c>
      <c r="Z2097" s="171">
        <f>_xll.qlInterestRateIndexValueDate(IborIndex,Y2097,Trigger)</f>
        <v>53853</v>
      </c>
      <c r="AA2097" s="172" t="e">
        <v>#N/A</v>
      </c>
      <c r="AB2097" s="169" t="e">
        <v>#N/A</v>
      </c>
    </row>
    <row r="2098" spans="20:28" x14ac:dyDescent="0.2">
      <c r="T2098" s="130"/>
      <c r="U2098" s="151"/>
      <c r="X2098" s="170" t="str">
        <f t="shared" si="41"/>
        <v>1w</v>
      </c>
      <c r="Y2098" s="168">
        <f>_xll.qlCalendarAdvance(LiborCalendar,Y2097,X2098,"f",FALSE)</f>
        <v>53856</v>
      </c>
      <c r="Z2098" s="171">
        <f>_xll.qlInterestRateIndexValueDate(IborIndex,Y2098,Trigger)</f>
        <v>53860</v>
      </c>
      <c r="AA2098" s="172" t="e">
        <v>#N/A</v>
      </c>
      <c r="AB2098" s="169" t="e">
        <v>#N/A</v>
      </c>
    </row>
    <row r="2099" spans="20:28" x14ac:dyDescent="0.2">
      <c r="T2099" s="130"/>
      <c r="U2099" s="151"/>
      <c r="X2099" s="170" t="str">
        <f t="shared" si="41"/>
        <v>1w</v>
      </c>
      <c r="Y2099" s="168">
        <f>_xll.qlCalendarAdvance(LiborCalendar,Y2098,X2099,"f",FALSE)</f>
        <v>53863</v>
      </c>
      <c r="Z2099" s="171">
        <f>_xll.qlInterestRateIndexValueDate(IborIndex,Y2099,Trigger)</f>
        <v>53867</v>
      </c>
      <c r="AA2099" s="172" t="e">
        <v>#N/A</v>
      </c>
      <c r="AB2099" s="169" t="e">
        <v>#N/A</v>
      </c>
    </row>
    <row r="2100" spans="20:28" x14ac:dyDescent="0.2">
      <c r="T2100" s="130"/>
      <c r="U2100" s="151"/>
      <c r="X2100" s="170" t="str">
        <f t="shared" si="41"/>
        <v>1w</v>
      </c>
      <c r="Y2100" s="168">
        <f>_xll.qlCalendarAdvance(LiborCalendar,Y2099,X2100,"f",FALSE)</f>
        <v>53870</v>
      </c>
      <c r="Z2100" s="171">
        <f>_xll.qlInterestRateIndexValueDate(IborIndex,Y2100,Trigger)</f>
        <v>53874</v>
      </c>
      <c r="AA2100" s="172" t="e">
        <v>#N/A</v>
      </c>
      <c r="AB2100" s="169" t="e">
        <v>#N/A</v>
      </c>
    </row>
    <row r="2101" spans="20:28" x14ac:dyDescent="0.2">
      <c r="T2101" s="130"/>
      <c r="U2101" s="151"/>
      <c r="X2101" s="170" t="str">
        <f t="shared" si="41"/>
        <v>1w</v>
      </c>
      <c r="Y2101" s="168">
        <f>_xll.qlCalendarAdvance(LiborCalendar,Y2100,X2101,"f",FALSE)</f>
        <v>53877</v>
      </c>
      <c r="Z2101" s="171">
        <f>_xll.qlInterestRateIndexValueDate(IborIndex,Y2101,Trigger)</f>
        <v>53881</v>
      </c>
      <c r="AA2101" s="172" t="e">
        <v>#N/A</v>
      </c>
      <c r="AB2101" s="169" t="e">
        <v>#N/A</v>
      </c>
    </row>
    <row r="2102" spans="20:28" x14ac:dyDescent="0.2">
      <c r="T2102" s="130"/>
      <c r="U2102" s="151"/>
      <c r="X2102" s="170" t="str">
        <f t="shared" si="41"/>
        <v>1w</v>
      </c>
      <c r="Y2102" s="168">
        <f>_xll.qlCalendarAdvance(LiborCalendar,Y2101,X2102,"f",FALSE)</f>
        <v>53884</v>
      </c>
      <c r="Z2102" s="171">
        <f>_xll.qlInterestRateIndexValueDate(IborIndex,Y2102,Trigger)</f>
        <v>53888</v>
      </c>
      <c r="AA2102" s="172" t="e">
        <v>#N/A</v>
      </c>
      <c r="AB2102" s="169" t="e">
        <v>#N/A</v>
      </c>
    </row>
    <row r="2103" spans="20:28" x14ac:dyDescent="0.2">
      <c r="T2103" s="130"/>
      <c r="U2103" s="151"/>
      <c r="X2103" s="170" t="str">
        <f t="shared" si="41"/>
        <v>1w</v>
      </c>
      <c r="Y2103" s="168">
        <f>_xll.qlCalendarAdvance(LiborCalendar,Y2102,X2103,"f",FALSE)</f>
        <v>53891</v>
      </c>
      <c r="Z2103" s="171">
        <f>_xll.qlInterestRateIndexValueDate(IborIndex,Y2103,Trigger)</f>
        <v>53895</v>
      </c>
      <c r="AA2103" s="172" t="e">
        <v>#N/A</v>
      </c>
      <c r="AB2103" s="169" t="e">
        <v>#N/A</v>
      </c>
    </row>
    <row r="2104" spans="20:28" x14ac:dyDescent="0.2">
      <c r="T2104" s="130"/>
      <c r="U2104" s="151"/>
      <c r="X2104" s="170" t="str">
        <f t="shared" si="41"/>
        <v>1w</v>
      </c>
      <c r="Y2104" s="168">
        <f>_xll.qlCalendarAdvance(LiborCalendar,Y2103,X2104,"f",FALSE)</f>
        <v>53898</v>
      </c>
      <c r="Z2104" s="171">
        <f>_xll.qlInterestRateIndexValueDate(IborIndex,Y2104,Trigger)</f>
        <v>53902</v>
      </c>
      <c r="AA2104" s="172" t="e">
        <v>#N/A</v>
      </c>
      <c r="AB2104" s="169" t="e">
        <v>#N/A</v>
      </c>
    </row>
    <row r="2105" spans="20:28" x14ac:dyDescent="0.2">
      <c r="T2105" s="130"/>
      <c r="U2105" s="151"/>
      <c r="X2105" s="170" t="str">
        <f t="shared" si="41"/>
        <v>1w</v>
      </c>
      <c r="Y2105" s="168">
        <f>_xll.qlCalendarAdvance(LiborCalendar,Y2104,X2105,"f",FALSE)</f>
        <v>53905</v>
      </c>
      <c r="Z2105" s="171">
        <f>_xll.qlInterestRateIndexValueDate(IborIndex,Y2105,Trigger)</f>
        <v>53909</v>
      </c>
      <c r="AA2105" s="172" t="e">
        <v>#N/A</v>
      </c>
      <c r="AB2105" s="169" t="e">
        <v>#N/A</v>
      </c>
    </row>
    <row r="2106" spans="20:28" x14ac:dyDescent="0.2">
      <c r="T2106" s="130"/>
      <c r="U2106" s="151"/>
      <c r="X2106" s="170" t="str">
        <f t="shared" si="41"/>
        <v>1w</v>
      </c>
      <c r="Y2106" s="168">
        <f>_xll.qlCalendarAdvance(LiborCalendar,Y2105,X2106,"f",FALSE)</f>
        <v>53912</v>
      </c>
      <c r="Z2106" s="171">
        <f>_xll.qlInterestRateIndexValueDate(IborIndex,Y2106,Trigger)</f>
        <v>53916</v>
      </c>
      <c r="AA2106" s="172" t="e">
        <v>#N/A</v>
      </c>
      <c r="AB2106" s="169" t="e">
        <v>#N/A</v>
      </c>
    </row>
    <row r="2107" spans="20:28" x14ac:dyDescent="0.2">
      <c r="T2107" s="130"/>
      <c r="U2107" s="151"/>
      <c r="X2107" s="170" t="str">
        <f t="shared" si="41"/>
        <v>1w</v>
      </c>
      <c r="Y2107" s="168">
        <f>_xll.qlCalendarAdvance(LiborCalendar,Y2106,X2107,"f",FALSE)</f>
        <v>53919</v>
      </c>
      <c r="Z2107" s="171">
        <f>_xll.qlInterestRateIndexValueDate(IborIndex,Y2107,Trigger)</f>
        <v>53923</v>
      </c>
      <c r="AA2107" s="172" t="e">
        <v>#N/A</v>
      </c>
      <c r="AB2107" s="169" t="e">
        <v>#N/A</v>
      </c>
    </row>
    <row r="2108" spans="20:28" x14ac:dyDescent="0.2">
      <c r="T2108" s="130"/>
      <c r="U2108" s="151"/>
      <c r="X2108" s="170" t="str">
        <f t="shared" si="41"/>
        <v>1w</v>
      </c>
      <c r="Y2108" s="168">
        <f>_xll.qlCalendarAdvance(LiborCalendar,Y2107,X2108,"f",FALSE)</f>
        <v>53926</v>
      </c>
      <c r="Z2108" s="171">
        <f>_xll.qlInterestRateIndexValueDate(IborIndex,Y2108,Trigger)</f>
        <v>53931</v>
      </c>
      <c r="AA2108" s="172" t="e">
        <v>#N/A</v>
      </c>
      <c r="AB2108" s="169" t="e">
        <v>#N/A</v>
      </c>
    </row>
    <row r="2109" spans="20:28" x14ac:dyDescent="0.2">
      <c r="T2109" s="130"/>
      <c r="U2109" s="151"/>
      <c r="X2109" s="170" t="str">
        <f t="shared" si="41"/>
        <v>1w</v>
      </c>
      <c r="Y2109" s="168">
        <f>_xll.qlCalendarAdvance(LiborCalendar,Y2108,X2109,"f",FALSE)</f>
        <v>53933</v>
      </c>
      <c r="Z2109" s="171">
        <f>_xll.qlInterestRateIndexValueDate(IborIndex,Y2109,Trigger)</f>
        <v>53937</v>
      </c>
      <c r="AA2109" s="172" t="e">
        <v>#N/A</v>
      </c>
      <c r="AB2109" s="169" t="e">
        <v>#N/A</v>
      </c>
    </row>
    <row r="2110" spans="20:28" x14ac:dyDescent="0.2">
      <c r="T2110" s="130"/>
      <c r="U2110" s="151"/>
      <c r="X2110" s="170" t="str">
        <f t="shared" si="41"/>
        <v>1w</v>
      </c>
      <c r="Y2110" s="168">
        <f>_xll.qlCalendarAdvance(LiborCalendar,Y2109,X2110,"f",FALSE)</f>
        <v>53940</v>
      </c>
      <c r="Z2110" s="171">
        <f>_xll.qlInterestRateIndexValueDate(IborIndex,Y2110,Trigger)</f>
        <v>53944</v>
      </c>
      <c r="AA2110" s="172" t="e">
        <v>#N/A</v>
      </c>
      <c r="AB2110" s="169" t="e">
        <v>#N/A</v>
      </c>
    </row>
    <row r="2111" spans="20:28" x14ac:dyDescent="0.2">
      <c r="T2111" s="130"/>
      <c r="U2111" s="151"/>
      <c r="X2111" s="170" t="str">
        <f t="shared" si="41"/>
        <v>1w</v>
      </c>
      <c r="Y2111" s="168">
        <f>_xll.qlCalendarAdvance(LiborCalendar,Y2110,X2111,"f",FALSE)</f>
        <v>53947</v>
      </c>
      <c r="Z2111" s="171">
        <f>_xll.qlInterestRateIndexValueDate(IborIndex,Y2111,Trigger)</f>
        <v>53951</v>
      </c>
      <c r="AA2111" s="172" t="e">
        <v>#N/A</v>
      </c>
      <c r="AB2111" s="169" t="e">
        <v>#N/A</v>
      </c>
    </row>
    <row r="2112" spans="20:28" x14ac:dyDescent="0.2">
      <c r="T2112" s="130"/>
      <c r="U2112" s="151"/>
      <c r="X2112" s="170" t="str">
        <f t="shared" si="41"/>
        <v>1w</v>
      </c>
      <c r="Y2112" s="168">
        <f>_xll.qlCalendarAdvance(LiborCalendar,Y2111,X2112,"f",FALSE)</f>
        <v>53954</v>
      </c>
      <c r="Z2112" s="171">
        <f>_xll.qlInterestRateIndexValueDate(IborIndex,Y2112,Trigger)</f>
        <v>53958</v>
      </c>
      <c r="AA2112" s="172" t="e">
        <v>#N/A</v>
      </c>
      <c r="AB2112" s="169" t="e">
        <v>#N/A</v>
      </c>
    </row>
    <row r="2113" spans="20:28" x14ac:dyDescent="0.2">
      <c r="T2113" s="130"/>
      <c r="U2113" s="151"/>
      <c r="X2113" s="170" t="str">
        <f t="shared" si="41"/>
        <v>1w</v>
      </c>
      <c r="Y2113" s="168">
        <f>_xll.qlCalendarAdvance(LiborCalendar,Y2112,X2113,"f",FALSE)</f>
        <v>53961</v>
      </c>
      <c r="Z2113" s="171">
        <f>_xll.qlInterestRateIndexValueDate(IborIndex,Y2113,Trigger)</f>
        <v>53965</v>
      </c>
      <c r="AA2113" s="172" t="e">
        <v>#N/A</v>
      </c>
      <c r="AB2113" s="169" t="e">
        <v>#N/A</v>
      </c>
    </row>
    <row r="2114" spans="20:28" x14ac:dyDescent="0.2">
      <c r="T2114" s="130"/>
      <c r="U2114" s="151"/>
      <c r="X2114" s="170" t="str">
        <f t="shared" si="41"/>
        <v>1w</v>
      </c>
      <c r="Y2114" s="168">
        <f>_xll.qlCalendarAdvance(LiborCalendar,Y2113,X2114,"f",FALSE)</f>
        <v>53968</v>
      </c>
      <c r="Z2114" s="171">
        <f>_xll.qlInterestRateIndexValueDate(IborIndex,Y2114,Trigger)</f>
        <v>53972</v>
      </c>
      <c r="AA2114" s="172" t="e">
        <v>#N/A</v>
      </c>
      <c r="AB2114" s="169" t="e">
        <v>#N/A</v>
      </c>
    </row>
    <row r="2115" spans="20:28" x14ac:dyDescent="0.2">
      <c r="T2115" s="130"/>
      <c r="U2115" s="151"/>
      <c r="X2115" s="170" t="str">
        <f t="shared" si="41"/>
        <v>1w</v>
      </c>
      <c r="Y2115" s="168">
        <f>_xll.qlCalendarAdvance(LiborCalendar,Y2114,X2115,"f",FALSE)</f>
        <v>53975</v>
      </c>
      <c r="Z2115" s="171">
        <f>_xll.qlInterestRateIndexValueDate(IborIndex,Y2115,Trigger)</f>
        <v>53979</v>
      </c>
      <c r="AA2115" s="172" t="e">
        <v>#N/A</v>
      </c>
      <c r="AB2115" s="169" t="e">
        <v>#N/A</v>
      </c>
    </row>
    <row r="2116" spans="20:28" x14ac:dyDescent="0.2">
      <c r="T2116" s="130"/>
      <c r="U2116" s="151"/>
      <c r="X2116" s="170" t="str">
        <f t="shared" si="41"/>
        <v>1w</v>
      </c>
      <c r="Y2116" s="168">
        <f>_xll.qlCalendarAdvance(LiborCalendar,Y2115,X2116,"f",FALSE)</f>
        <v>53982</v>
      </c>
      <c r="Z2116" s="171">
        <f>_xll.qlInterestRateIndexValueDate(IborIndex,Y2116,Trigger)</f>
        <v>53986</v>
      </c>
      <c r="AA2116" s="172" t="e">
        <v>#N/A</v>
      </c>
      <c r="AB2116" s="169" t="e">
        <v>#N/A</v>
      </c>
    </row>
    <row r="2117" spans="20:28" x14ac:dyDescent="0.2">
      <c r="T2117" s="130"/>
      <c r="U2117" s="151"/>
      <c r="X2117" s="170" t="str">
        <f t="shared" si="41"/>
        <v>1w</v>
      </c>
      <c r="Y2117" s="168">
        <f>_xll.qlCalendarAdvance(LiborCalendar,Y2116,X2117,"f",FALSE)</f>
        <v>53989</v>
      </c>
      <c r="Z2117" s="171">
        <f>_xll.qlInterestRateIndexValueDate(IborIndex,Y2117,Trigger)</f>
        <v>53993</v>
      </c>
      <c r="AA2117" s="172" t="e">
        <v>#N/A</v>
      </c>
      <c r="AB2117" s="169" t="e">
        <v>#N/A</v>
      </c>
    </row>
    <row r="2118" spans="20:28" x14ac:dyDescent="0.2">
      <c r="T2118" s="130"/>
      <c r="U2118" s="151"/>
      <c r="X2118" s="170" t="str">
        <f t="shared" si="41"/>
        <v>1w</v>
      </c>
      <c r="Y2118" s="168">
        <f>_xll.qlCalendarAdvance(LiborCalendar,Y2117,X2118,"f",FALSE)</f>
        <v>53996</v>
      </c>
      <c r="Z2118" s="171">
        <f>_xll.qlInterestRateIndexValueDate(IborIndex,Y2118,Trigger)</f>
        <v>54000</v>
      </c>
      <c r="AA2118" s="172" t="e">
        <v>#N/A</v>
      </c>
      <c r="AB2118" s="169" t="e">
        <v>#N/A</v>
      </c>
    </row>
    <row r="2119" spans="20:28" x14ac:dyDescent="0.2">
      <c r="T2119" s="130"/>
      <c r="U2119" s="151"/>
      <c r="X2119" s="170" t="str">
        <f t="shared" si="41"/>
        <v>1w</v>
      </c>
      <c r="Y2119" s="168">
        <f>_xll.qlCalendarAdvance(LiborCalendar,Y2118,X2119,"f",FALSE)</f>
        <v>54003</v>
      </c>
      <c r="Z2119" s="171">
        <f>_xll.qlInterestRateIndexValueDate(IborIndex,Y2119,Trigger)</f>
        <v>54007</v>
      </c>
      <c r="AA2119" s="172" t="e">
        <v>#N/A</v>
      </c>
      <c r="AB2119" s="169" t="e">
        <v>#N/A</v>
      </c>
    </row>
    <row r="2120" spans="20:28" x14ac:dyDescent="0.2">
      <c r="T2120" s="130"/>
      <c r="U2120" s="151"/>
      <c r="X2120" s="170" t="str">
        <f t="shared" si="41"/>
        <v>1w</v>
      </c>
      <c r="Y2120" s="168">
        <f>_xll.qlCalendarAdvance(LiborCalendar,Y2119,X2120,"f",FALSE)</f>
        <v>54010</v>
      </c>
      <c r="Z2120" s="171">
        <f>_xll.qlInterestRateIndexValueDate(IborIndex,Y2120,Trigger)</f>
        <v>54014</v>
      </c>
      <c r="AA2120" s="172" t="e">
        <v>#N/A</v>
      </c>
      <c r="AB2120" s="169" t="e">
        <v>#N/A</v>
      </c>
    </row>
    <row r="2121" spans="20:28" x14ac:dyDescent="0.2">
      <c r="T2121" s="130"/>
      <c r="U2121" s="151"/>
      <c r="X2121" s="170" t="str">
        <f t="shared" si="41"/>
        <v>1w</v>
      </c>
      <c r="Y2121" s="168">
        <f>_xll.qlCalendarAdvance(LiborCalendar,Y2120,X2121,"f",FALSE)</f>
        <v>54017</v>
      </c>
      <c r="Z2121" s="171">
        <f>_xll.qlInterestRateIndexValueDate(IborIndex,Y2121,Trigger)</f>
        <v>54021</v>
      </c>
      <c r="AA2121" s="172" t="e">
        <v>#N/A</v>
      </c>
      <c r="AB2121" s="169" t="e">
        <v>#N/A</v>
      </c>
    </row>
    <row r="2122" spans="20:28" x14ac:dyDescent="0.2">
      <c r="T2122" s="130"/>
      <c r="U2122" s="151"/>
      <c r="X2122" s="170" t="str">
        <f t="shared" si="41"/>
        <v>1w</v>
      </c>
      <c r="Y2122" s="168">
        <f>_xll.qlCalendarAdvance(LiborCalendar,Y2121,X2122,"f",FALSE)</f>
        <v>54024</v>
      </c>
      <c r="Z2122" s="171">
        <f>_xll.qlInterestRateIndexValueDate(IborIndex,Y2122,Trigger)</f>
        <v>54028</v>
      </c>
      <c r="AA2122" s="172" t="e">
        <v>#N/A</v>
      </c>
      <c r="AB2122" s="169" t="e">
        <v>#N/A</v>
      </c>
    </row>
    <row r="2123" spans="20:28" x14ac:dyDescent="0.2">
      <c r="T2123" s="130"/>
      <c r="U2123" s="151"/>
      <c r="X2123" s="170" t="str">
        <f t="shared" si="41"/>
        <v>1w</v>
      </c>
      <c r="Y2123" s="168">
        <f>_xll.qlCalendarAdvance(LiborCalendar,Y2122,X2123,"f",FALSE)</f>
        <v>54031</v>
      </c>
      <c r="Z2123" s="171">
        <f>_xll.qlInterestRateIndexValueDate(IborIndex,Y2123,Trigger)</f>
        <v>54035</v>
      </c>
      <c r="AA2123" s="172" t="e">
        <v>#N/A</v>
      </c>
      <c r="AB2123" s="169" t="e">
        <v>#N/A</v>
      </c>
    </row>
    <row r="2124" spans="20:28" x14ac:dyDescent="0.2">
      <c r="T2124" s="130"/>
      <c r="U2124" s="151"/>
      <c r="X2124" s="170" t="str">
        <f t="shared" si="41"/>
        <v>1w</v>
      </c>
      <c r="Y2124" s="168">
        <f>_xll.qlCalendarAdvance(LiborCalendar,Y2123,X2124,"f",FALSE)</f>
        <v>54038</v>
      </c>
      <c r="Z2124" s="171">
        <f>_xll.qlInterestRateIndexValueDate(IborIndex,Y2124,Trigger)</f>
        <v>54042</v>
      </c>
      <c r="AA2124" s="172" t="e">
        <v>#N/A</v>
      </c>
      <c r="AB2124" s="169" t="e">
        <v>#N/A</v>
      </c>
    </row>
    <row r="2125" spans="20:28" x14ac:dyDescent="0.2">
      <c r="T2125" s="130"/>
      <c r="U2125" s="151"/>
      <c r="X2125" s="170" t="str">
        <f t="shared" si="41"/>
        <v>1w</v>
      </c>
      <c r="Y2125" s="168">
        <f>_xll.qlCalendarAdvance(LiborCalendar,Y2124,X2125,"f",FALSE)</f>
        <v>54045</v>
      </c>
      <c r="Z2125" s="171">
        <f>_xll.qlInterestRateIndexValueDate(IborIndex,Y2125,Trigger)</f>
        <v>54049</v>
      </c>
      <c r="AA2125" s="172" t="e">
        <v>#N/A</v>
      </c>
      <c r="AB2125" s="169" t="e">
        <v>#N/A</v>
      </c>
    </row>
    <row r="2126" spans="20:28" x14ac:dyDescent="0.2">
      <c r="T2126" s="130"/>
      <c r="U2126" s="151"/>
      <c r="X2126" s="170" t="str">
        <f t="shared" si="41"/>
        <v>1w</v>
      </c>
      <c r="Y2126" s="168">
        <f>_xll.qlCalendarAdvance(LiborCalendar,Y2125,X2126,"f",FALSE)</f>
        <v>54053</v>
      </c>
      <c r="Z2126" s="171">
        <f>_xll.qlInterestRateIndexValueDate(IborIndex,Y2126,Trigger)</f>
        <v>54057</v>
      </c>
      <c r="AA2126" s="172" t="e">
        <v>#N/A</v>
      </c>
      <c r="AB2126" s="169" t="e">
        <v>#N/A</v>
      </c>
    </row>
    <row r="2127" spans="20:28" x14ac:dyDescent="0.2">
      <c r="T2127" s="130"/>
      <c r="U2127" s="151"/>
      <c r="X2127" s="170" t="str">
        <f t="shared" si="41"/>
        <v>1w</v>
      </c>
      <c r="Y2127" s="168">
        <f>_xll.qlCalendarAdvance(LiborCalendar,Y2126,X2127,"f",FALSE)</f>
        <v>54060</v>
      </c>
      <c r="Z2127" s="171">
        <f>_xll.qlInterestRateIndexValueDate(IborIndex,Y2127,Trigger)</f>
        <v>54064</v>
      </c>
      <c r="AA2127" s="172" t="e">
        <v>#N/A</v>
      </c>
      <c r="AB2127" s="169" t="e">
        <v>#N/A</v>
      </c>
    </row>
    <row r="2128" spans="20:28" x14ac:dyDescent="0.2">
      <c r="T2128" s="130"/>
      <c r="U2128" s="151"/>
      <c r="X2128" s="170" t="str">
        <f t="shared" si="41"/>
        <v>1w</v>
      </c>
      <c r="Y2128" s="168">
        <f>_xll.qlCalendarAdvance(LiborCalendar,Y2127,X2128,"f",FALSE)</f>
        <v>54067</v>
      </c>
      <c r="Z2128" s="171">
        <f>_xll.qlInterestRateIndexValueDate(IborIndex,Y2128,Trigger)</f>
        <v>54071</v>
      </c>
      <c r="AA2128" s="172" t="e">
        <v>#N/A</v>
      </c>
      <c r="AB2128" s="169" t="e">
        <v>#N/A</v>
      </c>
    </row>
    <row r="2129" spans="20:28" x14ac:dyDescent="0.2">
      <c r="T2129" s="130"/>
      <c r="U2129" s="151"/>
      <c r="X2129" s="170" t="str">
        <f t="shared" si="41"/>
        <v>1w</v>
      </c>
      <c r="Y2129" s="168">
        <f>_xll.qlCalendarAdvance(LiborCalendar,Y2128,X2129,"f",FALSE)</f>
        <v>54074</v>
      </c>
      <c r="Z2129" s="171">
        <f>_xll.qlInterestRateIndexValueDate(IborIndex,Y2129,Trigger)</f>
        <v>54078</v>
      </c>
      <c r="AA2129" s="172" t="e">
        <v>#N/A</v>
      </c>
      <c r="AB2129" s="169" t="e">
        <v>#N/A</v>
      </c>
    </row>
    <row r="2130" spans="20:28" x14ac:dyDescent="0.2">
      <c r="T2130" s="130"/>
      <c r="U2130" s="151"/>
      <c r="X2130" s="170" t="str">
        <f t="shared" si="41"/>
        <v>1w</v>
      </c>
      <c r="Y2130" s="168">
        <f>_xll.qlCalendarAdvance(LiborCalendar,Y2129,X2130,"f",FALSE)</f>
        <v>54081</v>
      </c>
      <c r="Z2130" s="171">
        <f>_xll.qlInterestRateIndexValueDate(IborIndex,Y2130,Trigger)</f>
        <v>54085</v>
      </c>
      <c r="AA2130" s="172" t="e">
        <v>#N/A</v>
      </c>
      <c r="AB2130" s="169" t="e">
        <v>#N/A</v>
      </c>
    </row>
    <row r="2131" spans="20:28" x14ac:dyDescent="0.2">
      <c r="T2131" s="130"/>
      <c r="U2131" s="151"/>
      <c r="X2131" s="170" t="str">
        <f t="shared" si="41"/>
        <v>1w</v>
      </c>
      <c r="Y2131" s="168">
        <f>_xll.qlCalendarAdvance(LiborCalendar,Y2130,X2131,"f",FALSE)</f>
        <v>54088</v>
      </c>
      <c r="Z2131" s="171">
        <f>_xll.qlInterestRateIndexValueDate(IborIndex,Y2131,Trigger)</f>
        <v>54092</v>
      </c>
      <c r="AA2131" s="172" t="e">
        <v>#N/A</v>
      </c>
      <c r="AB2131" s="169" t="e">
        <v>#N/A</v>
      </c>
    </row>
    <row r="2132" spans="20:28" x14ac:dyDescent="0.2">
      <c r="T2132" s="130"/>
      <c r="U2132" s="151"/>
      <c r="X2132" s="170" t="str">
        <f t="shared" si="41"/>
        <v>1w</v>
      </c>
      <c r="Y2132" s="168">
        <f>_xll.qlCalendarAdvance(LiborCalendar,Y2131,X2132,"f",FALSE)</f>
        <v>54095</v>
      </c>
      <c r="Z2132" s="171">
        <f>_xll.qlInterestRateIndexValueDate(IborIndex,Y2132,Trigger)</f>
        <v>54099</v>
      </c>
      <c r="AA2132" s="172" t="e">
        <v>#N/A</v>
      </c>
      <c r="AB2132" s="169" t="e">
        <v>#N/A</v>
      </c>
    </row>
    <row r="2133" spans="20:28" x14ac:dyDescent="0.2">
      <c r="T2133" s="130"/>
      <c r="U2133" s="151"/>
      <c r="X2133" s="170" t="str">
        <f t="shared" ref="X2133:X2196" si="42">X2132</f>
        <v>1w</v>
      </c>
      <c r="Y2133" s="168">
        <f>_xll.qlCalendarAdvance(LiborCalendar,Y2132,X2133,"f",FALSE)</f>
        <v>54102</v>
      </c>
      <c r="Z2133" s="171">
        <f>_xll.qlInterestRateIndexValueDate(IborIndex,Y2133,Trigger)</f>
        <v>54106</v>
      </c>
      <c r="AA2133" s="172" t="e">
        <v>#N/A</v>
      </c>
      <c r="AB2133" s="169" t="e">
        <v>#N/A</v>
      </c>
    </row>
    <row r="2134" spans="20:28" x14ac:dyDescent="0.2">
      <c r="T2134" s="130"/>
      <c r="U2134" s="151"/>
      <c r="X2134" s="170" t="str">
        <f t="shared" si="42"/>
        <v>1w</v>
      </c>
      <c r="Y2134" s="168">
        <f>_xll.qlCalendarAdvance(LiborCalendar,Y2133,X2134,"f",FALSE)</f>
        <v>54109</v>
      </c>
      <c r="Z2134" s="171">
        <f>_xll.qlInterestRateIndexValueDate(IborIndex,Y2134,Trigger)</f>
        <v>54113</v>
      </c>
      <c r="AA2134" s="172" t="e">
        <v>#N/A</v>
      </c>
      <c r="AB2134" s="169" t="e">
        <v>#N/A</v>
      </c>
    </row>
    <row r="2135" spans="20:28" x14ac:dyDescent="0.2">
      <c r="T2135" s="130"/>
      <c r="U2135" s="151"/>
      <c r="X2135" s="170" t="str">
        <f t="shared" si="42"/>
        <v>1w</v>
      </c>
      <c r="Y2135" s="168">
        <f>_xll.qlCalendarAdvance(LiborCalendar,Y2134,X2135,"f",FALSE)</f>
        <v>54116</v>
      </c>
      <c r="Z2135" s="171">
        <f>_xll.qlInterestRateIndexValueDate(IborIndex,Y2135,Trigger)</f>
        <v>54120</v>
      </c>
      <c r="AA2135" s="172" t="e">
        <v>#N/A</v>
      </c>
      <c r="AB2135" s="169" t="e">
        <v>#N/A</v>
      </c>
    </row>
    <row r="2136" spans="20:28" x14ac:dyDescent="0.2">
      <c r="T2136" s="130"/>
      <c r="U2136" s="151"/>
      <c r="X2136" s="170" t="str">
        <f t="shared" si="42"/>
        <v>1w</v>
      </c>
      <c r="Y2136" s="168">
        <f>_xll.qlCalendarAdvance(LiborCalendar,Y2135,X2136,"f",FALSE)</f>
        <v>54123</v>
      </c>
      <c r="Z2136" s="171">
        <f>_xll.qlInterestRateIndexValueDate(IborIndex,Y2136,Trigger)</f>
        <v>54127</v>
      </c>
      <c r="AA2136" s="172" t="e">
        <v>#N/A</v>
      </c>
      <c r="AB2136" s="169" t="e">
        <v>#N/A</v>
      </c>
    </row>
    <row r="2137" spans="20:28" x14ac:dyDescent="0.2">
      <c r="T2137" s="130"/>
      <c r="U2137" s="151"/>
      <c r="X2137" s="170" t="str">
        <f t="shared" si="42"/>
        <v>1w</v>
      </c>
      <c r="Y2137" s="168">
        <f>_xll.qlCalendarAdvance(LiborCalendar,Y2136,X2137,"f",FALSE)</f>
        <v>54130</v>
      </c>
      <c r="Z2137" s="171">
        <f>_xll.qlInterestRateIndexValueDate(IborIndex,Y2137,Trigger)</f>
        <v>54134</v>
      </c>
      <c r="AA2137" s="172" t="e">
        <v>#N/A</v>
      </c>
      <c r="AB2137" s="169" t="e">
        <v>#N/A</v>
      </c>
    </row>
    <row r="2138" spans="20:28" x14ac:dyDescent="0.2">
      <c r="T2138" s="130"/>
      <c r="U2138" s="151"/>
      <c r="X2138" s="170" t="str">
        <f t="shared" si="42"/>
        <v>1w</v>
      </c>
      <c r="Y2138" s="168">
        <f>_xll.qlCalendarAdvance(LiborCalendar,Y2137,X2138,"f",FALSE)</f>
        <v>54137</v>
      </c>
      <c r="Z2138" s="171">
        <f>_xll.qlInterestRateIndexValueDate(IborIndex,Y2138,Trigger)</f>
        <v>54141</v>
      </c>
      <c r="AA2138" s="172" t="e">
        <v>#N/A</v>
      </c>
      <c r="AB2138" s="169" t="e">
        <v>#N/A</v>
      </c>
    </row>
    <row r="2139" spans="20:28" x14ac:dyDescent="0.2">
      <c r="T2139" s="130"/>
      <c r="U2139" s="151"/>
      <c r="X2139" s="170" t="str">
        <f t="shared" si="42"/>
        <v>1w</v>
      </c>
      <c r="Y2139" s="168">
        <f>_xll.qlCalendarAdvance(LiborCalendar,Y2138,X2139,"f",FALSE)</f>
        <v>54144</v>
      </c>
      <c r="Z2139" s="171">
        <f>_xll.qlInterestRateIndexValueDate(IborIndex,Y2139,Trigger)</f>
        <v>54148</v>
      </c>
      <c r="AA2139" s="172" t="e">
        <v>#N/A</v>
      </c>
      <c r="AB2139" s="169" t="e">
        <v>#N/A</v>
      </c>
    </row>
    <row r="2140" spans="20:28" x14ac:dyDescent="0.2">
      <c r="T2140" s="130"/>
      <c r="U2140" s="151"/>
      <c r="X2140" s="170" t="str">
        <f t="shared" si="42"/>
        <v>1w</v>
      </c>
      <c r="Y2140" s="168">
        <f>_xll.qlCalendarAdvance(LiborCalendar,Y2139,X2140,"f",FALSE)</f>
        <v>54155</v>
      </c>
      <c r="Z2140" s="171">
        <f>_xll.qlInterestRateIndexValueDate(IborIndex,Y2140,Trigger)</f>
        <v>54157</v>
      </c>
      <c r="AA2140" s="172" t="e">
        <v>#N/A</v>
      </c>
      <c r="AB2140" s="169" t="e">
        <v>#N/A</v>
      </c>
    </row>
    <row r="2141" spans="20:28" x14ac:dyDescent="0.2">
      <c r="T2141" s="130"/>
      <c r="U2141" s="151"/>
      <c r="X2141" s="170" t="str">
        <f t="shared" si="42"/>
        <v>1w</v>
      </c>
      <c r="Y2141" s="168">
        <f>_xll.qlCalendarAdvance(LiborCalendar,Y2140,X2141,"f",FALSE)</f>
        <v>54162</v>
      </c>
      <c r="Z2141" s="171">
        <f>_xll.qlInterestRateIndexValueDate(IborIndex,Y2141,Trigger)</f>
        <v>54164</v>
      </c>
      <c r="AA2141" s="172" t="e">
        <v>#N/A</v>
      </c>
      <c r="AB2141" s="169" t="e">
        <v>#N/A</v>
      </c>
    </row>
    <row r="2142" spans="20:28" x14ac:dyDescent="0.2">
      <c r="T2142" s="130"/>
      <c r="U2142" s="151"/>
      <c r="X2142" s="170" t="str">
        <f t="shared" si="42"/>
        <v>1w</v>
      </c>
      <c r="Y2142" s="168">
        <f>_xll.qlCalendarAdvance(LiborCalendar,Y2141,X2142,"f",FALSE)</f>
        <v>54169</v>
      </c>
      <c r="Z2142" s="171">
        <f>_xll.qlInterestRateIndexValueDate(IborIndex,Y2142,Trigger)</f>
        <v>54171</v>
      </c>
      <c r="AA2142" s="172" t="e">
        <v>#N/A</v>
      </c>
      <c r="AB2142" s="169" t="e">
        <v>#N/A</v>
      </c>
    </row>
    <row r="2143" spans="20:28" x14ac:dyDescent="0.2">
      <c r="T2143" s="130"/>
      <c r="U2143" s="151"/>
      <c r="X2143" s="170" t="str">
        <f t="shared" si="42"/>
        <v>1w</v>
      </c>
      <c r="Y2143" s="168">
        <f>_xll.qlCalendarAdvance(LiborCalendar,Y2142,X2143,"f",FALSE)</f>
        <v>54176</v>
      </c>
      <c r="Z2143" s="171">
        <f>_xll.qlInterestRateIndexValueDate(IborIndex,Y2143,Trigger)</f>
        <v>54178</v>
      </c>
      <c r="AA2143" s="172" t="e">
        <v>#N/A</v>
      </c>
      <c r="AB2143" s="169" t="e">
        <v>#N/A</v>
      </c>
    </row>
    <row r="2144" spans="20:28" x14ac:dyDescent="0.2">
      <c r="T2144" s="130"/>
      <c r="U2144" s="151"/>
      <c r="X2144" s="170" t="str">
        <f t="shared" si="42"/>
        <v>1w</v>
      </c>
      <c r="Y2144" s="168">
        <f>_xll.qlCalendarAdvance(LiborCalendar,Y2143,X2144,"f",FALSE)</f>
        <v>54183</v>
      </c>
      <c r="Z2144" s="171">
        <f>_xll.qlInterestRateIndexValueDate(IborIndex,Y2144,Trigger)</f>
        <v>54185</v>
      </c>
      <c r="AA2144" s="172" t="e">
        <v>#N/A</v>
      </c>
      <c r="AB2144" s="169" t="e">
        <v>#N/A</v>
      </c>
    </row>
    <row r="2145" spans="20:28" x14ac:dyDescent="0.2">
      <c r="T2145" s="130"/>
      <c r="U2145" s="151"/>
      <c r="X2145" s="170" t="str">
        <f t="shared" si="42"/>
        <v>1w</v>
      </c>
      <c r="Y2145" s="168">
        <f>_xll.qlCalendarAdvance(LiborCalendar,Y2144,X2145,"f",FALSE)</f>
        <v>54190</v>
      </c>
      <c r="Z2145" s="171">
        <f>_xll.qlInterestRateIndexValueDate(IborIndex,Y2145,Trigger)</f>
        <v>54193</v>
      </c>
      <c r="AA2145" s="172" t="e">
        <v>#N/A</v>
      </c>
      <c r="AB2145" s="169" t="e">
        <v>#N/A</v>
      </c>
    </row>
    <row r="2146" spans="20:28" x14ac:dyDescent="0.2">
      <c r="T2146" s="130"/>
      <c r="U2146" s="151"/>
      <c r="X2146" s="170" t="str">
        <f t="shared" si="42"/>
        <v>1w</v>
      </c>
      <c r="Y2146" s="168">
        <f>_xll.qlCalendarAdvance(LiborCalendar,Y2145,X2146,"f",FALSE)</f>
        <v>54197</v>
      </c>
      <c r="Z2146" s="171">
        <f>_xll.qlInterestRateIndexValueDate(IborIndex,Y2146,Trigger)</f>
        <v>54199</v>
      </c>
      <c r="AA2146" s="172" t="e">
        <v>#N/A</v>
      </c>
      <c r="AB2146" s="169" t="e">
        <v>#N/A</v>
      </c>
    </row>
    <row r="2147" spans="20:28" x14ac:dyDescent="0.2">
      <c r="T2147" s="130"/>
      <c r="U2147" s="151"/>
      <c r="X2147" s="170" t="str">
        <f t="shared" si="42"/>
        <v>1w</v>
      </c>
      <c r="Y2147" s="168">
        <f>_xll.qlCalendarAdvance(LiborCalendar,Y2146,X2147,"f",FALSE)</f>
        <v>54204</v>
      </c>
      <c r="Z2147" s="171">
        <f>_xll.qlInterestRateIndexValueDate(IborIndex,Y2147,Trigger)</f>
        <v>54206</v>
      </c>
      <c r="AA2147" s="172" t="e">
        <v>#N/A</v>
      </c>
      <c r="AB2147" s="169" t="e">
        <v>#N/A</v>
      </c>
    </row>
    <row r="2148" spans="20:28" x14ac:dyDescent="0.2">
      <c r="T2148" s="130"/>
      <c r="U2148" s="151"/>
      <c r="X2148" s="170" t="str">
        <f t="shared" si="42"/>
        <v>1w</v>
      </c>
      <c r="Y2148" s="168">
        <f>_xll.qlCalendarAdvance(LiborCalendar,Y2147,X2148,"f",FALSE)</f>
        <v>54211</v>
      </c>
      <c r="Z2148" s="171">
        <f>_xll.qlInterestRateIndexValueDate(IborIndex,Y2148,Trigger)</f>
        <v>54213</v>
      </c>
      <c r="AA2148" s="172" t="e">
        <v>#N/A</v>
      </c>
      <c r="AB2148" s="169" t="e">
        <v>#N/A</v>
      </c>
    </row>
    <row r="2149" spans="20:28" x14ac:dyDescent="0.2">
      <c r="T2149" s="130"/>
      <c r="U2149" s="151"/>
      <c r="X2149" s="170" t="str">
        <f t="shared" si="42"/>
        <v>1w</v>
      </c>
      <c r="Y2149" s="168">
        <f>_xll.qlCalendarAdvance(LiborCalendar,Y2148,X2149,"f",FALSE)</f>
        <v>54218</v>
      </c>
      <c r="Z2149" s="171">
        <f>_xll.qlInterestRateIndexValueDate(IborIndex,Y2149,Trigger)</f>
        <v>54220</v>
      </c>
      <c r="AA2149" s="172" t="e">
        <v>#N/A</v>
      </c>
      <c r="AB2149" s="169" t="e">
        <v>#N/A</v>
      </c>
    </row>
    <row r="2150" spans="20:28" x14ac:dyDescent="0.2">
      <c r="T2150" s="130"/>
      <c r="U2150" s="151"/>
      <c r="X2150" s="170" t="str">
        <f t="shared" si="42"/>
        <v>1w</v>
      </c>
      <c r="Y2150" s="168">
        <f>_xll.qlCalendarAdvance(LiborCalendar,Y2149,X2150,"f",FALSE)</f>
        <v>54225</v>
      </c>
      <c r="Z2150" s="171">
        <f>_xll.qlInterestRateIndexValueDate(IborIndex,Y2150,Trigger)</f>
        <v>54227</v>
      </c>
      <c r="AA2150" s="172" t="e">
        <v>#N/A</v>
      </c>
      <c r="AB2150" s="169" t="e">
        <v>#N/A</v>
      </c>
    </row>
    <row r="2151" spans="20:28" x14ac:dyDescent="0.2">
      <c r="T2151" s="130"/>
      <c r="U2151" s="151"/>
      <c r="X2151" s="170" t="str">
        <f t="shared" si="42"/>
        <v>1w</v>
      </c>
      <c r="Y2151" s="168">
        <f>_xll.qlCalendarAdvance(LiborCalendar,Y2150,X2151,"f",FALSE)</f>
        <v>54232</v>
      </c>
      <c r="Z2151" s="171">
        <f>_xll.qlInterestRateIndexValueDate(IborIndex,Y2151,Trigger)</f>
        <v>54234</v>
      </c>
      <c r="AA2151" s="172" t="e">
        <v>#N/A</v>
      </c>
      <c r="AB2151" s="169" t="e">
        <v>#N/A</v>
      </c>
    </row>
    <row r="2152" spans="20:28" x14ac:dyDescent="0.2">
      <c r="T2152" s="130"/>
      <c r="U2152" s="151"/>
      <c r="X2152" s="170" t="str">
        <f t="shared" si="42"/>
        <v>1w</v>
      </c>
      <c r="Y2152" s="168">
        <f>_xll.qlCalendarAdvance(LiborCalendar,Y2151,X2152,"f",FALSE)</f>
        <v>54239</v>
      </c>
      <c r="Z2152" s="171">
        <f>_xll.qlInterestRateIndexValueDate(IborIndex,Y2152,Trigger)</f>
        <v>54241</v>
      </c>
      <c r="AA2152" s="172" t="e">
        <v>#N/A</v>
      </c>
      <c r="AB2152" s="169" t="e">
        <v>#N/A</v>
      </c>
    </row>
    <row r="2153" spans="20:28" x14ac:dyDescent="0.2">
      <c r="T2153" s="130"/>
      <c r="U2153" s="151"/>
      <c r="X2153" s="170" t="str">
        <f t="shared" si="42"/>
        <v>1w</v>
      </c>
      <c r="Y2153" s="168">
        <f>_xll.qlCalendarAdvance(LiborCalendar,Y2152,X2153,"f",FALSE)</f>
        <v>54246</v>
      </c>
      <c r="Z2153" s="171">
        <f>_xll.qlInterestRateIndexValueDate(IborIndex,Y2153,Trigger)</f>
        <v>54248</v>
      </c>
      <c r="AA2153" s="172" t="e">
        <v>#N/A</v>
      </c>
      <c r="AB2153" s="169" t="e">
        <v>#N/A</v>
      </c>
    </row>
    <row r="2154" spans="20:28" x14ac:dyDescent="0.2">
      <c r="T2154" s="130"/>
      <c r="U2154" s="151"/>
      <c r="X2154" s="170" t="str">
        <f t="shared" si="42"/>
        <v>1w</v>
      </c>
      <c r="Y2154" s="168">
        <f>_xll.qlCalendarAdvance(LiborCalendar,Y2153,X2154,"f",FALSE)</f>
        <v>54253</v>
      </c>
      <c r="Z2154" s="171">
        <f>_xll.qlInterestRateIndexValueDate(IborIndex,Y2154,Trigger)</f>
        <v>54255</v>
      </c>
      <c r="AA2154" s="172" t="e">
        <v>#N/A</v>
      </c>
      <c r="AB2154" s="169" t="e">
        <v>#N/A</v>
      </c>
    </row>
    <row r="2155" spans="20:28" x14ac:dyDescent="0.2">
      <c r="T2155" s="130"/>
      <c r="U2155" s="151"/>
      <c r="X2155" s="170" t="str">
        <f t="shared" si="42"/>
        <v>1w</v>
      </c>
      <c r="Y2155" s="168">
        <f>_xll.qlCalendarAdvance(LiborCalendar,Y2154,X2155,"f",FALSE)</f>
        <v>54260</v>
      </c>
      <c r="Z2155" s="171">
        <f>_xll.qlInterestRateIndexValueDate(IborIndex,Y2155,Trigger)</f>
        <v>54262</v>
      </c>
      <c r="AA2155" s="172" t="e">
        <v>#N/A</v>
      </c>
      <c r="AB2155" s="169" t="e">
        <v>#N/A</v>
      </c>
    </row>
    <row r="2156" spans="20:28" x14ac:dyDescent="0.2">
      <c r="T2156" s="130"/>
      <c r="U2156" s="151"/>
      <c r="X2156" s="170" t="str">
        <f t="shared" si="42"/>
        <v>1w</v>
      </c>
      <c r="Y2156" s="168">
        <f>_xll.qlCalendarAdvance(LiborCalendar,Y2155,X2156,"f",FALSE)</f>
        <v>54267</v>
      </c>
      <c r="Z2156" s="171">
        <f>_xll.qlInterestRateIndexValueDate(IborIndex,Y2156,Trigger)</f>
        <v>54269</v>
      </c>
      <c r="AA2156" s="172" t="e">
        <v>#N/A</v>
      </c>
      <c r="AB2156" s="169" t="e">
        <v>#N/A</v>
      </c>
    </row>
    <row r="2157" spans="20:28" x14ac:dyDescent="0.2">
      <c r="T2157" s="130"/>
      <c r="U2157" s="151"/>
      <c r="X2157" s="170" t="str">
        <f t="shared" si="42"/>
        <v>1w</v>
      </c>
      <c r="Y2157" s="168">
        <f>_xll.qlCalendarAdvance(LiborCalendar,Y2156,X2157,"f",FALSE)</f>
        <v>54274</v>
      </c>
      <c r="Z2157" s="171">
        <f>_xll.qlInterestRateIndexValueDate(IborIndex,Y2157,Trigger)</f>
        <v>54276</v>
      </c>
      <c r="AA2157" s="172" t="e">
        <v>#N/A</v>
      </c>
      <c r="AB2157" s="169" t="e">
        <v>#N/A</v>
      </c>
    </row>
    <row r="2158" spans="20:28" x14ac:dyDescent="0.2">
      <c r="T2158" s="130"/>
      <c r="U2158" s="151"/>
      <c r="X2158" s="170" t="str">
        <f t="shared" si="42"/>
        <v>1w</v>
      </c>
      <c r="Y2158" s="168">
        <f>_xll.qlCalendarAdvance(LiborCalendar,Y2157,X2158,"f",FALSE)</f>
        <v>54281</v>
      </c>
      <c r="Z2158" s="171">
        <f>_xll.qlInterestRateIndexValueDate(IborIndex,Y2158,Trigger)</f>
        <v>54283</v>
      </c>
      <c r="AA2158" s="172" t="e">
        <v>#N/A</v>
      </c>
      <c r="AB2158" s="169" t="e">
        <v>#N/A</v>
      </c>
    </row>
    <row r="2159" spans="20:28" x14ac:dyDescent="0.2">
      <c r="T2159" s="130"/>
      <c r="U2159" s="151"/>
      <c r="X2159" s="170" t="str">
        <f t="shared" si="42"/>
        <v>1w</v>
      </c>
      <c r="Y2159" s="168">
        <f>_xll.qlCalendarAdvance(LiborCalendar,Y2158,X2159,"f",FALSE)</f>
        <v>54288</v>
      </c>
      <c r="Z2159" s="171">
        <f>_xll.qlInterestRateIndexValueDate(IborIndex,Y2159,Trigger)</f>
        <v>54290</v>
      </c>
      <c r="AA2159" s="172" t="e">
        <v>#N/A</v>
      </c>
      <c r="AB2159" s="169" t="e">
        <v>#N/A</v>
      </c>
    </row>
    <row r="2160" spans="20:28" x14ac:dyDescent="0.2">
      <c r="T2160" s="130"/>
      <c r="U2160" s="151"/>
      <c r="X2160" s="170" t="str">
        <f t="shared" si="42"/>
        <v>1w</v>
      </c>
      <c r="Y2160" s="168">
        <f>_xll.qlCalendarAdvance(LiborCalendar,Y2159,X2160,"f",FALSE)</f>
        <v>54295</v>
      </c>
      <c r="Z2160" s="171">
        <f>_xll.qlInterestRateIndexValueDate(IborIndex,Y2160,Trigger)</f>
        <v>54297</v>
      </c>
      <c r="AA2160" s="172" t="e">
        <v>#N/A</v>
      </c>
      <c r="AB2160" s="169" t="e">
        <v>#N/A</v>
      </c>
    </row>
    <row r="2161" spans="20:28" x14ac:dyDescent="0.2">
      <c r="T2161" s="130"/>
      <c r="U2161" s="151"/>
      <c r="X2161" s="170" t="str">
        <f t="shared" si="42"/>
        <v>1w</v>
      </c>
      <c r="Y2161" s="168">
        <f>_xll.qlCalendarAdvance(LiborCalendar,Y2160,X2161,"f",FALSE)</f>
        <v>54302</v>
      </c>
      <c r="Z2161" s="171">
        <f>_xll.qlInterestRateIndexValueDate(IborIndex,Y2161,Trigger)</f>
        <v>54304</v>
      </c>
      <c r="AA2161" s="172" t="e">
        <v>#N/A</v>
      </c>
      <c r="AB2161" s="169" t="e">
        <v>#N/A</v>
      </c>
    </row>
    <row r="2162" spans="20:28" x14ac:dyDescent="0.2">
      <c r="T2162" s="130"/>
      <c r="U2162" s="151"/>
      <c r="X2162" s="170" t="str">
        <f t="shared" si="42"/>
        <v>1w</v>
      </c>
      <c r="Y2162" s="168">
        <f>_xll.qlCalendarAdvance(LiborCalendar,Y2161,X2162,"f",FALSE)</f>
        <v>54309</v>
      </c>
      <c r="Z2162" s="171">
        <f>_xll.qlInterestRateIndexValueDate(IborIndex,Y2162,Trigger)</f>
        <v>54311</v>
      </c>
      <c r="AA2162" s="172" t="e">
        <v>#N/A</v>
      </c>
      <c r="AB2162" s="169" t="e">
        <v>#N/A</v>
      </c>
    </row>
    <row r="2163" spans="20:28" x14ac:dyDescent="0.2">
      <c r="T2163" s="130"/>
      <c r="U2163" s="151"/>
      <c r="X2163" s="170" t="str">
        <f t="shared" si="42"/>
        <v>1w</v>
      </c>
      <c r="Y2163" s="168">
        <f>_xll.qlCalendarAdvance(LiborCalendar,Y2162,X2163,"f",FALSE)</f>
        <v>54316</v>
      </c>
      <c r="Z2163" s="171">
        <f>_xll.qlInterestRateIndexValueDate(IborIndex,Y2163,Trigger)</f>
        <v>54318</v>
      </c>
      <c r="AA2163" s="172" t="e">
        <v>#N/A</v>
      </c>
      <c r="AB2163" s="169" t="e">
        <v>#N/A</v>
      </c>
    </row>
    <row r="2164" spans="20:28" x14ac:dyDescent="0.2">
      <c r="T2164" s="130"/>
      <c r="U2164" s="151"/>
      <c r="X2164" s="170" t="str">
        <f t="shared" si="42"/>
        <v>1w</v>
      </c>
      <c r="Y2164" s="168">
        <f>_xll.qlCalendarAdvance(LiborCalendar,Y2163,X2164,"f",FALSE)</f>
        <v>54323</v>
      </c>
      <c r="Z2164" s="171">
        <f>_xll.qlInterestRateIndexValueDate(IborIndex,Y2164,Trigger)</f>
        <v>54325</v>
      </c>
      <c r="AA2164" s="172" t="e">
        <v>#N/A</v>
      </c>
      <c r="AB2164" s="169" t="e">
        <v>#N/A</v>
      </c>
    </row>
    <row r="2165" spans="20:28" x14ac:dyDescent="0.2">
      <c r="T2165" s="130"/>
      <c r="U2165" s="151"/>
      <c r="X2165" s="170" t="str">
        <f t="shared" si="42"/>
        <v>1w</v>
      </c>
      <c r="Y2165" s="168">
        <f>_xll.qlCalendarAdvance(LiborCalendar,Y2164,X2165,"f",FALSE)</f>
        <v>54330</v>
      </c>
      <c r="Z2165" s="171">
        <f>_xll.qlInterestRateIndexValueDate(IborIndex,Y2165,Trigger)</f>
        <v>54332</v>
      </c>
      <c r="AA2165" s="172" t="e">
        <v>#N/A</v>
      </c>
      <c r="AB2165" s="169" t="e">
        <v>#N/A</v>
      </c>
    </row>
    <row r="2166" spans="20:28" x14ac:dyDescent="0.2">
      <c r="T2166" s="130"/>
      <c r="U2166" s="151"/>
      <c r="X2166" s="170" t="str">
        <f t="shared" si="42"/>
        <v>1w</v>
      </c>
      <c r="Y2166" s="168">
        <f>_xll.qlCalendarAdvance(LiborCalendar,Y2165,X2166,"f",FALSE)</f>
        <v>54337</v>
      </c>
      <c r="Z2166" s="171">
        <f>_xll.qlInterestRateIndexValueDate(IborIndex,Y2166,Trigger)</f>
        <v>54339</v>
      </c>
      <c r="AA2166" s="172" t="e">
        <v>#N/A</v>
      </c>
      <c r="AB2166" s="169" t="e">
        <v>#N/A</v>
      </c>
    </row>
    <row r="2167" spans="20:28" x14ac:dyDescent="0.2">
      <c r="T2167" s="130"/>
      <c r="U2167" s="151"/>
      <c r="X2167" s="170" t="str">
        <f t="shared" si="42"/>
        <v>1w</v>
      </c>
      <c r="Y2167" s="168">
        <f>_xll.qlCalendarAdvance(LiborCalendar,Y2166,X2167,"f",FALSE)</f>
        <v>54344</v>
      </c>
      <c r="Z2167" s="171">
        <f>_xll.qlInterestRateIndexValueDate(IborIndex,Y2167,Trigger)</f>
        <v>54346</v>
      </c>
      <c r="AA2167" s="172" t="e">
        <v>#N/A</v>
      </c>
      <c r="AB2167" s="169" t="e">
        <v>#N/A</v>
      </c>
    </row>
    <row r="2168" spans="20:28" x14ac:dyDescent="0.2">
      <c r="T2168" s="130"/>
      <c r="U2168" s="151"/>
      <c r="X2168" s="170" t="str">
        <f t="shared" si="42"/>
        <v>1w</v>
      </c>
      <c r="Y2168" s="168">
        <f>_xll.qlCalendarAdvance(LiborCalendar,Y2167,X2168,"f",FALSE)</f>
        <v>54351</v>
      </c>
      <c r="Z2168" s="171">
        <f>_xll.qlInterestRateIndexValueDate(IborIndex,Y2168,Trigger)</f>
        <v>54353</v>
      </c>
      <c r="AA2168" s="172" t="e">
        <v>#N/A</v>
      </c>
      <c r="AB2168" s="169" t="e">
        <v>#N/A</v>
      </c>
    </row>
    <row r="2169" spans="20:28" x14ac:dyDescent="0.2">
      <c r="T2169" s="130"/>
      <c r="U2169" s="151"/>
      <c r="X2169" s="170" t="str">
        <f t="shared" si="42"/>
        <v>1w</v>
      </c>
      <c r="Y2169" s="168">
        <f>_xll.qlCalendarAdvance(LiborCalendar,Y2168,X2169,"f",FALSE)</f>
        <v>54358</v>
      </c>
      <c r="Z2169" s="171">
        <f>_xll.qlInterestRateIndexValueDate(IborIndex,Y2169,Trigger)</f>
        <v>54360</v>
      </c>
      <c r="AA2169" s="172" t="e">
        <v>#N/A</v>
      </c>
      <c r="AB2169" s="169" t="e">
        <v>#N/A</v>
      </c>
    </row>
    <row r="2170" spans="20:28" x14ac:dyDescent="0.2">
      <c r="T2170" s="130"/>
      <c r="U2170" s="151"/>
      <c r="X2170" s="170" t="str">
        <f t="shared" si="42"/>
        <v>1w</v>
      </c>
      <c r="Y2170" s="168">
        <f>_xll.qlCalendarAdvance(LiborCalendar,Y2169,X2170,"f",FALSE)</f>
        <v>54365</v>
      </c>
      <c r="Z2170" s="171">
        <f>_xll.qlInterestRateIndexValueDate(IborIndex,Y2170,Trigger)</f>
        <v>54367</v>
      </c>
      <c r="AA2170" s="172" t="e">
        <v>#N/A</v>
      </c>
      <c r="AB2170" s="169" t="e">
        <v>#N/A</v>
      </c>
    </row>
    <row r="2171" spans="20:28" x14ac:dyDescent="0.2">
      <c r="T2171" s="130"/>
      <c r="U2171" s="151"/>
      <c r="X2171" s="170" t="str">
        <f t="shared" si="42"/>
        <v>1w</v>
      </c>
      <c r="Y2171" s="168">
        <f>_xll.qlCalendarAdvance(LiborCalendar,Y2170,X2171,"f",FALSE)</f>
        <v>54372</v>
      </c>
      <c r="Z2171" s="171">
        <f>_xll.qlInterestRateIndexValueDate(IborIndex,Y2171,Trigger)</f>
        <v>54374</v>
      </c>
      <c r="AA2171" s="172" t="e">
        <v>#N/A</v>
      </c>
      <c r="AB2171" s="169" t="e">
        <v>#N/A</v>
      </c>
    </row>
    <row r="2172" spans="20:28" x14ac:dyDescent="0.2">
      <c r="T2172" s="130"/>
      <c r="U2172" s="151"/>
      <c r="X2172" s="170" t="str">
        <f t="shared" si="42"/>
        <v>1w</v>
      </c>
      <c r="Y2172" s="168">
        <f>_xll.qlCalendarAdvance(LiborCalendar,Y2171,X2172,"f",FALSE)</f>
        <v>54379</v>
      </c>
      <c r="Z2172" s="171">
        <f>_xll.qlInterestRateIndexValueDate(IborIndex,Y2172,Trigger)</f>
        <v>54381</v>
      </c>
      <c r="AA2172" s="172" t="e">
        <v>#N/A</v>
      </c>
      <c r="AB2172" s="169" t="e">
        <v>#N/A</v>
      </c>
    </row>
    <row r="2173" spans="20:28" x14ac:dyDescent="0.2">
      <c r="T2173" s="130"/>
      <c r="U2173" s="151"/>
      <c r="X2173" s="170" t="str">
        <f t="shared" si="42"/>
        <v>1w</v>
      </c>
      <c r="Y2173" s="168">
        <f>_xll.qlCalendarAdvance(LiborCalendar,Y2172,X2173,"f",FALSE)</f>
        <v>54386</v>
      </c>
      <c r="Z2173" s="171">
        <f>_xll.qlInterestRateIndexValueDate(IborIndex,Y2173,Trigger)</f>
        <v>54388</v>
      </c>
      <c r="AA2173" s="172" t="e">
        <v>#N/A</v>
      </c>
      <c r="AB2173" s="169" t="e">
        <v>#N/A</v>
      </c>
    </row>
    <row r="2174" spans="20:28" x14ac:dyDescent="0.2">
      <c r="T2174" s="130"/>
      <c r="U2174" s="151"/>
      <c r="X2174" s="170" t="str">
        <f t="shared" si="42"/>
        <v>1w</v>
      </c>
      <c r="Y2174" s="168">
        <f>_xll.qlCalendarAdvance(LiborCalendar,Y2173,X2174,"f",FALSE)</f>
        <v>54393</v>
      </c>
      <c r="Z2174" s="171">
        <f>_xll.qlInterestRateIndexValueDate(IborIndex,Y2174,Trigger)</f>
        <v>54395</v>
      </c>
      <c r="AA2174" s="172" t="e">
        <v>#N/A</v>
      </c>
      <c r="AB2174" s="169" t="e">
        <v>#N/A</v>
      </c>
    </row>
    <row r="2175" spans="20:28" x14ac:dyDescent="0.2">
      <c r="T2175" s="130"/>
      <c r="U2175" s="151"/>
      <c r="X2175" s="170" t="str">
        <f t="shared" si="42"/>
        <v>1w</v>
      </c>
      <c r="Y2175" s="168">
        <f>_xll.qlCalendarAdvance(LiborCalendar,Y2174,X2175,"f",FALSE)</f>
        <v>54400</v>
      </c>
      <c r="Z2175" s="171">
        <f>_xll.qlInterestRateIndexValueDate(IborIndex,Y2175,Trigger)</f>
        <v>54402</v>
      </c>
      <c r="AA2175" s="172" t="e">
        <v>#N/A</v>
      </c>
      <c r="AB2175" s="169" t="e">
        <v>#N/A</v>
      </c>
    </row>
    <row r="2176" spans="20:28" x14ac:dyDescent="0.2">
      <c r="T2176" s="130"/>
      <c r="U2176" s="151"/>
      <c r="X2176" s="170" t="str">
        <f t="shared" si="42"/>
        <v>1w</v>
      </c>
      <c r="Y2176" s="168">
        <f>_xll.qlCalendarAdvance(LiborCalendar,Y2175,X2176,"f",FALSE)</f>
        <v>54407</v>
      </c>
      <c r="Z2176" s="171">
        <f>_xll.qlInterestRateIndexValueDate(IborIndex,Y2176,Trigger)</f>
        <v>54409</v>
      </c>
      <c r="AA2176" s="172" t="e">
        <v>#N/A</v>
      </c>
      <c r="AB2176" s="169" t="e">
        <v>#N/A</v>
      </c>
    </row>
    <row r="2177" spans="20:28" x14ac:dyDescent="0.2">
      <c r="T2177" s="130"/>
      <c r="U2177" s="151"/>
      <c r="X2177" s="170" t="str">
        <f t="shared" si="42"/>
        <v>1w</v>
      </c>
      <c r="Y2177" s="168">
        <f>_xll.qlCalendarAdvance(LiborCalendar,Y2176,X2177,"f",FALSE)</f>
        <v>54414</v>
      </c>
      <c r="Z2177" s="171">
        <f>_xll.qlInterestRateIndexValueDate(IborIndex,Y2177,Trigger)</f>
        <v>54416</v>
      </c>
      <c r="AA2177" s="172" t="e">
        <v>#N/A</v>
      </c>
      <c r="AB2177" s="169" t="e">
        <v>#N/A</v>
      </c>
    </row>
    <row r="2178" spans="20:28" x14ac:dyDescent="0.2">
      <c r="T2178" s="130"/>
      <c r="U2178" s="151"/>
      <c r="X2178" s="170" t="str">
        <f t="shared" si="42"/>
        <v>1w</v>
      </c>
      <c r="Y2178" s="168">
        <f>_xll.qlCalendarAdvance(LiborCalendar,Y2177,X2178,"f",FALSE)</f>
        <v>54421</v>
      </c>
      <c r="Z2178" s="171">
        <f>_xll.qlInterestRateIndexValueDate(IborIndex,Y2178,Trigger)</f>
        <v>54423</v>
      </c>
      <c r="AA2178" s="172" t="e">
        <v>#N/A</v>
      </c>
      <c r="AB2178" s="169" t="e">
        <v>#N/A</v>
      </c>
    </row>
    <row r="2179" spans="20:28" x14ac:dyDescent="0.2">
      <c r="T2179" s="130"/>
      <c r="U2179" s="151"/>
      <c r="X2179" s="170" t="str">
        <f t="shared" si="42"/>
        <v>1w</v>
      </c>
      <c r="Y2179" s="168">
        <f>_xll.qlCalendarAdvance(LiborCalendar,Y2178,X2179,"f",FALSE)</f>
        <v>54428</v>
      </c>
      <c r="Z2179" s="171">
        <f>_xll.qlInterestRateIndexValueDate(IborIndex,Y2179,Trigger)</f>
        <v>54430</v>
      </c>
      <c r="AA2179" s="172" t="e">
        <v>#N/A</v>
      </c>
      <c r="AB2179" s="169" t="e">
        <v>#N/A</v>
      </c>
    </row>
    <row r="2180" spans="20:28" x14ac:dyDescent="0.2">
      <c r="T2180" s="130"/>
      <c r="U2180" s="151"/>
      <c r="X2180" s="170" t="str">
        <f t="shared" si="42"/>
        <v>1w</v>
      </c>
      <c r="Y2180" s="168">
        <f>_xll.qlCalendarAdvance(LiborCalendar,Y2179,X2180,"f",FALSE)</f>
        <v>54435</v>
      </c>
      <c r="Z2180" s="171">
        <f>_xll.qlInterestRateIndexValueDate(IborIndex,Y2180,Trigger)</f>
        <v>54437</v>
      </c>
      <c r="AA2180" s="172" t="e">
        <v>#N/A</v>
      </c>
      <c r="AB2180" s="169" t="e">
        <v>#N/A</v>
      </c>
    </row>
    <row r="2181" spans="20:28" x14ac:dyDescent="0.2">
      <c r="T2181" s="130"/>
      <c r="U2181" s="151"/>
      <c r="X2181" s="170" t="str">
        <f t="shared" si="42"/>
        <v>1w</v>
      </c>
      <c r="Y2181" s="168">
        <f>_xll.qlCalendarAdvance(LiborCalendar,Y2180,X2181,"f",FALSE)</f>
        <v>54442</v>
      </c>
      <c r="Z2181" s="171">
        <f>_xll.qlInterestRateIndexValueDate(IborIndex,Y2181,Trigger)</f>
        <v>54444</v>
      </c>
      <c r="AA2181" s="172" t="e">
        <v>#N/A</v>
      </c>
      <c r="AB2181" s="169" t="e">
        <v>#N/A</v>
      </c>
    </row>
    <row r="2182" spans="20:28" x14ac:dyDescent="0.2">
      <c r="T2182" s="130"/>
      <c r="U2182" s="151"/>
      <c r="X2182" s="170" t="str">
        <f t="shared" si="42"/>
        <v>1w</v>
      </c>
      <c r="Y2182" s="168">
        <f>_xll.qlCalendarAdvance(LiborCalendar,Y2181,X2182,"f",FALSE)</f>
        <v>54449</v>
      </c>
      <c r="Z2182" s="171">
        <f>_xll.qlInterestRateIndexValueDate(IborIndex,Y2182,Trigger)</f>
        <v>54451</v>
      </c>
      <c r="AA2182" s="172" t="e">
        <v>#N/A</v>
      </c>
      <c r="AB2182" s="169" t="e">
        <v>#N/A</v>
      </c>
    </row>
    <row r="2183" spans="20:28" x14ac:dyDescent="0.2">
      <c r="T2183" s="130"/>
      <c r="U2183" s="151"/>
      <c r="X2183" s="170" t="str">
        <f t="shared" si="42"/>
        <v>1w</v>
      </c>
      <c r="Y2183" s="168">
        <f>_xll.qlCalendarAdvance(LiborCalendar,Y2182,X2183,"f",FALSE)</f>
        <v>54456</v>
      </c>
      <c r="Z2183" s="171">
        <f>_xll.qlInterestRateIndexValueDate(IborIndex,Y2183,Trigger)</f>
        <v>54458</v>
      </c>
      <c r="AA2183" s="172" t="e">
        <v>#N/A</v>
      </c>
      <c r="AB2183" s="169" t="e">
        <v>#N/A</v>
      </c>
    </row>
    <row r="2184" spans="20:28" x14ac:dyDescent="0.2">
      <c r="T2184" s="130"/>
      <c r="U2184" s="151"/>
      <c r="X2184" s="170" t="str">
        <f t="shared" si="42"/>
        <v>1w</v>
      </c>
      <c r="Y2184" s="168">
        <f>_xll.qlCalendarAdvance(LiborCalendar,Y2183,X2184,"f",FALSE)</f>
        <v>54463</v>
      </c>
      <c r="Z2184" s="171">
        <f>_xll.qlInterestRateIndexValueDate(IborIndex,Y2184,Trigger)</f>
        <v>54465</v>
      </c>
      <c r="AA2184" s="172" t="e">
        <v>#N/A</v>
      </c>
      <c r="AB2184" s="169" t="e">
        <v>#N/A</v>
      </c>
    </row>
    <row r="2185" spans="20:28" x14ac:dyDescent="0.2">
      <c r="T2185" s="130"/>
      <c r="U2185" s="151"/>
      <c r="X2185" s="170" t="str">
        <f t="shared" si="42"/>
        <v>1w</v>
      </c>
      <c r="Y2185" s="168">
        <f>_xll.qlCalendarAdvance(LiborCalendar,Y2184,X2185,"f",FALSE)</f>
        <v>54470</v>
      </c>
      <c r="Z2185" s="171">
        <f>_xll.qlInterestRateIndexValueDate(IborIndex,Y2185,Trigger)</f>
        <v>54472</v>
      </c>
      <c r="AA2185" s="172" t="e">
        <v>#N/A</v>
      </c>
      <c r="AB2185" s="169" t="e">
        <v>#N/A</v>
      </c>
    </row>
    <row r="2186" spans="20:28" x14ac:dyDescent="0.2">
      <c r="T2186" s="130"/>
      <c r="U2186" s="151"/>
      <c r="X2186" s="170" t="str">
        <f t="shared" si="42"/>
        <v>1w</v>
      </c>
      <c r="Y2186" s="168">
        <f>_xll.qlCalendarAdvance(LiborCalendar,Y2185,X2186,"f",FALSE)</f>
        <v>54477</v>
      </c>
      <c r="Z2186" s="171">
        <f>_xll.qlInterestRateIndexValueDate(IborIndex,Y2186,Trigger)</f>
        <v>54479</v>
      </c>
      <c r="AA2186" s="172" t="e">
        <v>#N/A</v>
      </c>
      <c r="AB2186" s="169" t="e">
        <v>#N/A</v>
      </c>
    </row>
    <row r="2187" spans="20:28" x14ac:dyDescent="0.2">
      <c r="T2187" s="130"/>
      <c r="U2187" s="151"/>
      <c r="X2187" s="170" t="str">
        <f t="shared" si="42"/>
        <v>1w</v>
      </c>
      <c r="Y2187" s="168">
        <f>_xll.qlCalendarAdvance(LiborCalendar,Y2186,X2187,"f",FALSE)</f>
        <v>54484</v>
      </c>
      <c r="Z2187" s="171">
        <f>_xll.qlInterestRateIndexValueDate(IborIndex,Y2187,Trigger)</f>
        <v>54486</v>
      </c>
      <c r="AA2187" s="172" t="e">
        <v>#N/A</v>
      </c>
      <c r="AB2187" s="169" t="e">
        <v>#N/A</v>
      </c>
    </row>
    <row r="2188" spans="20:28" x14ac:dyDescent="0.2">
      <c r="T2188" s="130"/>
      <c r="U2188" s="151"/>
      <c r="X2188" s="170" t="str">
        <f t="shared" si="42"/>
        <v>1w</v>
      </c>
      <c r="Y2188" s="168">
        <f>_xll.qlCalendarAdvance(LiborCalendar,Y2187,X2188,"f",FALSE)</f>
        <v>54491</v>
      </c>
      <c r="Z2188" s="171">
        <f>_xll.qlInterestRateIndexValueDate(IborIndex,Y2188,Trigger)</f>
        <v>54493</v>
      </c>
      <c r="AA2188" s="172" t="e">
        <v>#N/A</v>
      </c>
      <c r="AB2188" s="169" t="e">
        <v>#N/A</v>
      </c>
    </row>
    <row r="2189" spans="20:28" x14ac:dyDescent="0.2">
      <c r="T2189" s="130"/>
      <c r="U2189" s="151"/>
      <c r="X2189" s="170" t="str">
        <f t="shared" si="42"/>
        <v>1w</v>
      </c>
      <c r="Y2189" s="168">
        <f>_xll.qlCalendarAdvance(LiborCalendar,Y2188,X2189,"f",FALSE)</f>
        <v>54498</v>
      </c>
      <c r="Z2189" s="171">
        <f>_xll.qlInterestRateIndexValueDate(IborIndex,Y2189,Trigger)</f>
        <v>54500</v>
      </c>
      <c r="AA2189" s="172" t="e">
        <v>#N/A</v>
      </c>
      <c r="AB2189" s="169" t="e">
        <v>#N/A</v>
      </c>
    </row>
    <row r="2190" spans="20:28" x14ac:dyDescent="0.2">
      <c r="T2190" s="130"/>
      <c r="U2190" s="151"/>
      <c r="X2190" s="170" t="str">
        <f t="shared" si="42"/>
        <v>1w</v>
      </c>
      <c r="Y2190" s="168">
        <f>_xll.qlCalendarAdvance(LiborCalendar,Y2189,X2190,"f",FALSE)</f>
        <v>54505</v>
      </c>
      <c r="Z2190" s="171">
        <f>_xll.qlInterestRateIndexValueDate(IborIndex,Y2190,Trigger)</f>
        <v>54507</v>
      </c>
      <c r="AA2190" s="172" t="e">
        <v>#N/A</v>
      </c>
      <c r="AB2190" s="169" t="e">
        <v>#N/A</v>
      </c>
    </row>
    <row r="2191" spans="20:28" x14ac:dyDescent="0.2">
      <c r="T2191" s="130"/>
      <c r="U2191" s="151"/>
      <c r="X2191" s="170" t="str">
        <f t="shared" si="42"/>
        <v>1w</v>
      </c>
      <c r="Y2191" s="168">
        <f>_xll.qlCalendarAdvance(LiborCalendar,Y2190,X2191,"f",FALSE)</f>
        <v>54512</v>
      </c>
      <c r="Z2191" s="171">
        <f>_xll.qlInterestRateIndexValueDate(IborIndex,Y2191,Trigger)</f>
        <v>54514</v>
      </c>
      <c r="AA2191" s="172" t="e">
        <v>#N/A</v>
      </c>
      <c r="AB2191" s="169" t="e">
        <v>#N/A</v>
      </c>
    </row>
    <row r="2192" spans="20:28" x14ac:dyDescent="0.2">
      <c r="T2192" s="130"/>
      <c r="U2192" s="151"/>
      <c r="X2192" s="170" t="str">
        <f t="shared" si="42"/>
        <v>1w</v>
      </c>
      <c r="Y2192" s="168">
        <f>_xll.qlCalendarAdvance(LiborCalendar,Y2191,X2192,"f",FALSE)</f>
        <v>54519</v>
      </c>
      <c r="Z2192" s="171">
        <f>_xll.qlInterestRateIndexValueDate(IborIndex,Y2192,Trigger)</f>
        <v>54521</v>
      </c>
      <c r="AA2192" s="172" t="e">
        <v>#N/A</v>
      </c>
      <c r="AB2192" s="169" t="e">
        <v>#N/A</v>
      </c>
    </row>
    <row r="2193" spans="20:28" x14ac:dyDescent="0.2">
      <c r="T2193" s="130"/>
      <c r="U2193" s="151"/>
      <c r="X2193" s="170" t="str">
        <f t="shared" si="42"/>
        <v>1w</v>
      </c>
      <c r="Y2193" s="168">
        <f>_xll.qlCalendarAdvance(LiborCalendar,Y2192,X2193,"f",FALSE)</f>
        <v>54526</v>
      </c>
      <c r="Z2193" s="171">
        <f>_xll.qlInterestRateIndexValueDate(IborIndex,Y2193,Trigger)</f>
        <v>54528</v>
      </c>
      <c r="AA2193" s="172" t="e">
        <v>#N/A</v>
      </c>
      <c r="AB2193" s="169" t="e">
        <v>#N/A</v>
      </c>
    </row>
    <row r="2194" spans="20:28" x14ac:dyDescent="0.2">
      <c r="T2194" s="130"/>
      <c r="U2194" s="151"/>
      <c r="X2194" s="170" t="str">
        <f t="shared" si="42"/>
        <v>1w</v>
      </c>
      <c r="Y2194" s="168">
        <f>_xll.qlCalendarAdvance(LiborCalendar,Y2193,X2194,"f",FALSE)</f>
        <v>54533</v>
      </c>
      <c r="Z2194" s="171">
        <f>_xll.qlInterestRateIndexValueDate(IborIndex,Y2194,Trigger)</f>
        <v>54535</v>
      </c>
      <c r="AA2194" s="172" t="e">
        <v>#N/A</v>
      </c>
      <c r="AB2194" s="169" t="e">
        <v>#N/A</v>
      </c>
    </row>
    <row r="2195" spans="20:28" x14ac:dyDescent="0.2">
      <c r="T2195" s="130"/>
      <c r="U2195" s="151"/>
      <c r="X2195" s="170" t="str">
        <f t="shared" si="42"/>
        <v>1w</v>
      </c>
      <c r="Y2195" s="168">
        <f>_xll.qlCalendarAdvance(LiborCalendar,Y2194,X2195,"f",FALSE)</f>
        <v>54540</v>
      </c>
      <c r="Z2195" s="171">
        <f>_xll.qlInterestRateIndexValueDate(IborIndex,Y2195,Trigger)</f>
        <v>54542</v>
      </c>
      <c r="AA2195" s="172" t="e">
        <v>#N/A</v>
      </c>
      <c r="AB2195" s="169" t="e">
        <v>#N/A</v>
      </c>
    </row>
    <row r="2196" spans="20:28" x14ac:dyDescent="0.2">
      <c r="T2196" s="130"/>
      <c r="U2196" s="151"/>
      <c r="X2196" s="170" t="str">
        <f t="shared" si="42"/>
        <v>1w</v>
      </c>
      <c r="Y2196" s="168">
        <f>_xll.qlCalendarAdvance(LiborCalendar,Y2195,X2196,"f",FALSE)</f>
        <v>54547</v>
      </c>
      <c r="Z2196" s="171">
        <f>_xll.qlInterestRateIndexValueDate(IborIndex,Y2196,Trigger)</f>
        <v>54549</v>
      </c>
      <c r="AA2196" s="172" t="e">
        <v>#N/A</v>
      </c>
      <c r="AB2196" s="169" t="e">
        <v>#N/A</v>
      </c>
    </row>
    <row r="2197" spans="20:28" x14ac:dyDescent="0.2">
      <c r="T2197" s="130"/>
      <c r="U2197" s="151"/>
      <c r="X2197" s="170" t="str">
        <f t="shared" ref="X2197:X2260" si="43">X2196</f>
        <v>1w</v>
      </c>
      <c r="Y2197" s="168">
        <f>_xll.qlCalendarAdvance(LiborCalendar,Y2196,X2197,"f",FALSE)</f>
        <v>54554</v>
      </c>
      <c r="Z2197" s="171">
        <f>_xll.qlInterestRateIndexValueDate(IborIndex,Y2197,Trigger)</f>
        <v>54556</v>
      </c>
      <c r="AA2197" s="172" t="e">
        <v>#N/A</v>
      </c>
      <c r="AB2197" s="169" t="e">
        <v>#N/A</v>
      </c>
    </row>
    <row r="2198" spans="20:28" x14ac:dyDescent="0.2">
      <c r="T2198" s="130"/>
      <c r="U2198" s="151"/>
      <c r="X2198" s="170" t="str">
        <f t="shared" si="43"/>
        <v>1w</v>
      </c>
      <c r="Y2198" s="168">
        <f>_xll.qlCalendarAdvance(LiborCalendar,Y2197,X2198,"f",FALSE)</f>
        <v>54561</v>
      </c>
      <c r="Z2198" s="171">
        <f>_xll.qlInterestRateIndexValueDate(IborIndex,Y2198,Trigger)</f>
        <v>54563</v>
      </c>
      <c r="AA2198" s="172" t="e">
        <v>#N/A</v>
      </c>
      <c r="AB2198" s="169" t="e">
        <v>#N/A</v>
      </c>
    </row>
    <row r="2199" spans="20:28" x14ac:dyDescent="0.2">
      <c r="T2199" s="130"/>
      <c r="U2199" s="151"/>
      <c r="X2199" s="170" t="str">
        <f t="shared" si="43"/>
        <v>1w</v>
      </c>
      <c r="Y2199" s="168">
        <f>_xll.qlCalendarAdvance(LiborCalendar,Y2198,X2199,"f",FALSE)</f>
        <v>54568</v>
      </c>
      <c r="Z2199" s="171">
        <f>_xll.qlInterestRateIndexValueDate(IborIndex,Y2199,Trigger)</f>
        <v>54571</v>
      </c>
      <c r="AA2199" s="172" t="e">
        <v>#N/A</v>
      </c>
      <c r="AB2199" s="169" t="e">
        <v>#N/A</v>
      </c>
    </row>
    <row r="2200" spans="20:28" x14ac:dyDescent="0.2">
      <c r="T2200" s="130"/>
      <c r="U2200" s="151"/>
      <c r="X2200" s="170" t="str">
        <f t="shared" si="43"/>
        <v>1w</v>
      </c>
      <c r="Y2200" s="168">
        <f>_xll.qlCalendarAdvance(LiborCalendar,Y2199,X2200,"f",FALSE)</f>
        <v>54575</v>
      </c>
      <c r="Z2200" s="171">
        <f>_xll.qlInterestRateIndexValueDate(IborIndex,Y2200,Trigger)</f>
        <v>54577</v>
      </c>
      <c r="AA2200" s="172" t="e">
        <v>#N/A</v>
      </c>
      <c r="AB2200" s="169" t="e">
        <v>#N/A</v>
      </c>
    </row>
    <row r="2201" spans="20:28" x14ac:dyDescent="0.2">
      <c r="T2201" s="130"/>
      <c r="U2201" s="151"/>
      <c r="X2201" s="170" t="str">
        <f t="shared" si="43"/>
        <v>1w</v>
      </c>
      <c r="Y2201" s="168">
        <f>_xll.qlCalendarAdvance(LiborCalendar,Y2200,X2201,"f",FALSE)</f>
        <v>54582</v>
      </c>
      <c r="Z2201" s="171">
        <f>_xll.qlInterestRateIndexValueDate(IborIndex,Y2201,Trigger)</f>
        <v>54584</v>
      </c>
      <c r="AA2201" s="172" t="e">
        <v>#N/A</v>
      </c>
      <c r="AB2201" s="169" t="e">
        <v>#N/A</v>
      </c>
    </row>
    <row r="2202" spans="20:28" x14ac:dyDescent="0.2">
      <c r="T2202" s="130"/>
      <c r="U2202" s="151"/>
      <c r="X2202" s="170" t="str">
        <f t="shared" si="43"/>
        <v>1w</v>
      </c>
      <c r="Y2202" s="168">
        <f>_xll.qlCalendarAdvance(LiborCalendar,Y2201,X2202,"f",FALSE)</f>
        <v>54589</v>
      </c>
      <c r="Z2202" s="171">
        <f>_xll.qlInterestRateIndexValueDate(IborIndex,Y2202,Trigger)</f>
        <v>54591</v>
      </c>
      <c r="AA2202" s="172" t="e">
        <v>#N/A</v>
      </c>
      <c r="AB2202" s="169" t="e">
        <v>#N/A</v>
      </c>
    </row>
    <row r="2203" spans="20:28" x14ac:dyDescent="0.2">
      <c r="T2203" s="130"/>
      <c r="U2203" s="151"/>
      <c r="X2203" s="170" t="str">
        <f t="shared" si="43"/>
        <v>1w</v>
      </c>
      <c r="Y2203" s="168">
        <f>_xll.qlCalendarAdvance(LiborCalendar,Y2202,X2203,"f",FALSE)</f>
        <v>54596</v>
      </c>
      <c r="Z2203" s="171">
        <f>_xll.qlInterestRateIndexValueDate(IborIndex,Y2203,Trigger)</f>
        <v>54598</v>
      </c>
      <c r="AA2203" s="172" t="e">
        <v>#N/A</v>
      </c>
      <c r="AB2203" s="169" t="e">
        <v>#N/A</v>
      </c>
    </row>
    <row r="2204" spans="20:28" x14ac:dyDescent="0.2">
      <c r="T2204" s="130"/>
      <c r="U2204" s="151"/>
      <c r="X2204" s="170" t="str">
        <f t="shared" si="43"/>
        <v>1w</v>
      </c>
      <c r="Y2204" s="168">
        <f>_xll.qlCalendarAdvance(LiborCalendar,Y2203,X2204,"f",FALSE)</f>
        <v>54603</v>
      </c>
      <c r="Z2204" s="171">
        <f>_xll.qlInterestRateIndexValueDate(IborIndex,Y2204,Trigger)</f>
        <v>54605</v>
      </c>
      <c r="AA2204" s="172" t="e">
        <v>#N/A</v>
      </c>
      <c r="AB2204" s="169" t="e">
        <v>#N/A</v>
      </c>
    </row>
    <row r="2205" spans="20:28" x14ac:dyDescent="0.2">
      <c r="T2205" s="130"/>
      <c r="U2205" s="151"/>
      <c r="X2205" s="170" t="str">
        <f t="shared" si="43"/>
        <v>1w</v>
      </c>
      <c r="Y2205" s="168">
        <f>_xll.qlCalendarAdvance(LiborCalendar,Y2204,X2205,"f",FALSE)</f>
        <v>54610</v>
      </c>
      <c r="Z2205" s="171">
        <f>_xll.qlInterestRateIndexValueDate(IborIndex,Y2205,Trigger)</f>
        <v>54612</v>
      </c>
      <c r="AA2205" s="172" t="e">
        <v>#N/A</v>
      </c>
      <c r="AB2205" s="169" t="e">
        <v>#N/A</v>
      </c>
    </row>
    <row r="2206" spans="20:28" x14ac:dyDescent="0.2">
      <c r="T2206" s="130"/>
      <c r="U2206" s="151"/>
      <c r="X2206" s="170" t="str">
        <f t="shared" si="43"/>
        <v>1w</v>
      </c>
      <c r="Y2206" s="168">
        <f>_xll.qlCalendarAdvance(LiborCalendar,Y2205,X2206,"f",FALSE)</f>
        <v>54617</v>
      </c>
      <c r="Z2206" s="171">
        <f>_xll.qlInterestRateIndexValueDate(IborIndex,Y2206,Trigger)</f>
        <v>54619</v>
      </c>
      <c r="AA2206" s="172" t="e">
        <v>#N/A</v>
      </c>
      <c r="AB2206" s="169" t="e">
        <v>#N/A</v>
      </c>
    </row>
    <row r="2207" spans="20:28" x14ac:dyDescent="0.2">
      <c r="T2207" s="130"/>
      <c r="U2207" s="151"/>
      <c r="X2207" s="170" t="str">
        <f t="shared" si="43"/>
        <v>1w</v>
      </c>
      <c r="Y2207" s="168">
        <f>_xll.qlCalendarAdvance(LiborCalendar,Y2206,X2207,"f",FALSE)</f>
        <v>54624</v>
      </c>
      <c r="Z2207" s="171">
        <f>_xll.qlInterestRateIndexValueDate(IborIndex,Y2207,Trigger)</f>
        <v>54626</v>
      </c>
      <c r="AA2207" s="172" t="e">
        <v>#N/A</v>
      </c>
      <c r="AB2207" s="169" t="e">
        <v>#N/A</v>
      </c>
    </row>
    <row r="2208" spans="20:28" x14ac:dyDescent="0.2">
      <c r="T2208" s="130"/>
      <c r="U2208" s="151"/>
      <c r="X2208" s="170" t="str">
        <f t="shared" si="43"/>
        <v>1w</v>
      </c>
      <c r="Y2208" s="168">
        <f>_xll.qlCalendarAdvance(LiborCalendar,Y2207,X2208,"f",FALSE)</f>
        <v>54631</v>
      </c>
      <c r="Z2208" s="171">
        <f>_xll.qlInterestRateIndexValueDate(IborIndex,Y2208,Trigger)</f>
        <v>54633</v>
      </c>
      <c r="AA2208" s="172" t="e">
        <v>#N/A</v>
      </c>
      <c r="AB2208" s="169" t="e">
        <v>#N/A</v>
      </c>
    </row>
    <row r="2209" spans="20:28" x14ac:dyDescent="0.2">
      <c r="T2209" s="130"/>
      <c r="U2209" s="151"/>
      <c r="X2209" s="170" t="str">
        <f t="shared" si="43"/>
        <v>1w</v>
      </c>
      <c r="Y2209" s="168">
        <f>_xll.qlCalendarAdvance(LiborCalendar,Y2208,X2209,"f",FALSE)</f>
        <v>54638</v>
      </c>
      <c r="Z2209" s="171">
        <f>_xll.qlInterestRateIndexValueDate(IborIndex,Y2209,Trigger)</f>
        <v>54640</v>
      </c>
      <c r="AA2209" s="172" t="e">
        <v>#N/A</v>
      </c>
      <c r="AB2209" s="169" t="e">
        <v>#N/A</v>
      </c>
    </row>
    <row r="2210" spans="20:28" x14ac:dyDescent="0.2">
      <c r="T2210" s="130"/>
      <c r="U2210" s="151"/>
      <c r="X2210" s="170" t="str">
        <f t="shared" si="43"/>
        <v>1w</v>
      </c>
      <c r="Y2210" s="168">
        <f>_xll.qlCalendarAdvance(LiborCalendar,Y2209,X2210,"f",FALSE)</f>
        <v>54645</v>
      </c>
      <c r="Z2210" s="171">
        <f>_xll.qlInterestRateIndexValueDate(IborIndex,Y2210,Trigger)</f>
        <v>54647</v>
      </c>
      <c r="AA2210" s="172" t="e">
        <v>#N/A</v>
      </c>
      <c r="AB2210" s="169" t="e">
        <v>#N/A</v>
      </c>
    </row>
    <row r="2211" spans="20:28" x14ac:dyDescent="0.2">
      <c r="T2211" s="130"/>
      <c r="U2211" s="151"/>
      <c r="X2211" s="170" t="str">
        <f t="shared" si="43"/>
        <v>1w</v>
      </c>
      <c r="Y2211" s="168">
        <f>_xll.qlCalendarAdvance(LiborCalendar,Y2210,X2211,"f",FALSE)</f>
        <v>54652</v>
      </c>
      <c r="Z2211" s="171">
        <f>_xll.qlInterestRateIndexValueDate(IborIndex,Y2211,Trigger)</f>
        <v>54654</v>
      </c>
      <c r="AA2211" s="172" t="e">
        <v>#N/A</v>
      </c>
      <c r="AB2211" s="169" t="e">
        <v>#N/A</v>
      </c>
    </row>
    <row r="2212" spans="20:28" x14ac:dyDescent="0.2">
      <c r="T2212" s="130"/>
      <c r="U2212" s="151"/>
      <c r="X2212" s="170" t="str">
        <f t="shared" si="43"/>
        <v>1w</v>
      </c>
      <c r="Y2212" s="168">
        <f>_xll.qlCalendarAdvance(LiborCalendar,Y2211,X2212,"f",FALSE)</f>
        <v>54659</v>
      </c>
      <c r="Z2212" s="171">
        <f>_xll.qlInterestRateIndexValueDate(IborIndex,Y2212,Trigger)</f>
        <v>54661</v>
      </c>
      <c r="AA2212" s="172" t="e">
        <v>#N/A</v>
      </c>
      <c r="AB2212" s="169" t="e">
        <v>#N/A</v>
      </c>
    </row>
    <row r="2213" spans="20:28" x14ac:dyDescent="0.2">
      <c r="T2213" s="130"/>
      <c r="U2213" s="151"/>
      <c r="X2213" s="170" t="str">
        <f t="shared" si="43"/>
        <v>1w</v>
      </c>
      <c r="Y2213" s="168">
        <f>_xll.qlCalendarAdvance(LiborCalendar,Y2212,X2213,"f",FALSE)</f>
        <v>54666</v>
      </c>
      <c r="Z2213" s="171">
        <f>_xll.qlInterestRateIndexValueDate(IborIndex,Y2213,Trigger)</f>
        <v>54668</v>
      </c>
      <c r="AA2213" s="172" t="e">
        <v>#N/A</v>
      </c>
      <c r="AB2213" s="169" t="e">
        <v>#N/A</v>
      </c>
    </row>
    <row r="2214" spans="20:28" x14ac:dyDescent="0.2">
      <c r="T2214" s="130"/>
      <c r="U2214" s="151"/>
      <c r="X2214" s="170" t="str">
        <f t="shared" si="43"/>
        <v>1w</v>
      </c>
      <c r="Y2214" s="168">
        <f>_xll.qlCalendarAdvance(LiborCalendar,Y2213,X2214,"f",FALSE)</f>
        <v>54673</v>
      </c>
      <c r="Z2214" s="171">
        <f>_xll.qlInterestRateIndexValueDate(IborIndex,Y2214,Trigger)</f>
        <v>54675</v>
      </c>
      <c r="AA2214" s="172" t="e">
        <v>#N/A</v>
      </c>
      <c r="AB2214" s="169" t="e">
        <v>#N/A</v>
      </c>
    </row>
    <row r="2215" spans="20:28" x14ac:dyDescent="0.2">
      <c r="T2215" s="130"/>
      <c r="U2215" s="151"/>
      <c r="X2215" s="170" t="str">
        <f t="shared" si="43"/>
        <v>1w</v>
      </c>
      <c r="Y2215" s="168">
        <f>_xll.qlCalendarAdvance(LiborCalendar,Y2214,X2215,"f",FALSE)</f>
        <v>54680</v>
      </c>
      <c r="Z2215" s="171">
        <f>_xll.qlInterestRateIndexValueDate(IborIndex,Y2215,Trigger)</f>
        <v>54682</v>
      </c>
      <c r="AA2215" s="172" t="e">
        <v>#N/A</v>
      </c>
      <c r="AB2215" s="169" t="e">
        <v>#N/A</v>
      </c>
    </row>
    <row r="2216" spans="20:28" x14ac:dyDescent="0.2">
      <c r="T2216" s="130"/>
      <c r="U2216" s="151"/>
      <c r="X2216" s="170" t="str">
        <f t="shared" si="43"/>
        <v>1w</v>
      </c>
      <c r="Y2216" s="168">
        <f>_xll.qlCalendarAdvance(LiborCalendar,Y2215,X2216,"f",FALSE)</f>
        <v>54687</v>
      </c>
      <c r="Z2216" s="171">
        <f>_xll.qlInterestRateIndexValueDate(IborIndex,Y2216,Trigger)</f>
        <v>54689</v>
      </c>
      <c r="AA2216" s="172" t="e">
        <v>#N/A</v>
      </c>
      <c r="AB2216" s="169" t="e">
        <v>#N/A</v>
      </c>
    </row>
    <row r="2217" spans="20:28" x14ac:dyDescent="0.2">
      <c r="T2217" s="130"/>
      <c r="U2217" s="151"/>
      <c r="X2217" s="170" t="str">
        <f t="shared" si="43"/>
        <v>1w</v>
      </c>
      <c r="Y2217" s="168">
        <f>_xll.qlCalendarAdvance(LiborCalendar,Y2216,X2217,"f",FALSE)</f>
        <v>54694</v>
      </c>
      <c r="Z2217" s="171">
        <f>_xll.qlInterestRateIndexValueDate(IborIndex,Y2217,Trigger)</f>
        <v>54696</v>
      </c>
      <c r="AA2217" s="172" t="e">
        <v>#N/A</v>
      </c>
      <c r="AB2217" s="169" t="e">
        <v>#N/A</v>
      </c>
    </row>
    <row r="2218" spans="20:28" x14ac:dyDescent="0.2">
      <c r="T2218" s="130"/>
      <c r="U2218" s="151"/>
      <c r="X2218" s="170" t="str">
        <f t="shared" si="43"/>
        <v>1w</v>
      </c>
      <c r="Y2218" s="168">
        <f>_xll.qlCalendarAdvance(LiborCalendar,Y2217,X2218,"f",FALSE)</f>
        <v>54701</v>
      </c>
      <c r="Z2218" s="171">
        <f>_xll.qlInterestRateIndexValueDate(IborIndex,Y2218,Trigger)</f>
        <v>54703</v>
      </c>
      <c r="AA2218" s="172" t="e">
        <v>#N/A</v>
      </c>
      <c r="AB2218" s="169" t="e">
        <v>#N/A</v>
      </c>
    </row>
    <row r="2219" spans="20:28" x14ac:dyDescent="0.2">
      <c r="T2219" s="130"/>
      <c r="U2219" s="151"/>
      <c r="X2219" s="170" t="str">
        <f t="shared" si="43"/>
        <v>1w</v>
      </c>
      <c r="Y2219" s="168">
        <f>_xll.qlCalendarAdvance(LiborCalendar,Y2218,X2219,"f",FALSE)</f>
        <v>54708</v>
      </c>
      <c r="Z2219" s="171">
        <f>_xll.qlInterestRateIndexValueDate(IborIndex,Y2219,Trigger)</f>
        <v>54710</v>
      </c>
      <c r="AA2219" s="172" t="e">
        <v>#N/A</v>
      </c>
      <c r="AB2219" s="169" t="e">
        <v>#N/A</v>
      </c>
    </row>
    <row r="2220" spans="20:28" x14ac:dyDescent="0.2">
      <c r="T2220" s="130"/>
      <c r="U2220" s="151"/>
      <c r="X2220" s="170" t="str">
        <f t="shared" si="43"/>
        <v>1w</v>
      </c>
      <c r="Y2220" s="168">
        <f>_xll.qlCalendarAdvance(LiborCalendar,Y2219,X2220,"f",FALSE)</f>
        <v>54715</v>
      </c>
      <c r="Z2220" s="171">
        <f>_xll.qlInterestRateIndexValueDate(IborIndex,Y2220,Trigger)</f>
        <v>54717</v>
      </c>
      <c r="AA2220" s="172" t="e">
        <v>#N/A</v>
      </c>
      <c r="AB2220" s="169" t="e">
        <v>#N/A</v>
      </c>
    </row>
    <row r="2221" spans="20:28" x14ac:dyDescent="0.2">
      <c r="T2221" s="130"/>
      <c r="U2221" s="151"/>
      <c r="X2221" s="170" t="str">
        <f t="shared" si="43"/>
        <v>1w</v>
      </c>
      <c r="Y2221" s="168">
        <f>_xll.qlCalendarAdvance(LiborCalendar,Y2220,X2221,"f",FALSE)</f>
        <v>54722</v>
      </c>
      <c r="Z2221" s="171">
        <f>_xll.qlInterestRateIndexValueDate(IborIndex,Y2221,Trigger)</f>
        <v>54724</v>
      </c>
      <c r="AA2221" s="172" t="e">
        <v>#N/A</v>
      </c>
      <c r="AB2221" s="169" t="e">
        <v>#N/A</v>
      </c>
    </row>
    <row r="2222" spans="20:28" x14ac:dyDescent="0.2">
      <c r="T2222" s="130"/>
      <c r="U2222" s="151"/>
      <c r="X2222" s="170" t="str">
        <f t="shared" si="43"/>
        <v>1w</v>
      </c>
      <c r="Y2222" s="168">
        <f>_xll.qlCalendarAdvance(LiborCalendar,Y2221,X2222,"f",FALSE)</f>
        <v>54729</v>
      </c>
      <c r="Z2222" s="171">
        <f>_xll.qlInterestRateIndexValueDate(IborIndex,Y2222,Trigger)</f>
        <v>54731</v>
      </c>
      <c r="AA2222" s="172" t="e">
        <v>#N/A</v>
      </c>
      <c r="AB2222" s="169" t="e">
        <v>#N/A</v>
      </c>
    </row>
    <row r="2223" spans="20:28" x14ac:dyDescent="0.2">
      <c r="T2223" s="130"/>
      <c r="U2223" s="151"/>
      <c r="X2223" s="170" t="str">
        <f t="shared" si="43"/>
        <v>1w</v>
      </c>
      <c r="Y2223" s="168">
        <f>_xll.qlCalendarAdvance(LiborCalendar,Y2222,X2223,"f",FALSE)</f>
        <v>54736</v>
      </c>
      <c r="Z2223" s="171">
        <f>_xll.qlInterestRateIndexValueDate(IborIndex,Y2223,Trigger)</f>
        <v>54738</v>
      </c>
      <c r="AA2223" s="172" t="e">
        <v>#N/A</v>
      </c>
      <c r="AB2223" s="169" t="e">
        <v>#N/A</v>
      </c>
    </row>
    <row r="2224" spans="20:28" x14ac:dyDescent="0.2">
      <c r="T2224" s="130"/>
      <c r="U2224" s="151"/>
      <c r="X2224" s="170" t="str">
        <f t="shared" si="43"/>
        <v>1w</v>
      </c>
      <c r="Y2224" s="168">
        <f>_xll.qlCalendarAdvance(LiborCalendar,Y2223,X2224,"f",FALSE)</f>
        <v>54743</v>
      </c>
      <c r="Z2224" s="171">
        <f>_xll.qlInterestRateIndexValueDate(IborIndex,Y2224,Trigger)</f>
        <v>54745</v>
      </c>
      <c r="AA2224" s="172" t="e">
        <v>#N/A</v>
      </c>
      <c r="AB2224" s="169" t="e">
        <v>#N/A</v>
      </c>
    </row>
    <row r="2225" spans="20:28" x14ac:dyDescent="0.2">
      <c r="T2225" s="130"/>
      <c r="U2225" s="151"/>
      <c r="X2225" s="170" t="str">
        <f t="shared" si="43"/>
        <v>1w</v>
      </c>
      <c r="Y2225" s="168">
        <f>_xll.qlCalendarAdvance(LiborCalendar,Y2224,X2225,"f",FALSE)</f>
        <v>54750</v>
      </c>
      <c r="Z2225" s="171">
        <f>_xll.qlInterestRateIndexValueDate(IborIndex,Y2225,Trigger)</f>
        <v>54752</v>
      </c>
      <c r="AA2225" s="172" t="e">
        <v>#N/A</v>
      </c>
      <c r="AB2225" s="169" t="e">
        <v>#N/A</v>
      </c>
    </row>
    <row r="2226" spans="20:28" x14ac:dyDescent="0.2">
      <c r="T2226" s="130"/>
      <c r="U2226" s="151"/>
      <c r="X2226" s="170" t="str">
        <f t="shared" si="43"/>
        <v>1w</v>
      </c>
      <c r="Y2226" s="168">
        <f>_xll.qlCalendarAdvance(LiborCalendar,Y2225,X2226,"f",FALSE)</f>
        <v>54757</v>
      </c>
      <c r="Z2226" s="171">
        <f>_xll.qlInterestRateIndexValueDate(IborIndex,Y2226,Trigger)</f>
        <v>54759</v>
      </c>
      <c r="AA2226" s="172" t="e">
        <v>#N/A</v>
      </c>
      <c r="AB2226" s="169" t="e">
        <v>#N/A</v>
      </c>
    </row>
    <row r="2227" spans="20:28" x14ac:dyDescent="0.2">
      <c r="T2227" s="130"/>
      <c r="U2227" s="151"/>
      <c r="X2227" s="170" t="str">
        <f t="shared" si="43"/>
        <v>1w</v>
      </c>
      <c r="Y2227" s="168">
        <f>_xll.qlCalendarAdvance(LiborCalendar,Y2226,X2227,"f",FALSE)</f>
        <v>54764</v>
      </c>
      <c r="Z2227" s="171">
        <f>_xll.qlInterestRateIndexValueDate(IborIndex,Y2227,Trigger)</f>
        <v>54766</v>
      </c>
      <c r="AA2227" s="172" t="e">
        <v>#N/A</v>
      </c>
      <c r="AB2227" s="169" t="e">
        <v>#N/A</v>
      </c>
    </row>
    <row r="2228" spans="20:28" x14ac:dyDescent="0.2">
      <c r="T2228" s="130"/>
      <c r="U2228" s="151"/>
      <c r="X2228" s="170" t="str">
        <f t="shared" si="43"/>
        <v>1w</v>
      </c>
      <c r="Y2228" s="168">
        <f>_xll.qlCalendarAdvance(LiborCalendar,Y2227,X2228,"f",FALSE)</f>
        <v>54771</v>
      </c>
      <c r="Z2228" s="171">
        <f>_xll.qlInterestRateIndexValueDate(IborIndex,Y2228,Trigger)</f>
        <v>54773</v>
      </c>
      <c r="AA2228" s="172" t="e">
        <v>#N/A</v>
      </c>
      <c r="AB2228" s="169" t="e">
        <v>#N/A</v>
      </c>
    </row>
    <row r="2229" spans="20:28" x14ac:dyDescent="0.2">
      <c r="T2229" s="130"/>
      <c r="U2229" s="151"/>
      <c r="X2229" s="170" t="str">
        <f t="shared" si="43"/>
        <v>1w</v>
      </c>
      <c r="Y2229" s="168">
        <f>_xll.qlCalendarAdvance(LiborCalendar,Y2228,X2229,"f",FALSE)</f>
        <v>54778</v>
      </c>
      <c r="Z2229" s="171">
        <f>_xll.qlInterestRateIndexValueDate(IborIndex,Y2229,Trigger)</f>
        <v>54780</v>
      </c>
      <c r="AA2229" s="172" t="e">
        <v>#N/A</v>
      </c>
      <c r="AB2229" s="169" t="e">
        <v>#N/A</v>
      </c>
    </row>
    <row r="2230" spans="20:28" x14ac:dyDescent="0.2">
      <c r="T2230" s="130"/>
      <c r="U2230" s="151"/>
      <c r="X2230" s="170" t="str">
        <f t="shared" si="43"/>
        <v>1w</v>
      </c>
      <c r="Y2230" s="168">
        <f>_xll.qlCalendarAdvance(LiborCalendar,Y2229,X2230,"f",FALSE)</f>
        <v>54786</v>
      </c>
      <c r="Z2230" s="171">
        <f>_xll.qlInterestRateIndexValueDate(IborIndex,Y2230,Trigger)</f>
        <v>54788</v>
      </c>
      <c r="AA2230" s="172" t="e">
        <v>#N/A</v>
      </c>
      <c r="AB2230" s="169" t="e">
        <v>#N/A</v>
      </c>
    </row>
    <row r="2231" spans="20:28" x14ac:dyDescent="0.2">
      <c r="T2231" s="130"/>
      <c r="U2231" s="151"/>
      <c r="X2231" s="170" t="str">
        <f t="shared" si="43"/>
        <v>1w</v>
      </c>
      <c r="Y2231" s="168">
        <f>_xll.qlCalendarAdvance(LiborCalendar,Y2230,X2231,"f",FALSE)</f>
        <v>54793</v>
      </c>
      <c r="Z2231" s="171">
        <f>_xll.qlInterestRateIndexValueDate(IborIndex,Y2231,Trigger)</f>
        <v>54795</v>
      </c>
      <c r="AA2231" s="172" t="e">
        <v>#N/A</v>
      </c>
      <c r="AB2231" s="169" t="e">
        <v>#N/A</v>
      </c>
    </row>
    <row r="2232" spans="20:28" x14ac:dyDescent="0.2">
      <c r="T2232" s="130"/>
      <c r="U2232" s="151"/>
      <c r="X2232" s="170" t="str">
        <f t="shared" si="43"/>
        <v>1w</v>
      </c>
      <c r="Y2232" s="168">
        <f>_xll.qlCalendarAdvance(LiborCalendar,Y2231,X2232,"f",FALSE)</f>
        <v>54800</v>
      </c>
      <c r="Z2232" s="171">
        <f>_xll.qlInterestRateIndexValueDate(IborIndex,Y2232,Trigger)</f>
        <v>54802</v>
      </c>
      <c r="AA2232" s="172" t="e">
        <v>#N/A</v>
      </c>
      <c r="AB2232" s="169" t="e">
        <v>#N/A</v>
      </c>
    </row>
    <row r="2233" spans="20:28" x14ac:dyDescent="0.2">
      <c r="T2233" s="130"/>
      <c r="U2233" s="151"/>
      <c r="X2233" s="170" t="str">
        <f t="shared" si="43"/>
        <v>1w</v>
      </c>
      <c r="Y2233" s="168">
        <f>_xll.qlCalendarAdvance(LiborCalendar,Y2232,X2233,"f",FALSE)</f>
        <v>54807</v>
      </c>
      <c r="Z2233" s="171">
        <f>_xll.qlInterestRateIndexValueDate(IborIndex,Y2233,Trigger)</f>
        <v>54809</v>
      </c>
      <c r="AA2233" s="172" t="e">
        <v>#N/A</v>
      </c>
      <c r="AB2233" s="169" t="e">
        <v>#N/A</v>
      </c>
    </row>
    <row r="2234" spans="20:28" x14ac:dyDescent="0.2">
      <c r="T2234" s="130"/>
      <c r="U2234" s="151"/>
      <c r="X2234" s="170" t="str">
        <f t="shared" si="43"/>
        <v>1w</v>
      </c>
      <c r="Y2234" s="168">
        <f>_xll.qlCalendarAdvance(LiborCalendar,Y2233,X2234,"f",FALSE)</f>
        <v>54814</v>
      </c>
      <c r="Z2234" s="171">
        <f>_xll.qlInterestRateIndexValueDate(IborIndex,Y2234,Trigger)</f>
        <v>54816</v>
      </c>
      <c r="AA2234" s="172" t="e">
        <v>#N/A</v>
      </c>
      <c r="AB2234" s="169" t="e">
        <v>#N/A</v>
      </c>
    </row>
    <row r="2235" spans="20:28" x14ac:dyDescent="0.2">
      <c r="T2235" s="130"/>
      <c r="U2235" s="151"/>
      <c r="X2235" s="170" t="str">
        <f t="shared" si="43"/>
        <v>1w</v>
      </c>
      <c r="Y2235" s="168">
        <f>_xll.qlCalendarAdvance(LiborCalendar,Y2234,X2235,"f",FALSE)</f>
        <v>54821</v>
      </c>
      <c r="Z2235" s="171">
        <f>_xll.qlInterestRateIndexValueDate(IborIndex,Y2235,Trigger)</f>
        <v>54823</v>
      </c>
      <c r="AA2235" s="172" t="e">
        <v>#N/A</v>
      </c>
      <c r="AB2235" s="169" t="e">
        <v>#N/A</v>
      </c>
    </row>
    <row r="2236" spans="20:28" x14ac:dyDescent="0.2">
      <c r="T2236" s="130"/>
      <c r="U2236" s="151"/>
      <c r="X2236" s="170" t="str">
        <f t="shared" si="43"/>
        <v>1w</v>
      </c>
      <c r="Y2236" s="168">
        <f>_xll.qlCalendarAdvance(LiborCalendar,Y2235,X2236,"f",FALSE)</f>
        <v>54828</v>
      </c>
      <c r="Z2236" s="171">
        <f>_xll.qlInterestRateIndexValueDate(IborIndex,Y2236,Trigger)</f>
        <v>54830</v>
      </c>
      <c r="AA2236" s="172" t="e">
        <v>#N/A</v>
      </c>
      <c r="AB2236" s="169" t="e">
        <v>#N/A</v>
      </c>
    </row>
    <row r="2237" spans="20:28" x14ac:dyDescent="0.2">
      <c r="T2237" s="130"/>
      <c r="U2237" s="151"/>
      <c r="X2237" s="170" t="str">
        <f t="shared" si="43"/>
        <v>1w</v>
      </c>
      <c r="Y2237" s="168">
        <f>_xll.qlCalendarAdvance(LiborCalendar,Y2236,X2237,"f",FALSE)</f>
        <v>54835</v>
      </c>
      <c r="Z2237" s="171">
        <f>_xll.qlInterestRateIndexValueDate(IborIndex,Y2237,Trigger)</f>
        <v>54837</v>
      </c>
      <c r="AA2237" s="172" t="e">
        <v>#N/A</v>
      </c>
      <c r="AB2237" s="169" t="e">
        <v>#N/A</v>
      </c>
    </row>
    <row r="2238" spans="20:28" x14ac:dyDescent="0.2">
      <c r="T2238" s="130"/>
      <c r="U2238" s="151"/>
      <c r="X2238" s="170" t="str">
        <f t="shared" si="43"/>
        <v>1w</v>
      </c>
      <c r="Y2238" s="168">
        <f>_xll.qlCalendarAdvance(LiborCalendar,Y2237,X2238,"f",FALSE)</f>
        <v>54842</v>
      </c>
      <c r="Z2238" s="171">
        <f>_xll.qlInterestRateIndexValueDate(IborIndex,Y2238,Trigger)</f>
        <v>54844</v>
      </c>
      <c r="AA2238" s="172" t="e">
        <v>#N/A</v>
      </c>
      <c r="AB2238" s="169" t="e">
        <v>#N/A</v>
      </c>
    </row>
    <row r="2239" spans="20:28" x14ac:dyDescent="0.2">
      <c r="T2239" s="130"/>
      <c r="U2239" s="151"/>
      <c r="X2239" s="170" t="str">
        <f t="shared" si="43"/>
        <v>1w</v>
      </c>
      <c r="Y2239" s="168">
        <f>_xll.qlCalendarAdvance(LiborCalendar,Y2238,X2239,"f",FALSE)</f>
        <v>54849</v>
      </c>
      <c r="Z2239" s="171">
        <f>_xll.qlInterestRateIndexValueDate(IborIndex,Y2239,Trigger)</f>
        <v>54851</v>
      </c>
      <c r="AA2239" s="172" t="e">
        <v>#N/A</v>
      </c>
      <c r="AB2239" s="169" t="e">
        <v>#N/A</v>
      </c>
    </row>
    <row r="2240" spans="20:28" x14ac:dyDescent="0.2">
      <c r="T2240" s="130"/>
      <c r="U2240" s="151"/>
      <c r="X2240" s="170" t="str">
        <f t="shared" si="43"/>
        <v>1w</v>
      </c>
      <c r="Y2240" s="168">
        <f>_xll.qlCalendarAdvance(LiborCalendar,Y2239,X2240,"f",FALSE)</f>
        <v>54856</v>
      </c>
      <c r="Z2240" s="171">
        <f>_xll.qlInterestRateIndexValueDate(IborIndex,Y2240,Trigger)</f>
        <v>54858</v>
      </c>
      <c r="AA2240" s="172" t="e">
        <v>#N/A</v>
      </c>
      <c r="AB2240" s="169" t="e">
        <v>#N/A</v>
      </c>
    </row>
    <row r="2241" spans="20:28" x14ac:dyDescent="0.2">
      <c r="T2241" s="130"/>
      <c r="U2241" s="151"/>
      <c r="X2241" s="170" t="str">
        <f t="shared" si="43"/>
        <v>1w</v>
      </c>
      <c r="Y2241" s="168">
        <f>_xll.qlCalendarAdvance(LiborCalendar,Y2240,X2241,"f",FALSE)</f>
        <v>54863</v>
      </c>
      <c r="Z2241" s="171">
        <f>_xll.qlInterestRateIndexValueDate(IborIndex,Y2241,Trigger)</f>
        <v>54865</v>
      </c>
      <c r="AA2241" s="172" t="e">
        <v>#N/A</v>
      </c>
      <c r="AB2241" s="169" t="e">
        <v>#N/A</v>
      </c>
    </row>
    <row r="2242" spans="20:28" x14ac:dyDescent="0.2">
      <c r="T2242" s="130"/>
      <c r="U2242" s="151"/>
      <c r="X2242" s="170" t="str">
        <f t="shared" si="43"/>
        <v>1w</v>
      </c>
      <c r="Y2242" s="168">
        <f>_xll.qlCalendarAdvance(LiborCalendar,Y2241,X2242,"f",FALSE)</f>
        <v>54870</v>
      </c>
      <c r="Z2242" s="171">
        <f>_xll.qlInterestRateIndexValueDate(IborIndex,Y2242,Trigger)</f>
        <v>54872</v>
      </c>
      <c r="AA2242" s="172" t="e">
        <v>#N/A</v>
      </c>
      <c r="AB2242" s="169" t="e">
        <v>#N/A</v>
      </c>
    </row>
    <row r="2243" spans="20:28" x14ac:dyDescent="0.2">
      <c r="T2243" s="130"/>
      <c r="U2243" s="151"/>
      <c r="X2243" s="170" t="str">
        <f t="shared" si="43"/>
        <v>1w</v>
      </c>
      <c r="Y2243" s="168">
        <f>_xll.qlCalendarAdvance(LiborCalendar,Y2242,X2243,"f",FALSE)</f>
        <v>54877</v>
      </c>
      <c r="Z2243" s="171">
        <f>_xll.qlInterestRateIndexValueDate(IborIndex,Y2243,Trigger)</f>
        <v>54879</v>
      </c>
      <c r="AA2243" s="172" t="e">
        <v>#N/A</v>
      </c>
      <c r="AB2243" s="169" t="e">
        <v>#N/A</v>
      </c>
    </row>
    <row r="2244" spans="20:28" x14ac:dyDescent="0.2">
      <c r="T2244" s="130"/>
      <c r="U2244" s="151"/>
      <c r="X2244" s="170" t="str">
        <f t="shared" si="43"/>
        <v>1w</v>
      </c>
      <c r="Y2244" s="168">
        <f>_xll.qlCalendarAdvance(LiborCalendar,Y2243,X2244,"f",FALSE)</f>
        <v>54884</v>
      </c>
      <c r="Z2244" s="171">
        <f>_xll.qlInterestRateIndexValueDate(IborIndex,Y2244,Trigger)</f>
        <v>54890</v>
      </c>
      <c r="AA2244" s="172" t="e">
        <v>#N/A</v>
      </c>
      <c r="AB2244" s="169" t="e">
        <v>#N/A</v>
      </c>
    </row>
    <row r="2245" spans="20:28" x14ac:dyDescent="0.2">
      <c r="T2245" s="130"/>
      <c r="U2245" s="151"/>
      <c r="X2245" s="170" t="str">
        <f t="shared" si="43"/>
        <v>1w</v>
      </c>
      <c r="Y2245" s="168">
        <f>_xll.qlCalendarAdvance(LiborCalendar,Y2244,X2245,"f",FALSE)</f>
        <v>54891</v>
      </c>
      <c r="Z2245" s="171">
        <f>_xll.qlInterestRateIndexValueDate(IborIndex,Y2245,Trigger)</f>
        <v>54893</v>
      </c>
      <c r="AA2245" s="172" t="e">
        <v>#N/A</v>
      </c>
      <c r="AB2245" s="169" t="e">
        <v>#N/A</v>
      </c>
    </row>
    <row r="2246" spans="20:28" x14ac:dyDescent="0.2">
      <c r="T2246" s="130"/>
      <c r="U2246" s="151"/>
      <c r="X2246" s="170" t="str">
        <f t="shared" si="43"/>
        <v>1w</v>
      </c>
      <c r="Y2246" s="168">
        <f>_xll.qlCalendarAdvance(LiborCalendar,Y2245,X2246,"f",FALSE)</f>
        <v>54898</v>
      </c>
      <c r="Z2246" s="171">
        <f>_xll.qlInterestRateIndexValueDate(IborIndex,Y2246,Trigger)</f>
        <v>54900</v>
      </c>
      <c r="AA2246" s="172" t="e">
        <v>#N/A</v>
      </c>
      <c r="AB2246" s="169" t="e">
        <v>#N/A</v>
      </c>
    </row>
    <row r="2247" spans="20:28" x14ac:dyDescent="0.2">
      <c r="T2247" s="130"/>
      <c r="U2247" s="151"/>
      <c r="X2247" s="170" t="str">
        <f t="shared" si="43"/>
        <v>1w</v>
      </c>
      <c r="Y2247" s="168">
        <f>_xll.qlCalendarAdvance(LiborCalendar,Y2246,X2247,"f",FALSE)</f>
        <v>54905</v>
      </c>
      <c r="Z2247" s="171">
        <f>_xll.qlInterestRateIndexValueDate(IborIndex,Y2247,Trigger)</f>
        <v>54907</v>
      </c>
      <c r="AA2247" s="172" t="e">
        <v>#N/A</v>
      </c>
      <c r="AB2247" s="169" t="e">
        <v>#N/A</v>
      </c>
    </row>
    <row r="2248" spans="20:28" x14ac:dyDescent="0.2">
      <c r="T2248" s="130"/>
      <c r="U2248" s="151"/>
      <c r="X2248" s="170" t="str">
        <f t="shared" si="43"/>
        <v>1w</v>
      </c>
      <c r="Y2248" s="168">
        <f>_xll.qlCalendarAdvance(LiborCalendar,Y2247,X2248,"f",FALSE)</f>
        <v>54912</v>
      </c>
      <c r="Z2248" s="171">
        <f>_xll.qlInterestRateIndexValueDate(IborIndex,Y2248,Trigger)</f>
        <v>54914</v>
      </c>
      <c r="AA2248" s="172" t="e">
        <v>#N/A</v>
      </c>
      <c r="AB2248" s="169" t="e">
        <v>#N/A</v>
      </c>
    </row>
    <row r="2249" spans="20:28" x14ac:dyDescent="0.2">
      <c r="T2249" s="130"/>
      <c r="U2249" s="151"/>
      <c r="X2249" s="170" t="str">
        <f t="shared" si="43"/>
        <v>1w</v>
      </c>
      <c r="Y2249" s="168">
        <f>_xll.qlCalendarAdvance(LiborCalendar,Y2248,X2249,"f",FALSE)</f>
        <v>54919</v>
      </c>
      <c r="Z2249" s="171">
        <f>_xll.qlInterestRateIndexValueDate(IborIndex,Y2249,Trigger)</f>
        <v>54921</v>
      </c>
      <c r="AA2249" s="172" t="e">
        <v>#N/A</v>
      </c>
      <c r="AB2249" s="169" t="e">
        <v>#N/A</v>
      </c>
    </row>
    <row r="2250" spans="20:28" x14ac:dyDescent="0.2">
      <c r="T2250" s="130"/>
      <c r="U2250" s="151"/>
      <c r="X2250" s="170" t="str">
        <f t="shared" si="43"/>
        <v>1w</v>
      </c>
      <c r="Y2250" s="168">
        <f>_xll.qlCalendarAdvance(LiborCalendar,Y2249,X2250,"f",FALSE)</f>
        <v>54926</v>
      </c>
      <c r="Z2250" s="171">
        <f>_xll.qlInterestRateIndexValueDate(IborIndex,Y2250,Trigger)</f>
        <v>54928</v>
      </c>
      <c r="AA2250" s="172" t="e">
        <v>#N/A</v>
      </c>
      <c r="AB2250" s="169" t="e">
        <v>#N/A</v>
      </c>
    </row>
    <row r="2251" spans="20:28" x14ac:dyDescent="0.2">
      <c r="T2251" s="130"/>
      <c r="U2251" s="151"/>
      <c r="X2251" s="170" t="str">
        <f t="shared" si="43"/>
        <v>1w</v>
      </c>
      <c r="Y2251" s="168">
        <f>_xll.qlCalendarAdvance(LiborCalendar,Y2250,X2251,"f",FALSE)</f>
        <v>54933</v>
      </c>
      <c r="Z2251" s="171">
        <f>_xll.qlInterestRateIndexValueDate(IborIndex,Y2251,Trigger)</f>
        <v>54935</v>
      </c>
      <c r="AA2251" s="172" t="e">
        <v>#N/A</v>
      </c>
      <c r="AB2251" s="169" t="e">
        <v>#N/A</v>
      </c>
    </row>
    <row r="2252" spans="20:28" x14ac:dyDescent="0.2">
      <c r="T2252" s="130"/>
      <c r="U2252" s="151"/>
      <c r="X2252" s="170" t="str">
        <f t="shared" si="43"/>
        <v>1w</v>
      </c>
      <c r="Y2252" s="168">
        <f>_xll.qlCalendarAdvance(LiborCalendar,Y2251,X2252,"f",FALSE)</f>
        <v>54940</v>
      </c>
      <c r="Z2252" s="171">
        <f>_xll.qlInterestRateIndexValueDate(IborIndex,Y2252,Trigger)</f>
        <v>54942</v>
      </c>
      <c r="AA2252" s="172" t="e">
        <v>#N/A</v>
      </c>
      <c r="AB2252" s="169" t="e">
        <v>#N/A</v>
      </c>
    </row>
    <row r="2253" spans="20:28" x14ac:dyDescent="0.2">
      <c r="T2253" s="130"/>
      <c r="U2253" s="151"/>
      <c r="X2253" s="170" t="str">
        <f t="shared" si="43"/>
        <v>1w</v>
      </c>
      <c r="Y2253" s="168">
        <f>_xll.qlCalendarAdvance(LiborCalendar,Y2252,X2253,"f",FALSE)</f>
        <v>54947</v>
      </c>
      <c r="Z2253" s="171">
        <f>_xll.qlInterestRateIndexValueDate(IborIndex,Y2253,Trigger)</f>
        <v>54949</v>
      </c>
      <c r="AA2253" s="172" t="e">
        <v>#N/A</v>
      </c>
      <c r="AB2253" s="169" t="e">
        <v>#N/A</v>
      </c>
    </row>
    <row r="2254" spans="20:28" x14ac:dyDescent="0.2">
      <c r="T2254" s="130"/>
      <c r="U2254" s="151"/>
      <c r="X2254" s="170" t="str">
        <f t="shared" si="43"/>
        <v>1w</v>
      </c>
      <c r="Y2254" s="168">
        <f>_xll.qlCalendarAdvance(LiborCalendar,Y2253,X2254,"f",FALSE)</f>
        <v>54954</v>
      </c>
      <c r="Z2254" s="171">
        <f>_xll.qlInterestRateIndexValueDate(IborIndex,Y2254,Trigger)</f>
        <v>54956</v>
      </c>
      <c r="AA2254" s="172" t="e">
        <v>#N/A</v>
      </c>
      <c r="AB2254" s="169" t="e">
        <v>#N/A</v>
      </c>
    </row>
    <row r="2255" spans="20:28" x14ac:dyDescent="0.2">
      <c r="T2255" s="130"/>
      <c r="U2255" s="151"/>
      <c r="X2255" s="170" t="str">
        <f t="shared" si="43"/>
        <v>1w</v>
      </c>
      <c r="Y2255" s="168">
        <f>_xll.qlCalendarAdvance(LiborCalendar,Y2254,X2255,"f",FALSE)</f>
        <v>54961</v>
      </c>
      <c r="Z2255" s="171">
        <f>_xll.qlInterestRateIndexValueDate(IborIndex,Y2255,Trigger)</f>
        <v>54963</v>
      </c>
      <c r="AA2255" s="172" t="e">
        <v>#N/A</v>
      </c>
      <c r="AB2255" s="169" t="e">
        <v>#N/A</v>
      </c>
    </row>
    <row r="2256" spans="20:28" x14ac:dyDescent="0.2">
      <c r="T2256" s="130"/>
      <c r="U2256" s="151"/>
      <c r="X2256" s="170" t="str">
        <f t="shared" si="43"/>
        <v>1w</v>
      </c>
      <c r="Y2256" s="168">
        <f>_xll.qlCalendarAdvance(LiborCalendar,Y2255,X2256,"f",FALSE)</f>
        <v>54968</v>
      </c>
      <c r="Z2256" s="171">
        <f>_xll.qlInterestRateIndexValueDate(IborIndex,Y2256,Trigger)</f>
        <v>54970</v>
      </c>
      <c r="AA2256" s="172" t="e">
        <v>#N/A</v>
      </c>
      <c r="AB2256" s="169" t="e">
        <v>#N/A</v>
      </c>
    </row>
    <row r="2257" spans="20:28" x14ac:dyDescent="0.2">
      <c r="T2257" s="130"/>
      <c r="U2257" s="151"/>
      <c r="X2257" s="170" t="str">
        <f t="shared" si="43"/>
        <v>1w</v>
      </c>
      <c r="Y2257" s="168">
        <f>_xll.qlCalendarAdvance(LiborCalendar,Y2256,X2257,"f",FALSE)</f>
        <v>54975</v>
      </c>
      <c r="Z2257" s="171">
        <f>_xll.qlInterestRateIndexValueDate(IborIndex,Y2257,Trigger)</f>
        <v>54977</v>
      </c>
      <c r="AA2257" s="172" t="e">
        <v>#N/A</v>
      </c>
      <c r="AB2257" s="169" t="e">
        <v>#N/A</v>
      </c>
    </row>
    <row r="2258" spans="20:28" x14ac:dyDescent="0.2">
      <c r="T2258" s="130"/>
      <c r="U2258" s="151"/>
      <c r="X2258" s="170" t="str">
        <f t="shared" si="43"/>
        <v>1w</v>
      </c>
      <c r="Y2258" s="168">
        <f>_xll.qlCalendarAdvance(LiborCalendar,Y2257,X2258,"f",FALSE)</f>
        <v>54982</v>
      </c>
      <c r="Z2258" s="171">
        <f>_xll.qlInterestRateIndexValueDate(IborIndex,Y2258,Trigger)</f>
        <v>54984</v>
      </c>
      <c r="AA2258" s="172" t="e">
        <v>#N/A</v>
      </c>
      <c r="AB2258" s="169" t="e">
        <v>#N/A</v>
      </c>
    </row>
    <row r="2259" spans="20:28" x14ac:dyDescent="0.2">
      <c r="T2259" s="130"/>
      <c r="U2259" s="151"/>
      <c r="X2259" s="170" t="str">
        <f t="shared" si="43"/>
        <v>1w</v>
      </c>
      <c r="Y2259" s="168">
        <f>_xll.qlCalendarAdvance(LiborCalendar,Y2258,X2259,"f",FALSE)</f>
        <v>54989</v>
      </c>
      <c r="Z2259" s="171">
        <f>_xll.qlInterestRateIndexValueDate(IborIndex,Y2259,Trigger)</f>
        <v>54991</v>
      </c>
      <c r="AA2259" s="172" t="e">
        <v>#N/A</v>
      </c>
      <c r="AB2259" s="169" t="e">
        <v>#N/A</v>
      </c>
    </row>
    <row r="2260" spans="20:28" x14ac:dyDescent="0.2">
      <c r="T2260" s="130"/>
      <c r="U2260" s="151"/>
      <c r="X2260" s="170" t="str">
        <f t="shared" si="43"/>
        <v>1w</v>
      </c>
      <c r="Y2260" s="168">
        <f>_xll.qlCalendarAdvance(LiborCalendar,Y2259,X2260,"f",FALSE)</f>
        <v>54996</v>
      </c>
      <c r="Z2260" s="171">
        <f>_xll.qlInterestRateIndexValueDate(IborIndex,Y2260,Trigger)</f>
        <v>54998</v>
      </c>
      <c r="AA2260" s="172" t="e">
        <v>#N/A</v>
      </c>
      <c r="AB2260" s="169" t="e">
        <v>#N/A</v>
      </c>
    </row>
    <row r="2261" spans="20:28" x14ac:dyDescent="0.2">
      <c r="T2261" s="130"/>
      <c r="U2261" s="151"/>
      <c r="X2261" s="170" t="str">
        <f t="shared" ref="X2261:X2324" si="44">X2260</f>
        <v>1w</v>
      </c>
      <c r="Y2261" s="168">
        <f>_xll.qlCalendarAdvance(LiborCalendar,Y2260,X2261,"f",FALSE)</f>
        <v>55003</v>
      </c>
      <c r="Z2261" s="171">
        <f>_xll.qlInterestRateIndexValueDate(IborIndex,Y2261,Trigger)</f>
        <v>55005</v>
      </c>
      <c r="AA2261" s="172" t="e">
        <v>#N/A</v>
      </c>
      <c r="AB2261" s="169" t="e">
        <v>#N/A</v>
      </c>
    </row>
    <row r="2262" spans="20:28" x14ac:dyDescent="0.2">
      <c r="T2262" s="130"/>
      <c r="U2262" s="151"/>
      <c r="X2262" s="170" t="str">
        <f t="shared" si="44"/>
        <v>1w</v>
      </c>
      <c r="Y2262" s="168">
        <f>_xll.qlCalendarAdvance(LiborCalendar,Y2261,X2262,"f",FALSE)</f>
        <v>55010</v>
      </c>
      <c r="Z2262" s="171">
        <f>_xll.qlInterestRateIndexValueDate(IborIndex,Y2262,Trigger)</f>
        <v>55012</v>
      </c>
      <c r="AA2262" s="172" t="e">
        <v>#N/A</v>
      </c>
      <c r="AB2262" s="169" t="e">
        <v>#N/A</v>
      </c>
    </row>
    <row r="2263" spans="20:28" x14ac:dyDescent="0.2">
      <c r="T2263" s="130"/>
      <c r="U2263" s="151"/>
      <c r="X2263" s="170" t="str">
        <f t="shared" si="44"/>
        <v>1w</v>
      </c>
      <c r="Y2263" s="168">
        <f>_xll.qlCalendarAdvance(LiborCalendar,Y2262,X2263,"f",FALSE)</f>
        <v>55017</v>
      </c>
      <c r="Z2263" s="171">
        <f>_xll.qlInterestRateIndexValueDate(IborIndex,Y2263,Trigger)</f>
        <v>55019</v>
      </c>
      <c r="AA2263" s="172" t="e">
        <v>#N/A</v>
      </c>
      <c r="AB2263" s="169" t="e">
        <v>#N/A</v>
      </c>
    </row>
    <row r="2264" spans="20:28" x14ac:dyDescent="0.2">
      <c r="T2264" s="130"/>
      <c r="U2264" s="151"/>
      <c r="X2264" s="170" t="str">
        <f t="shared" si="44"/>
        <v>1w</v>
      </c>
      <c r="Y2264" s="168">
        <f>_xll.qlCalendarAdvance(LiborCalendar,Y2263,X2264,"f",FALSE)</f>
        <v>55024</v>
      </c>
      <c r="Z2264" s="171">
        <f>_xll.qlInterestRateIndexValueDate(IborIndex,Y2264,Trigger)</f>
        <v>55026</v>
      </c>
      <c r="AA2264" s="172" t="e">
        <v>#N/A</v>
      </c>
      <c r="AB2264" s="169" t="e">
        <v>#N/A</v>
      </c>
    </row>
    <row r="2265" spans="20:28" x14ac:dyDescent="0.2">
      <c r="T2265" s="130"/>
      <c r="U2265" s="151"/>
      <c r="X2265" s="170" t="str">
        <f t="shared" si="44"/>
        <v>1w</v>
      </c>
      <c r="Y2265" s="168">
        <f>_xll.qlCalendarAdvance(LiborCalendar,Y2264,X2265,"f",FALSE)</f>
        <v>55031</v>
      </c>
      <c r="Z2265" s="171">
        <f>_xll.qlInterestRateIndexValueDate(IborIndex,Y2265,Trigger)</f>
        <v>55033</v>
      </c>
      <c r="AA2265" s="172" t="e">
        <v>#N/A</v>
      </c>
      <c r="AB2265" s="169" t="e">
        <v>#N/A</v>
      </c>
    </row>
    <row r="2266" spans="20:28" x14ac:dyDescent="0.2">
      <c r="T2266" s="130"/>
      <c r="U2266" s="151"/>
      <c r="X2266" s="170" t="str">
        <f t="shared" si="44"/>
        <v>1w</v>
      </c>
      <c r="Y2266" s="168">
        <f>_xll.qlCalendarAdvance(LiborCalendar,Y2265,X2266,"f",FALSE)</f>
        <v>55038</v>
      </c>
      <c r="Z2266" s="171">
        <f>_xll.qlInterestRateIndexValueDate(IborIndex,Y2266,Trigger)</f>
        <v>55040</v>
      </c>
      <c r="AA2266" s="172" t="e">
        <v>#N/A</v>
      </c>
      <c r="AB2266" s="169" t="e">
        <v>#N/A</v>
      </c>
    </row>
    <row r="2267" spans="20:28" x14ac:dyDescent="0.2">
      <c r="T2267" s="130"/>
      <c r="U2267" s="151"/>
      <c r="X2267" s="170" t="str">
        <f t="shared" si="44"/>
        <v>1w</v>
      </c>
      <c r="Y2267" s="168">
        <f>_xll.qlCalendarAdvance(LiborCalendar,Y2266,X2267,"f",FALSE)</f>
        <v>55045</v>
      </c>
      <c r="Z2267" s="171">
        <f>_xll.qlInterestRateIndexValueDate(IborIndex,Y2267,Trigger)</f>
        <v>55047</v>
      </c>
      <c r="AA2267" s="172" t="e">
        <v>#N/A</v>
      </c>
      <c r="AB2267" s="169" t="e">
        <v>#N/A</v>
      </c>
    </row>
    <row r="2268" spans="20:28" x14ac:dyDescent="0.2">
      <c r="T2268" s="130"/>
      <c r="U2268" s="151"/>
      <c r="X2268" s="170" t="str">
        <f t="shared" si="44"/>
        <v>1w</v>
      </c>
      <c r="Y2268" s="168">
        <f>_xll.qlCalendarAdvance(LiborCalendar,Y2267,X2268,"f",FALSE)</f>
        <v>55052</v>
      </c>
      <c r="Z2268" s="171">
        <f>_xll.qlInterestRateIndexValueDate(IborIndex,Y2268,Trigger)</f>
        <v>55054</v>
      </c>
      <c r="AA2268" s="172" t="e">
        <v>#N/A</v>
      </c>
      <c r="AB2268" s="169" t="e">
        <v>#N/A</v>
      </c>
    </row>
    <row r="2269" spans="20:28" x14ac:dyDescent="0.2">
      <c r="T2269" s="130"/>
      <c r="U2269" s="151"/>
      <c r="X2269" s="170" t="str">
        <f t="shared" si="44"/>
        <v>1w</v>
      </c>
      <c r="Y2269" s="168">
        <f>_xll.qlCalendarAdvance(LiborCalendar,Y2268,X2269,"f",FALSE)</f>
        <v>55059</v>
      </c>
      <c r="Z2269" s="171">
        <f>_xll.qlInterestRateIndexValueDate(IborIndex,Y2269,Trigger)</f>
        <v>55061</v>
      </c>
      <c r="AA2269" s="172" t="e">
        <v>#N/A</v>
      </c>
      <c r="AB2269" s="169" t="e">
        <v>#N/A</v>
      </c>
    </row>
    <row r="2270" spans="20:28" x14ac:dyDescent="0.2">
      <c r="T2270" s="130"/>
      <c r="U2270" s="151"/>
      <c r="X2270" s="170" t="str">
        <f t="shared" si="44"/>
        <v>1w</v>
      </c>
      <c r="Y2270" s="168">
        <f>_xll.qlCalendarAdvance(LiborCalendar,Y2269,X2270,"f",FALSE)</f>
        <v>55066</v>
      </c>
      <c r="Z2270" s="171">
        <f>_xll.qlInterestRateIndexValueDate(IborIndex,Y2270,Trigger)</f>
        <v>55068</v>
      </c>
      <c r="AA2270" s="172" t="e">
        <v>#N/A</v>
      </c>
      <c r="AB2270" s="169" t="e">
        <v>#N/A</v>
      </c>
    </row>
    <row r="2271" spans="20:28" x14ac:dyDescent="0.2">
      <c r="T2271" s="130"/>
      <c r="U2271" s="151"/>
      <c r="X2271" s="170" t="str">
        <f t="shared" si="44"/>
        <v>1w</v>
      </c>
      <c r="Y2271" s="168">
        <f>_xll.qlCalendarAdvance(LiborCalendar,Y2270,X2271,"f",FALSE)</f>
        <v>55073</v>
      </c>
      <c r="Z2271" s="171">
        <f>_xll.qlInterestRateIndexValueDate(IborIndex,Y2271,Trigger)</f>
        <v>55075</v>
      </c>
      <c r="AA2271" s="172" t="e">
        <v>#N/A</v>
      </c>
      <c r="AB2271" s="169" t="e">
        <v>#N/A</v>
      </c>
    </row>
    <row r="2272" spans="20:28" x14ac:dyDescent="0.2">
      <c r="T2272" s="130"/>
      <c r="U2272" s="151"/>
      <c r="X2272" s="170" t="str">
        <f t="shared" si="44"/>
        <v>1w</v>
      </c>
      <c r="Y2272" s="168">
        <f>_xll.qlCalendarAdvance(LiborCalendar,Y2271,X2272,"f",FALSE)</f>
        <v>55080</v>
      </c>
      <c r="Z2272" s="171">
        <f>_xll.qlInterestRateIndexValueDate(IborIndex,Y2272,Trigger)</f>
        <v>55082</v>
      </c>
      <c r="AA2272" s="172" t="e">
        <v>#N/A</v>
      </c>
      <c r="AB2272" s="169" t="e">
        <v>#N/A</v>
      </c>
    </row>
    <row r="2273" spans="20:28" x14ac:dyDescent="0.2">
      <c r="T2273" s="130"/>
      <c r="U2273" s="151"/>
      <c r="X2273" s="170" t="str">
        <f t="shared" si="44"/>
        <v>1w</v>
      </c>
      <c r="Y2273" s="168">
        <f>_xll.qlCalendarAdvance(LiborCalendar,Y2272,X2273,"f",FALSE)</f>
        <v>55087</v>
      </c>
      <c r="Z2273" s="171">
        <f>_xll.qlInterestRateIndexValueDate(IborIndex,Y2273,Trigger)</f>
        <v>55089</v>
      </c>
      <c r="AA2273" s="172" t="e">
        <v>#N/A</v>
      </c>
      <c r="AB2273" s="169" t="e">
        <v>#N/A</v>
      </c>
    </row>
    <row r="2274" spans="20:28" x14ac:dyDescent="0.2">
      <c r="T2274" s="130"/>
      <c r="U2274" s="151"/>
      <c r="X2274" s="170" t="str">
        <f t="shared" si="44"/>
        <v>1w</v>
      </c>
      <c r="Y2274" s="168">
        <f>_xll.qlCalendarAdvance(LiborCalendar,Y2273,X2274,"f",FALSE)</f>
        <v>55094</v>
      </c>
      <c r="Z2274" s="171">
        <f>_xll.qlInterestRateIndexValueDate(IborIndex,Y2274,Trigger)</f>
        <v>55096</v>
      </c>
      <c r="AA2274" s="172" t="e">
        <v>#N/A</v>
      </c>
      <c r="AB2274" s="169" t="e">
        <v>#N/A</v>
      </c>
    </row>
    <row r="2275" spans="20:28" x14ac:dyDescent="0.2">
      <c r="T2275" s="130"/>
      <c r="U2275" s="151"/>
      <c r="X2275" s="170" t="str">
        <f t="shared" si="44"/>
        <v>1w</v>
      </c>
      <c r="Y2275" s="168">
        <f>_xll.qlCalendarAdvance(LiborCalendar,Y2274,X2275,"f",FALSE)</f>
        <v>55101</v>
      </c>
      <c r="Z2275" s="171">
        <f>_xll.qlInterestRateIndexValueDate(IborIndex,Y2275,Trigger)</f>
        <v>55103</v>
      </c>
      <c r="AA2275" s="172" t="e">
        <v>#N/A</v>
      </c>
      <c r="AB2275" s="169" t="e">
        <v>#N/A</v>
      </c>
    </row>
    <row r="2276" spans="20:28" x14ac:dyDescent="0.2">
      <c r="T2276" s="130"/>
      <c r="U2276" s="151"/>
      <c r="X2276" s="170" t="str">
        <f t="shared" si="44"/>
        <v>1w</v>
      </c>
      <c r="Y2276" s="168">
        <f>_xll.qlCalendarAdvance(LiborCalendar,Y2275,X2276,"f",FALSE)</f>
        <v>55108</v>
      </c>
      <c r="Z2276" s="171">
        <f>_xll.qlInterestRateIndexValueDate(IborIndex,Y2276,Trigger)</f>
        <v>55110</v>
      </c>
      <c r="AA2276" s="172" t="e">
        <v>#N/A</v>
      </c>
      <c r="AB2276" s="169" t="e">
        <v>#N/A</v>
      </c>
    </row>
    <row r="2277" spans="20:28" x14ac:dyDescent="0.2">
      <c r="T2277" s="130"/>
      <c r="U2277" s="151"/>
      <c r="X2277" s="170" t="str">
        <f t="shared" si="44"/>
        <v>1w</v>
      </c>
      <c r="Y2277" s="168">
        <f>_xll.qlCalendarAdvance(LiborCalendar,Y2276,X2277,"f",FALSE)</f>
        <v>55115</v>
      </c>
      <c r="Z2277" s="171">
        <f>_xll.qlInterestRateIndexValueDate(IborIndex,Y2277,Trigger)</f>
        <v>55117</v>
      </c>
      <c r="AA2277" s="172" t="e">
        <v>#N/A</v>
      </c>
      <c r="AB2277" s="169" t="e">
        <v>#N/A</v>
      </c>
    </row>
    <row r="2278" spans="20:28" x14ac:dyDescent="0.2">
      <c r="T2278" s="130"/>
      <c r="U2278" s="151"/>
      <c r="X2278" s="170" t="str">
        <f t="shared" si="44"/>
        <v>1w</v>
      </c>
      <c r="Y2278" s="168">
        <f>_xll.qlCalendarAdvance(LiborCalendar,Y2277,X2278,"f",FALSE)</f>
        <v>55122</v>
      </c>
      <c r="Z2278" s="171">
        <f>_xll.qlInterestRateIndexValueDate(IborIndex,Y2278,Trigger)</f>
        <v>55124</v>
      </c>
      <c r="AA2278" s="172" t="e">
        <v>#N/A</v>
      </c>
      <c r="AB2278" s="169" t="e">
        <v>#N/A</v>
      </c>
    </row>
    <row r="2279" spans="20:28" x14ac:dyDescent="0.2">
      <c r="T2279" s="130"/>
      <c r="U2279" s="151"/>
      <c r="X2279" s="170" t="str">
        <f t="shared" si="44"/>
        <v>1w</v>
      </c>
      <c r="Y2279" s="168">
        <f>_xll.qlCalendarAdvance(LiborCalendar,Y2278,X2279,"f",FALSE)</f>
        <v>55129</v>
      </c>
      <c r="Z2279" s="171">
        <f>_xll.qlInterestRateIndexValueDate(IborIndex,Y2279,Trigger)</f>
        <v>55131</v>
      </c>
      <c r="AA2279" s="172" t="e">
        <v>#N/A</v>
      </c>
      <c r="AB2279" s="169" t="e">
        <v>#N/A</v>
      </c>
    </row>
    <row r="2280" spans="20:28" x14ac:dyDescent="0.2">
      <c r="T2280" s="130"/>
      <c r="U2280" s="151"/>
      <c r="X2280" s="170" t="str">
        <f t="shared" si="44"/>
        <v>1w</v>
      </c>
      <c r="Y2280" s="168">
        <f>_xll.qlCalendarAdvance(LiborCalendar,Y2279,X2280,"f",FALSE)</f>
        <v>55136</v>
      </c>
      <c r="Z2280" s="171">
        <f>_xll.qlInterestRateIndexValueDate(IborIndex,Y2280,Trigger)</f>
        <v>55138</v>
      </c>
      <c r="AA2280" s="172" t="e">
        <v>#N/A</v>
      </c>
      <c r="AB2280" s="169" t="e">
        <v>#N/A</v>
      </c>
    </row>
    <row r="2281" spans="20:28" x14ac:dyDescent="0.2">
      <c r="T2281" s="130"/>
      <c r="U2281" s="151"/>
      <c r="X2281" s="170" t="str">
        <f t="shared" si="44"/>
        <v>1w</v>
      </c>
      <c r="Y2281" s="168">
        <f>_xll.qlCalendarAdvance(LiborCalendar,Y2280,X2281,"f",FALSE)</f>
        <v>55143</v>
      </c>
      <c r="Z2281" s="171">
        <f>_xll.qlInterestRateIndexValueDate(IborIndex,Y2281,Trigger)</f>
        <v>55145</v>
      </c>
      <c r="AA2281" s="172" t="e">
        <v>#N/A</v>
      </c>
      <c r="AB2281" s="169" t="e">
        <v>#N/A</v>
      </c>
    </row>
    <row r="2282" spans="20:28" x14ac:dyDescent="0.2">
      <c r="T2282" s="130"/>
      <c r="U2282" s="151"/>
      <c r="X2282" s="170" t="str">
        <f t="shared" si="44"/>
        <v>1w</v>
      </c>
      <c r="Y2282" s="168">
        <f>_xll.qlCalendarAdvance(LiborCalendar,Y2281,X2282,"f",FALSE)</f>
        <v>55150</v>
      </c>
      <c r="Z2282" s="171">
        <f>_xll.qlInterestRateIndexValueDate(IborIndex,Y2282,Trigger)</f>
        <v>55152</v>
      </c>
      <c r="AA2282" s="172" t="e">
        <v>#N/A</v>
      </c>
      <c r="AB2282" s="169" t="e">
        <v>#N/A</v>
      </c>
    </row>
    <row r="2283" spans="20:28" x14ac:dyDescent="0.2">
      <c r="T2283" s="130"/>
      <c r="U2283" s="151"/>
      <c r="X2283" s="170" t="str">
        <f t="shared" si="44"/>
        <v>1w</v>
      </c>
      <c r="Y2283" s="168">
        <f>_xll.qlCalendarAdvance(LiborCalendar,Y2282,X2283,"f",FALSE)</f>
        <v>55157</v>
      </c>
      <c r="Z2283" s="171">
        <f>_xll.qlInterestRateIndexValueDate(IborIndex,Y2283,Trigger)</f>
        <v>55159</v>
      </c>
      <c r="AA2283" s="172" t="e">
        <v>#N/A</v>
      </c>
      <c r="AB2283" s="169" t="e">
        <v>#N/A</v>
      </c>
    </row>
    <row r="2284" spans="20:28" x14ac:dyDescent="0.2">
      <c r="T2284" s="130"/>
      <c r="U2284" s="151"/>
      <c r="X2284" s="170" t="str">
        <f t="shared" si="44"/>
        <v>1w</v>
      </c>
      <c r="Y2284" s="168">
        <f>_xll.qlCalendarAdvance(LiborCalendar,Y2283,X2284,"f",FALSE)</f>
        <v>55164</v>
      </c>
      <c r="Z2284" s="171">
        <f>_xll.qlInterestRateIndexValueDate(IborIndex,Y2284,Trigger)</f>
        <v>55166</v>
      </c>
      <c r="AA2284" s="172" t="e">
        <v>#N/A</v>
      </c>
      <c r="AB2284" s="169" t="e">
        <v>#N/A</v>
      </c>
    </row>
    <row r="2285" spans="20:28" x14ac:dyDescent="0.2">
      <c r="T2285" s="130"/>
      <c r="U2285" s="151"/>
      <c r="X2285" s="170" t="str">
        <f t="shared" si="44"/>
        <v>1w</v>
      </c>
      <c r="Y2285" s="168">
        <f>_xll.qlCalendarAdvance(LiborCalendar,Y2284,X2285,"f",FALSE)</f>
        <v>55171</v>
      </c>
      <c r="Z2285" s="171">
        <f>_xll.qlInterestRateIndexValueDate(IborIndex,Y2285,Trigger)</f>
        <v>55173</v>
      </c>
      <c r="AA2285" s="172" t="e">
        <v>#N/A</v>
      </c>
      <c r="AB2285" s="169" t="e">
        <v>#N/A</v>
      </c>
    </row>
    <row r="2286" spans="20:28" x14ac:dyDescent="0.2">
      <c r="T2286" s="130"/>
      <c r="U2286" s="151"/>
      <c r="X2286" s="170" t="str">
        <f t="shared" si="44"/>
        <v>1w</v>
      </c>
      <c r="Y2286" s="168">
        <f>_xll.qlCalendarAdvance(LiborCalendar,Y2285,X2286,"f",FALSE)</f>
        <v>55178</v>
      </c>
      <c r="Z2286" s="171">
        <f>_xll.qlInterestRateIndexValueDate(IborIndex,Y2286,Trigger)</f>
        <v>55180</v>
      </c>
      <c r="AA2286" s="172" t="e">
        <v>#N/A</v>
      </c>
      <c r="AB2286" s="169" t="e">
        <v>#N/A</v>
      </c>
    </row>
    <row r="2287" spans="20:28" x14ac:dyDescent="0.2">
      <c r="T2287" s="130"/>
      <c r="U2287" s="151"/>
      <c r="X2287" s="170" t="str">
        <f t="shared" si="44"/>
        <v>1w</v>
      </c>
      <c r="Y2287" s="168">
        <f>_xll.qlCalendarAdvance(LiborCalendar,Y2286,X2287,"f",FALSE)</f>
        <v>55185</v>
      </c>
      <c r="Z2287" s="171">
        <f>_xll.qlInterestRateIndexValueDate(IborIndex,Y2287,Trigger)</f>
        <v>55187</v>
      </c>
      <c r="AA2287" s="172" t="e">
        <v>#N/A</v>
      </c>
      <c r="AB2287" s="169" t="e">
        <v>#N/A</v>
      </c>
    </row>
    <row r="2288" spans="20:28" x14ac:dyDescent="0.2">
      <c r="T2288" s="130"/>
      <c r="U2288" s="151"/>
      <c r="X2288" s="170" t="str">
        <f t="shared" si="44"/>
        <v>1w</v>
      </c>
      <c r="Y2288" s="168">
        <f>_xll.qlCalendarAdvance(LiborCalendar,Y2287,X2288,"f",FALSE)</f>
        <v>55192</v>
      </c>
      <c r="Z2288" s="171">
        <f>_xll.qlInterestRateIndexValueDate(IborIndex,Y2288,Trigger)</f>
        <v>55194</v>
      </c>
      <c r="AA2288" s="172" t="e">
        <v>#N/A</v>
      </c>
      <c r="AB2288" s="169" t="e">
        <v>#N/A</v>
      </c>
    </row>
    <row r="2289" spans="20:28" x14ac:dyDescent="0.2">
      <c r="T2289" s="130"/>
      <c r="U2289" s="151"/>
      <c r="X2289" s="170" t="str">
        <f t="shared" si="44"/>
        <v>1w</v>
      </c>
      <c r="Y2289" s="168">
        <f>_xll.qlCalendarAdvance(LiborCalendar,Y2288,X2289,"f",FALSE)</f>
        <v>55199</v>
      </c>
      <c r="Z2289" s="171">
        <f>_xll.qlInterestRateIndexValueDate(IborIndex,Y2289,Trigger)</f>
        <v>55201</v>
      </c>
      <c r="AA2289" s="172" t="e">
        <v>#N/A</v>
      </c>
      <c r="AB2289" s="169" t="e">
        <v>#N/A</v>
      </c>
    </row>
    <row r="2290" spans="20:28" x14ac:dyDescent="0.2">
      <c r="T2290" s="130"/>
      <c r="U2290" s="151"/>
      <c r="X2290" s="170" t="str">
        <f t="shared" si="44"/>
        <v>1w</v>
      </c>
      <c r="Y2290" s="168">
        <f>_xll.qlCalendarAdvance(LiborCalendar,Y2289,X2290,"f",FALSE)</f>
        <v>55206</v>
      </c>
      <c r="Z2290" s="171">
        <f>_xll.qlInterestRateIndexValueDate(IborIndex,Y2290,Trigger)</f>
        <v>55208</v>
      </c>
      <c r="AA2290" s="172" t="e">
        <v>#N/A</v>
      </c>
      <c r="AB2290" s="169" t="e">
        <v>#N/A</v>
      </c>
    </row>
    <row r="2291" spans="20:28" x14ac:dyDescent="0.2">
      <c r="T2291" s="130"/>
      <c r="U2291" s="151"/>
      <c r="X2291" s="170" t="str">
        <f t="shared" si="44"/>
        <v>1w</v>
      </c>
      <c r="Y2291" s="168">
        <f>_xll.qlCalendarAdvance(LiborCalendar,Y2290,X2291,"f",FALSE)</f>
        <v>55213</v>
      </c>
      <c r="Z2291" s="171">
        <f>_xll.qlInterestRateIndexValueDate(IborIndex,Y2291,Trigger)</f>
        <v>55215</v>
      </c>
      <c r="AA2291" s="172" t="e">
        <v>#N/A</v>
      </c>
      <c r="AB2291" s="169" t="e">
        <v>#N/A</v>
      </c>
    </row>
    <row r="2292" spans="20:28" x14ac:dyDescent="0.2">
      <c r="T2292" s="130"/>
      <c r="U2292" s="151"/>
      <c r="X2292" s="170" t="str">
        <f t="shared" si="44"/>
        <v>1w</v>
      </c>
      <c r="Y2292" s="168">
        <f>_xll.qlCalendarAdvance(LiborCalendar,Y2291,X2292,"f",FALSE)</f>
        <v>55220</v>
      </c>
      <c r="Z2292" s="171">
        <f>_xll.qlInterestRateIndexValueDate(IborIndex,Y2292,Trigger)</f>
        <v>55222</v>
      </c>
      <c r="AA2292" s="172" t="e">
        <v>#N/A</v>
      </c>
      <c r="AB2292" s="169" t="e">
        <v>#N/A</v>
      </c>
    </row>
    <row r="2293" spans="20:28" x14ac:dyDescent="0.2">
      <c r="T2293" s="130"/>
      <c r="U2293" s="151"/>
      <c r="X2293" s="170" t="str">
        <f t="shared" si="44"/>
        <v>1w</v>
      </c>
      <c r="Y2293" s="168">
        <f>_xll.qlCalendarAdvance(LiborCalendar,Y2292,X2293,"f",FALSE)</f>
        <v>55227</v>
      </c>
      <c r="Z2293" s="171">
        <f>_xll.qlInterestRateIndexValueDate(IborIndex,Y2293,Trigger)</f>
        <v>55229</v>
      </c>
      <c r="AA2293" s="172" t="e">
        <v>#N/A</v>
      </c>
      <c r="AB2293" s="169" t="e">
        <v>#N/A</v>
      </c>
    </row>
    <row r="2294" spans="20:28" x14ac:dyDescent="0.2">
      <c r="T2294" s="130"/>
      <c r="U2294" s="151"/>
      <c r="X2294" s="170" t="str">
        <f t="shared" si="44"/>
        <v>1w</v>
      </c>
      <c r="Y2294" s="168">
        <f>_xll.qlCalendarAdvance(LiborCalendar,Y2293,X2294,"f",FALSE)</f>
        <v>55234</v>
      </c>
      <c r="Z2294" s="171">
        <f>_xll.qlInterestRateIndexValueDate(IborIndex,Y2294,Trigger)</f>
        <v>55236</v>
      </c>
      <c r="AA2294" s="172" t="e">
        <v>#N/A</v>
      </c>
      <c r="AB2294" s="169" t="e">
        <v>#N/A</v>
      </c>
    </row>
    <row r="2295" spans="20:28" x14ac:dyDescent="0.2">
      <c r="T2295" s="130"/>
      <c r="U2295" s="151"/>
      <c r="X2295" s="170" t="str">
        <f t="shared" si="44"/>
        <v>1w</v>
      </c>
      <c r="Y2295" s="168">
        <f>_xll.qlCalendarAdvance(LiborCalendar,Y2294,X2295,"f",FALSE)</f>
        <v>55241</v>
      </c>
      <c r="Z2295" s="171">
        <f>_xll.qlInterestRateIndexValueDate(IborIndex,Y2295,Trigger)</f>
        <v>55247</v>
      </c>
      <c r="AA2295" s="172" t="e">
        <v>#N/A</v>
      </c>
      <c r="AB2295" s="169" t="e">
        <v>#N/A</v>
      </c>
    </row>
    <row r="2296" spans="20:28" x14ac:dyDescent="0.2">
      <c r="T2296" s="130"/>
      <c r="U2296" s="151"/>
      <c r="X2296" s="170" t="str">
        <f t="shared" si="44"/>
        <v>1w</v>
      </c>
      <c r="Y2296" s="168">
        <f>_xll.qlCalendarAdvance(LiborCalendar,Y2295,X2296,"f",FALSE)</f>
        <v>55248</v>
      </c>
      <c r="Z2296" s="171">
        <f>_xll.qlInterestRateIndexValueDate(IborIndex,Y2296,Trigger)</f>
        <v>55250</v>
      </c>
      <c r="AA2296" s="172" t="e">
        <v>#N/A</v>
      </c>
      <c r="AB2296" s="169" t="e">
        <v>#N/A</v>
      </c>
    </row>
    <row r="2297" spans="20:28" x14ac:dyDescent="0.2">
      <c r="T2297" s="130"/>
      <c r="U2297" s="151"/>
      <c r="X2297" s="170" t="str">
        <f t="shared" si="44"/>
        <v>1w</v>
      </c>
      <c r="Y2297" s="168">
        <f>_xll.qlCalendarAdvance(LiborCalendar,Y2296,X2297,"f",FALSE)</f>
        <v>55255</v>
      </c>
      <c r="Z2297" s="171">
        <f>_xll.qlInterestRateIndexValueDate(IborIndex,Y2297,Trigger)</f>
        <v>55257</v>
      </c>
      <c r="AA2297" s="172" t="e">
        <v>#N/A</v>
      </c>
      <c r="AB2297" s="169" t="e">
        <v>#N/A</v>
      </c>
    </row>
    <row r="2298" spans="20:28" x14ac:dyDescent="0.2">
      <c r="T2298" s="130"/>
      <c r="U2298" s="151"/>
      <c r="X2298" s="170" t="str">
        <f t="shared" si="44"/>
        <v>1w</v>
      </c>
      <c r="Y2298" s="168">
        <f>_xll.qlCalendarAdvance(LiborCalendar,Y2297,X2298,"f",FALSE)</f>
        <v>55262</v>
      </c>
      <c r="Z2298" s="171">
        <f>_xll.qlInterestRateIndexValueDate(IborIndex,Y2298,Trigger)</f>
        <v>55264</v>
      </c>
      <c r="AA2298" s="172" t="e">
        <v>#N/A</v>
      </c>
      <c r="AB2298" s="169" t="e">
        <v>#N/A</v>
      </c>
    </row>
    <row r="2299" spans="20:28" x14ac:dyDescent="0.2">
      <c r="T2299" s="130"/>
      <c r="U2299" s="151"/>
      <c r="X2299" s="170" t="str">
        <f t="shared" si="44"/>
        <v>1w</v>
      </c>
      <c r="Y2299" s="168">
        <f>_xll.qlCalendarAdvance(LiborCalendar,Y2298,X2299,"f",FALSE)</f>
        <v>55269</v>
      </c>
      <c r="Z2299" s="171">
        <f>_xll.qlInterestRateIndexValueDate(IborIndex,Y2299,Trigger)</f>
        <v>55271</v>
      </c>
      <c r="AA2299" s="172" t="e">
        <v>#N/A</v>
      </c>
      <c r="AB2299" s="169" t="e">
        <v>#N/A</v>
      </c>
    </row>
    <row r="2300" spans="20:28" x14ac:dyDescent="0.2">
      <c r="T2300" s="130"/>
      <c r="U2300" s="151"/>
      <c r="X2300" s="170" t="str">
        <f t="shared" si="44"/>
        <v>1w</v>
      </c>
      <c r="Y2300" s="168">
        <f>_xll.qlCalendarAdvance(LiborCalendar,Y2299,X2300,"f",FALSE)</f>
        <v>55276</v>
      </c>
      <c r="Z2300" s="171">
        <f>_xll.qlInterestRateIndexValueDate(IborIndex,Y2300,Trigger)</f>
        <v>55278</v>
      </c>
      <c r="AA2300" s="172" t="e">
        <v>#N/A</v>
      </c>
      <c r="AB2300" s="169" t="e">
        <v>#N/A</v>
      </c>
    </row>
    <row r="2301" spans="20:28" x14ac:dyDescent="0.2">
      <c r="T2301" s="130"/>
      <c r="U2301" s="151"/>
      <c r="X2301" s="170" t="str">
        <f t="shared" si="44"/>
        <v>1w</v>
      </c>
      <c r="Y2301" s="168">
        <f>_xll.qlCalendarAdvance(LiborCalendar,Y2300,X2301,"f",FALSE)</f>
        <v>55283</v>
      </c>
      <c r="Z2301" s="171">
        <f>_xll.qlInterestRateIndexValueDate(IborIndex,Y2301,Trigger)</f>
        <v>55285</v>
      </c>
      <c r="AA2301" s="172" t="e">
        <v>#N/A</v>
      </c>
      <c r="AB2301" s="169" t="e">
        <v>#N/A</v>
      </c>
    </row>
    <row r="2302" spans="20:28" x14ac:dyDescent="0.2">
      <c r="T2302" s="130"/>
      <c r="U2302" s="151"/>
      <c r="X2302" s="170" t="str">
        <f t="shared" si="44"/>
        <v>1w</v>
      </c>
      <c r="Y2302" s="168">
        <f>_xll.qlCalendarAdvance(LiborCalendar,Y2301,X2302,"f",FALSE)</f>
        <v>55290</v>
      </c>
      <c r="Z2302" s="171">
        <f>_xll.qlInterestRateIndexValueDate(IborIndex,Y2302,Trigger)</f>
        <v>55292</v>
      </c>
      <c r="AA2302" s="172" t="e">
        <v>#N/A</v>
      </c>
      <c r="AB2302" s="169" t="e">
        <v>#N/A</v>
      </c>
    </row>
    <row r="2303" spans="20:28" x14ac:dyDescent="0.2">
      <c r="T2303" s="130"/>
      <c r="U2303" s="151"/>
      <c r="X2303" s="170" t="str">
        <f t="shared" si="44"/>
        <v>1w</v>
      </c>
      <c r="Y2303" s="168">
        <f>_xll.qlCalendarAdvance(LiborCalendar,Y2302,X2303,"f",FALSE)</f>
        <v>55297</v>
      </c>
      <c r="Z2303" s="171">
        <f>_xll.qlInterestRateIndexValueDate(IborIndex,Y2303,Trigger)</f>
        <v>55299</v>
      </c>
      <c r="AA2303" s="172" t="e">
        <v>#N/A</v>
      </c>
      <c r="AB2303" s="169" t="e">
        <v>#N/A</v>
      </c>
    </row>
    <row r="2304" spans="20:28" x14ac:dyDescent="0.2">
      <c r="T2304" s="130"/>
      <c r="U2304" s="151"/>
      <c r="X2304" s="170" t="str">
        <f t="shared" si="44"/>
        <v>1w</v>
      </c>
      <c r="Y2304" s="168">
        <f>_xll.qlCalendarAdvance(LiborCalendar,Y2303,X2304,"f",FALSE)</f>
        <v>55304</v>
      </c>
      <c r="Z2304" s="171">
        <f>_xll.qlInterestRateIndexValueDate(IborIndex,Y2304,Trigger)</f>
        <v>55306</v>
      </c>
      <c r="AA2304" s="172" t="e">
        <v>#N/A</v>
      </c>
      <c r="AB2304" s="169" t="e">
        <v>#N/A</v>
      </c>
    </row>
    <row r="2305" spans="20:28" x14ac:dyDescent="0.2">
      <c r="T2305" s="130"/>
      <c r="U2305" s="151"/>
      <c r="X2305" s="170" t="str">
        <f t="shared" si="44"/>
        <v>1w</v>
      </c>
      <c r="Y2305" s="168">
        <f>_xll.qlCalendarAdvance(LiborCalendar,Y2304,X2305,"f",FALSE)</f>
        <v>55311</v>
      </c>
      <c r="Z2305" s="171">
        <f>_xll.qlInterestRateIndexValueDate(IborIndex,Y2305,Trigger)</f>
        <v>55313</v>
      </c>
      <c r="AA2305" s="172" t="e">
        <v>#N/A</v>
      </c>
      <c r="AB2305" s="169" t="e">
        <v>#N/A</v>
      </c>
    </row>
    <row r="2306" spans="20:28" x14ac:dyDescent="0.2">
      <c r="T2306" s="130"/>
      <c r="U2306" s="151"/>
      <c r="X2306" s="170" t="str">
        <f t="shared" si="44"/>
        <v>1w</v>
      </c>
      <c r="Y2306" s="168">
        <f>_xll.qlCalendarAdvance(LiborCalendar,Y2305,X2306,"f",FALSE)</f>
        <v>55318</v>
      </c>
      <c r="Z2306" s="171">
        <f>_xll.qlInterestRateIndexValueDate(IborIndex,Y2306,Trigger)</f>
        <v>55320</v>
      </c>
      <c r="AA2306" s="172" t="e">
        <v>#N/A</v>
      </c>
      <c r="AB2306" s="169" t="e">
        <v>#N/A</v>
      </c>
    </row>
    <row r="2307" spans="20:28" x14ac:dyDescent="0.2">
      <c r="T2307" s="130"/>
      <c r="U2307" s="151"/>
      <c r="X2307" s="170" t="str">
        <f t="shared" si="44"/>
        <v>1w</v>
      </c>
      <c r="Y2307" s="168">
        <f>_xll.qlCalendarAdvance(LiborCalendar,Y2306,X2307,"f",FALSE)</f>
        <v>55325</v>
      </c>
      <c r="Z2307" s="171">
        <f>_xll.qlInterestRateIndexValueDate(IborIndex,Y2307,Trigger)</f>
        <v>55327</v>
      </c>
      <c r="AA2307" s="172" t="e">
        <v>#N/A</v>
      </c>
      <c r="AB2307" s="169" t="e">
        <v>#N/A</v>
      </c>
    </row>
    <row r="2308" spans="20:28" x14ac:dyDescent="0.2">
      <c r="T2308" s="130"/>
      <c r="U2308" s="151"/>
      <c r="X2308" s="170" t="str">
        <f t="shared" si="44"/>
        <v>1w</v>
      </c>
      <c r="Y2308" s="168">
        <f>_xll.qlCalendarAdvance(LiborCalendar,Y2307,X2308,"f",FALSE)</f>
        <v>55332</v>
      </c>
      <c r="Z2308" s="171">
        <f>_xll.qlInterestRateIndexValueDate(IborIndex,Y2308,Trigger)</f>
        <v>55334</v>
      </c>
      <c r="AA2308" s="172" t="e">
        <v>#N/A</v>
      </c>
      <c r="AB2308" s="169" t="e">
        <v>#N/A</v>
      </c>
    </row>
    <row r="2309" spans="20:28" x14ac:dyDescent="0.2">
      <c r="T2309" s="130"/>
      <c r="U2309" s="151"/>
      <c r="X2309" s="170" t="str">
        <f t="shared" si="44"/>
        <v>1w</v>
      </c>
      <c r="Y2309" s="168">
        <f>_xll.qlCalendarAdvance(LiborCalendar,Y2308,X2309,"f",FALSE)</f>
        <v>55339</v>
      </c>
      <c r="Z2309" s="171">
        <f>_xll.qlInterestRateIndexValueDate(IborIndex,Y2309,Trigger)</f>
        <v>55341</v>
      </c>
      <c r="AA2309" s="172" t="e">
        <v>#N/A</v>
      </c>
      <c r="AB2309" s="169" t="e">
        <v>#N/A</v>
      </c>
    </row>
    <row r="2310" spans="20:28" x14ac:dyDescent="0.2">
      <c r="T2310" s="130"/>
      <c r="U2310" s="151"/>
      <c r="X2310" s="170" t="str">
        <f t="shared" si="44"/>
        <v>1w</v>
      </c>
      <c r="Y2310" s="168">
        <f>_xll.qlCalendarAdvance(LiborCalendar,Y2309,X2310,"f",FALSE)</f>
        <v>55346</v>
      </c>
      <c r="Z2310" s="171">
        <f>_xll.qlInterestRateIndexValueDate(IborIndex,Y2310,Trigger)</f>
        <v>55348</v>
      </c>
      <c r="AA2310" s="172" t="e">
        <v>#N/A</v>
      </c>
      <c r="AB2310" s="169" t="e">
        <v>#N/A</v>
      </c>
    </row>
    <row r="2311" spans="20:28" x14ac:dyDescent="0.2">
      <c r="T2311" s="130"/>
      <c r="U2311" s="151"/>
      <c r="X2311" s="170" t="str">
        <f t="shared" si="44"/>
        <v>1w</v>
      </c>
      <c r="Y2311" s="168">
        <f>_xll.qlCalendarAdvance(LiborCalendar,Y2310,X2311,"f",FALSE)</f>
        <v>55353</v>
      </c>
      <c r="Z2311" s="171">
        <f>_xll.qlInterestRateIndexValueDate(IborIndex,Y2311,Trigger)</f>
        <v>55355</v>
      </c>
      <c r="AA2311" s="172" t="e">
        <v>#N/A</v>
      </c>
      <c r="AB2311" s="169" t="e">
        <v>#N/A</v>
      </c>
    </row>
    <row r="2312" spans="20:28" x14ac:dyDescent="0.2">
      <c r="T2312" s="130"/>
      <c r="U2312" s="151"/>
      <c r="X2312" s="170" t="str">
        <f t="shared" si="44"/>
        <v>1w</v>
      </c>
      <c r="Y2312" s="168">
        <f>_xll.qlCalendarAdvance(LiborCalendar,Y2311,X2312,"f",FALSE)</f>
        <v>55360</v>
      </c>
      <c r="Z2312" s="171">
        <f>_xll.qlInterestRateIndexValueDate(IborIndex,Y2312,Trigger)</f>
        <v>55362</v>
      </c>
      <c r="AA2312" s="172" t="e">
        <v>#N/A</v>
      </c>
      <c r="AB2312" s="169" t="e">
        <v>#N/A</v>
      </c>
    </row>
    <row r="2313" spans="20:28" x14ac:dyDescent="0.2">
      <c r="T2313" s="130"/>
      <c r="U2313" s="151"/>
      <c r="X2313" s="170" t="str">
        <f t="shared" si="44"/>
        <v>1w</v>
      </c>
      <c r="Y2313" s="168">
        <f>_xll.qlCalendarAdvance(LiborCalendar,Y2312,X2313,"f",FALSE)</f>
        <v>55367</v>
      </c>
      <c r="Z2313" s="171">
        <f>_xll.qlInterestRateIndexValueDate(IborIndex,Y2313,Trigger)</f>
        <v>55369</v>
      </c>
      <c r="AA2313" s="172" t="e">
        <v>#N/A</v>
      </c>
      <c r="AB2313" s="169" t="e">
        <v>#N/A</v>
      </c>
    </row>
    <row r="2314" spans="20:28" x14ac:dyDescent="0.2">
      <c r="T2314" s="130"/>
      <c r="U2314" s="151"/>
      <c r="X2314" s="170" t="str">
        <f t="shared" si="44"/>
        <v>1w</v>
      </c>
      <c r="Y2314" s="168">
        <f>_xll.qlCalendarAdvance(LiborCalendar,Y2313,X2314,"f",FALSE)</f>
        <v>55374</v>
      </c>
      <c r="Z2314" s="171">
        <f>_xll.qlInterestRateIndexValueDate(IborIndex,Y2314,Trigger)</f>
        <v>55376</v>
      </c>
      <c r="AA2314" s="172" t="e">
        <v>#N/A</v>
      </c>
      <c r="AB2314" s="169" t="e">
        <v>#N/A</v>
      </c>
    </row>
    <row r="2315" spans="20:28" x14ac:dyDescent="0.2">
      <c r="T2315" s="130"/>
      <c r="U2315" s="151"/>
      <c r="X2315" s="170" t="str">
        <f t="shared" si="44"/>
        <v>1w</v>
      </c>
      <c r="Y2315" s="168">
        <f>_xll.qlCalendarAdvance(LiborCalendar,Y2314,X2315,"f",FALSE)</f>
        <v>55381</v>
      </c>
      <c r="Z2315" s="171">
        <f>_xll.qlInterestRateIndexValueDate(IborIndex,Y2315,Trigger)</f>
        <v>55383</v>
      </c>
      <c r="AA2315" s="172" t="e">
        <v>#N/A</v>
      </c>
      <c r="AB2315" s="169" t="e">
        <v>#N/A</v>
      </c>
    </row>
    <row r="2316" spans="20:28" x14ac:dyDescent="0.2">
      <c r="T2316" s="130"/>
      <c r="U2316" s="151"/>
      <c r="X2316" s="170" t="str">
        <f t="shared" si="44"/>
        <v>1w</v>
      </c>
      <c r="Y2316" s="168">
        <f>_xll.qlCalendarAdvance(LiborCalendar,Y2315,X2316,"f",FALSE)</f>
        <v>55388</v>
      </c>
      <c r="Z2316" s="171">
        <f>_xll.qlInterestRateIndexValueDate(IborIndex,Y2316,Trigger)</f>
        <v>55390</v>
      </c>
      <c r="AA2316" s="172" t="e">
        <v>#N/A</v>
      </c>
      <c r="AB2316" s="169" t="e">
        <v>#N/A</v>
      </c>
    </row>
    <row r="2317" spans="20:28" x14ac:dyDescent="0.2">
      <c r="T2317" s="130"/>
      <c r="U2317" s="151"/>
      <c r="X2317" s="170" t="str">
        <f t="shared" si="44"/>
        <v>1w</v>
      </c>
      <c r="Y2317" s="168">
        <f>_xll.qlCalendarAdvance(LiborCalendar,Y2316,X2317,"f",FALSE)</f>
        <v>55395</v>
      </c>
      <c r="Z2317" s="171">
        <f>_xll.qlInterestRateIndexValueDate(IborIndex,Y2317,Trigger)</f>
        <v>55397</v>
      </c>
      <c r="AA2317" s="172" t="e">
        <v>#N/A</v>
      </c>
      <c r="AB2317" s="169" t="e">
        <v>#N/A</v>
      </c>
    </row>
    <row r="2318" spans="20:28" x14ac:dyDescent="0.2">
      <c r="T2318" s="130"/>
      <c r="U2318" s="151"/>
      <c r="X2318" s="170" t="str">
        <f t="shared" si="44"/>
        <v>1w</v>
      </c>
      <c r="Y2318" s="168">
        <f>_xll.qlCalendarAdvance(LiborCalendar,Y2317,X2318,"f",FALSE)</f>
        <v>55402</v>
      </c>
      <c r="Z2318" s="171">
        <f>_xll.qlInterestRateIndexValueDate(IborIndex,Y2318,Trigger)</f>
        <v>55404</v>
      </c>
      <c r="AA2318" s="172" t="e">
        <v>#N/A</v>
      </c>
      <c r="AB2318" s="169" t="e">
        <v>#N/A</v>
      </c>
    </row>
    <row r="2319" spans="20:28" x14ac:dyDescent="0.2">
      <c r="T2319" s="130"/>
      <c r="U2319" s="151"/>
      <c r="X2319" s="170" t="str">
        <f t="shared" si="44"/>
        <v>1w</v>
      </c>
      <c r="Y2319" s="168">
        <f>_xll.qlCalendarAdvance(LiborCalendar,Y2318,X2319,"f",FALSE)</f>
        <v>55409</v>
      </c>
      <c r="Z2319" s="171">
        <f>_xll.qlInterestRateIndexValueDate(IborIndex,Y2319,Trigger)</f>
        <v>55411</v>
      </c>
      <c r="AA2319" s="172" t="e">
        <v>#N/A</v>
      </c>
      <c r="AB2319" s="169" t="e">
        <v>#N/A</v>
      </c>
    </row>
    <row r="2320" spans="20:28" x14ac:dyDescent="0.2">
      <c r="T2320" s="130"/>
      <c r="U2320" s="151"/>
      <c r="X2320" s="170" t="str">
        <f t="shared" si="44"/>
        <v>1w</v>
      </c>
      <c r="Y2320" s="168">
        <f>_xll.qlCalendarAdvance(LiborCalendar,Y2319,X2320,"f",FALSE)</f>
        <v>55416</v>
      </c>
      <c r="Z2320" s="171">
        <f>_xll.qlInterestRateIndexValueDate(IborIndex,Y2320,Trigger)</f>
        <v>55418</v>
      </c>
      <c r="AA2320" s="172" t="e">
        <v>#N/A</v>
      </c>
      <c r="AB2320" s="169" t="e">
        <v>#N/A</v>
      </c>
    </row>
    <row r="2321" spans="20:28" x14ac:dyDescent="0.2">
      <c r="T2321" s="130"/>
      <c r="U2321" s="151"/>
      <c r="X2321" s="170" t="str">
        <f t="shared" si="44"/>
        <v>1w</v>
      </c>
      <c r="Y2321" s="168">
        <f>_xll.qlCalendarAdvance(LiborCalendar,Y2320,X2321,"f",FALSE)</f>
        <v>55423</v>
      </c>
      <c r="Z2321" s="171">
        <f>_xll.qlInterestRateIndexValueDate(IborIndex,Y2321,Trigger)</f>
        <v>55425</v>
      </c>
      <c r="AA2321" s="172" t="e">
        <v>#N/A</v>
      </c>
      <c r="AB2321" s="169" t="e">
        <v>#N/A</v>
      </c>
    </row>
    <row r="2322" spans="20:28" x14ac:dyDescent="0.2">
      <c r="T2322" s="130"/>
      <c r="U2322" s="151"/>
      <c r="X2322" s="170" t="str">
        <f t="shared" si="44"/>
        <v>1w</v>
      </c>
      <c r="Y2322" s="168">
        <f>_xll.qlCalendarAdvance(LiborCalendar,Y2321,X2322,"f",FALSE)</f>
        <v>55430</v>
      </c>
      <c r="Z2322" s="171">
        <f>_xll.qlInterestRateIndexValueDate(IborIndex,Y2322,Trigger)</f>
        <v>55432</v>
      </c>
      <c r="AA2322" s="172" t="e">
        <v>#N/A</v>
      </c>
      <c r="AB2322" s="169" t="e">
        <v>#N/A</v>
      </c>
    </row>
    <row r="2323" spans="20:28" x14ac:dyDescent="0.2">
      <c r="T2323" s="130"/>
      <c r="U2323" s="151"/>
      <c r="X2323" s="170" t="str">
        <f t="shared" si="44"/>
        <v>1w</v>
      </c>
      <c r="Y2323" s="168">
        <f>_xll.qlCalendarAdvance(LiborCalendar,Y2322,X2323,"f",FALSE)</f>
        <v>55437</v>
      </c>
      <c r="Z2323" s="171">
        <f>_xll.qlInterestRateIndexValueDate(IborIndex,Y2323,Trigger)</f>
        <v>55439</v>
      </c>
      <c r="AA2323" s="172" t="e">
        <v>#N/A</v>
      </c>
      <c r="AB2323" s="169" t="e">
        <v>#N/A</v>
      </c>
    </row>
    <row r="2324" spans="20:28" x14ac:dyDescent="0.2">
      <c r="T2324" s="130"/>
      <c r="U2324" s="151"/>
      <c r="X2324" s="170" t="str">
        <f t="shared" si="44"/>
        <v>1w</v>
      </c>
      <c r="Y2324" s="168">
        <f>_xll.qlCalendarAdvance(LiborCalendar,Y2323,X2324,"f",FALSE)</f>
        <v>55444</v>
      </c>
      <c r="Z2324" s="171">
        <f>_xll.qlInterestRateIndexValueDate(IborIndex,Y2324,Trigger)</f>
        <v>55446</v>
      </c>
      <c r="AA2324" s="172" t="e">
        <v>#N/A</v>
      </c>
      <c r="AB2324" s="169" t="e">
        <v>#N/A</v>
      </c>
    </row>
    <row r="2325" spans="20:28" x14ac:dyDescent="0.2">
      <c r="T2325" s="130"/>
      <c r="U2325" s="151"/>
      <c r="X2325" s="170" t="str">
        <f t="shared" ref="X2325:X2388" si="45">X2324</f>
        <v>1w</v>
      </c>
      <c r="Y2325" s="168">
        <f>_xll.qlCalendarAdvance(LiborCalendar,Y2324,X2325,"f",FALSE)</f>
        <v>55451</v>
      </c>
      <c r="Z2325" s="171">
        <f>_xll.qlInterestRateIndexValueDate(IborIndex,Y2325,Trigger)</f>
        <v>55453</v>
      </c>
      <c r="AA2325" s="172" t="e">
        <v>#N/A</v>
      </c>
      <c r="AB2325" s="169" t="e">
        <v>#N/A</v>
      </c>
    </row>
    <row r="2326" spans="20:28" x14ac:dyDescent="0.2">
      <c r="T2326" s="130"/>
      <c r="U2326" s="151"/>
      <c r="X2326" s="170" t="str">
        <f t="shared" si="45"/>
        <v>1w</v>
      </c>
      <c r="Y2326" s="168">
        <f>_xll.qlCalendarAdvance(LiborCalendar,Y2325,X2326,"f",FALSE)</f>
        <v>55458</v>
      </c>
      <c r="Z2326" s="171">
        <f>_xll.qlInterestRateIndexValueDate(IborIndex,Y2326,Trigger)</f>
        <v>55460</v>
      </c>
      <c r="AA2326" s="172" t="e">
        <v>#N/A</v>
      </c>
      <c r="AB2326" s="169" t="e">
        <v>#N/A</v>
      </c>
    </row>
    <row r="2327" spans="20:28" x14ac:dyDescent="0.2">
      <c r="T2327" s="130"/>
      <c r="U2327" s="151"/>
      <c r="X2327" s="170" t="str">
        <f t="shared" si="45"/>
        <v>1w</v>
      </c>
      <c r="Y2327" s="168">
        <f>_xll.qlCalendarAdvance(LiborCalendar,Y2326,X2327,"f",FALSE)</f>
        <v>55465</v>
      </c>
      <c r="Z2327" s="171">
        <f>_xll.qlInterestRateIndexValueDate(IborIndex,Y2327,Trigger)</f>
        <v>55467</v>
      </c>
      <c r="AA2327" s="172" t="e">
        <v>#N/A</v>
      </c>
      <c r="AB2327" s="169" t="e">
        <v>#N/A</v>
      </c>
    </row>
    <row r="2328" spans="20:28" x14ac:dyDescent="0.2">
      <c r="T2328" s="130"/>
      <c r="U2328" s="151"/>
      <c r="X2328" s="170" t="str">
        <f t="shared" si="45"/>
        <v>1w</v>
      </c>
      <c r="Y2328" s="168">
        <f>_xll.qlCalendarAdvance(LiborCalendar,Y2327,X2328,"f",FALSE)</f>
        <v>55472</v>
      </c>
      <c r="Z2328" s="171">
        <f>_xll.qlInterestRateIndexValueDate(IborIndex,Y2328,Trigger)</f>
        <v>55474</v>
      </c>
      <c r="AA2328" s="172" t="e">
        <v>#N/A</v>
      </c>
      <c r="AB2328" s="169" t="e">
        <v>#N/A</v>
      </c>
    </row>
    <row r="2329" spans="20:28" x14ac:dyDescent="0.2">
      <c r="T2329" s="130"/>
      <c r="U2329" s="151"/>
      <c r="X2329" s="170" t="str">
        <f t="shared" si="45"/>
        <v>1w</v>
      </c>
      <c r="Y2329" s="168">
        <f>_xll.qlCalendarAdvance(LiborCalendar,Y2328,X2329,"f",FALSE)</f>
        <v>55479</v>
      </c>
      <c r="Z2329" s="171">
        <f>_xll.qlInterestRateIndexValueDate(IborIndex,Y2329,Trigger)</f>
        <v>55481</v>
      </c>
      <c r="AA2329" s="172" t="e">
        <v>#N/A</v>
      </c>
      <c r="AB2329" s="169" t="e">
        <v>#N/A</v>
      </c>
    </row>
    <row r="2330" spans="20:28" x14ac:dyDescent="0.2">
      <c r="T2330" s="130"/>
      <c r="U2330" s="151"/>
      <c r="X2330" s="170" t="str">
        <f t="shared" si="45"/>
        <v>1w</v>
      </c>
      <c r="Y2330" s="168">
        <f>_xll.qlCalendarAdvance(LiborCalendar,Y2329,X2330,"f",FALSE)</f>
        <v>55486</v>
      </c>
      <c r="Z2330" s="171">
        <f>_xll.qlInterestRateIndexValueDate(IborIndex,Y2330,Trigger)</f>
        <v>55488</v>
      </c>
      <c r="AA2330" s="172" t="e">
        <v>#N/A</v>
      </c>
      <c r="AB2330" s="169" t="e">
        <v>#N/A</v>
      </c>
    </row>
    <row r="2331" spans="20:28" x14ac:dyDescent="0.2">
      <c r="T2331" s="130"/>
      <c r="U2331" s="151"/>
      <c r="X2331" s="170" t="str">
        <f t="shared" si="45"/>
        <v>1w</v>
      </c>
      <c r="Y2331" s="168">
        <f>_xll.qlCalendarAdvance(LiborCalendar,Y2330,X2331,"f",FALSE)</f>
        <v>55493</v>
      </c>
      <c r="Z2331" s="171">
        <f>_xll.qlInterestRateIndexValueDate(IborIndex,Y2331,Trigger)</f>
        <v>55495</v>
      </c>
      <c r="AA2331" s="172" t="e">
        <v>#N/A</v>
      </c>
      <c r="AB2331" s="169" t="e">
        <v>#N/A</v>
      </c>
    </row>
    <row r="2332" spans="20:28" x14ac:dyDescent="0.2">
      <c r="T2332" s="130"/>
      <c r="U2332" s="151"/>
      <c r="X2332" s="170" t="str">
        <f t="shared" si="45"/>
        <v>1w</v>
      </c>
      <c r="Y2332" s="168">
        <f>_xll.qlCalendarAdvance(LiborCalendar,Y2331,X2332,"f",FALSE)</f>
        <v>55500</v>
      </c>
      <c r="Z2332" s="171">
        <f>_xll.qlInterestRateIndexValueDate(IborIndex,Y2332,Trigger)</f>
        <v>55502</v>
      </c>
      <c r="AA2332" s="172" t="e">
        <v>#N/A</v>
      </c>
      <c r="AB2332" s="169" t="e">
        <v>#N/A</v>
      </c>
    </row>
    <row r="2333" spans="20:28" x14ac:dyDescent="0.2">
      <c r="T2333" s="130"/>
      <c r="U2333" s="151"/>
      <c r="X2333" s="170" t="str">
        <f t="shared" si="45"/>
        <v>1w</v>
      </c>
      <c r="Y2333" s="168">
        <f>_xll.qlCalendarAdvance(LiborCalendar,Y2332,X2333,"f",FALSE)</f>
        <v>55507</v>
      </c>
      <c r="Z2333" s="171">
        <f>_xll.qlInterestRateIndexValueDate(IborIndex,Y2333,Trigger)</f>
        <v>55509</v>
      </c>
      <c r="AA2333" s="172" t="e">
        <v>#N/A</v>
      </c>
      <c r="AB2333" s="169" t="e">
        <v>#N/A</v>
      </c>
    </row>
    <row r="2334" spans="20:28" x14ac:dyDescent="0.2">
      <c r="T2334" s="130"/>
      <c r="U2334" s="151"/>
      <c r="X2334" s="170" t="str">
        <f t="shared" si="45"/>
        <v>1w</v>
      </c>
      <c r="Y2334" s="168">
        <f>_xll.qlCalendarAdvance(LiborCalendar,Y2333,X2334,"f",FALSE)</f>
        <v>55514</v>
      </c>
      <c r="Z2334" s="171">
        <f>_xll.qlInterestRateIndexValueDate(IborIndex,Y2334,Trigger)</f>
        <v>55516</v>
      </c>
      <c r="AA2334" s="172" t="e">
        <v>#N/A</v>
      </c>
      <c r="AB2334" s="169" t="e">
        <v>#N/A</v>
      </c>
    </row>
    <row r="2335" spans="20:28" x14ac:dyDescent="0.2">
      <c r="T2335" s="130"/>
      <c r="U2335" s="151"/>
      <c r="X2335" s="170" t="str">
        <f t="shared" si="45"/>
        <v>1w</v>
      </c>
      <c r="Y2335" s="168">
        <f>_xll.qlCalendarAdvance(LiborCalendar,Y2334,X2335,"f",FALSE)</f>
        <v>55521</v>
      </c>
      <c r="Z2335" s="171">
        <f>_xll.qlInterestRateIndexValueDate(IborIndex,Y2335,Trigger)</f>
        <v>55523</v>
      </c>
      <c r="AA2335" s="172" t="e">
        <v>#N/A</v>
      </c>
      <c r="AB2335" s="169" t="e">
        <v>#N/A</v>
      </c>
    </row>
    <row r="2336" spans="20:28" x14ac:dyDescent="0.2">
      <c r="T2336" s="130"/>
      <c r="U2336" s="151"/>
      <c r="X2336" s="170" t="str">
        <f t="shared" si="45"/>
        <v>1w</v>
      </c>
      <c r="Y2336" s="168">
        <f>_xll.qlCalendarAdvance(LiborCalendar,Y2335,X2336,"f",FALSE)</f>
        <v>55528</v>
      </c>
      <c r="Z2336" s="171">
        <f>_xll.qlInterestRateIndexValueDate(IborIndex,Y2336,Trigger)</f>
        <v>55530</v>
      </c>
      <c r="AA2336" s="172" t="e">
        <v>#N/A</v>
      </c>
      <c r="AB2336" s="169" t="e">
        <v>#N/A</v>
      </c>
    </row>
    <row r="2337" spans="20:28" x14ac:dyDescent="0.2">
      <c r="T2337" s="130"/>
      <c r="U2337" s="151"/>
      <c r="X2337" s="170" t="str">
        <f t="shared" si="45"/>
        <v>1w</v>
      </c>
      <c r="Y2337" s="168">
        <f>_xll.qlCalendarAdvance(LiborCalendar,Y2336,X2337,"f",FALSE)</f>
        <v>55535</v>
      </c>
      <c r="Z2337" s="171">
        <f>_xll.qlInterestRateIndexValueDate(IborIndex,Y2337,Trigger)</f>
        <v>55537</v>
      </c>
      <c r="AA2337" s="172" t="e">
        <v>#N/A</v>
      </c>
      <c r="AB2337" s="169" t="e">
        <v>#N/A</v>
      </c>
    </row>
    <row r="2338" spans="20:28" x14ac:dyDescent="0.2">
      <c r="T2338" s="130"/>
      <c r="U2338" s="151"/>
      <c r="X2338" s="170" t="str">
        <f t="shared" si="45"/>
        <v>1w</v>
      </c>
      <c r="Y2338" s="168">
        <f>_xll.qlCalendarAdvance(LiborCalendar,Y2337,X2338,"f",FALSE)</f>
        <v>55542</v>
      </c>
      <c r="Z2338" s="171">
        <f>_xll.qlInterestRateIndexValueDate(IborIndex,Y2338,Trigger)</f>
        <v>55544</v>
      </c>
      <c r="AA2338" s="172" t="e">
        <v>#N/A</v>
      </c>
      <c r="AB2338" s="169" t="e">
        <v>#N/A</v>
      </c>
    </row>
    <row r="2339" spans="20:28" x14ac:dyDescent="0.2">
      <c r="T2339" s="130"/>
      <c r="U2339" s="151"/>
      <c r="X2339" s="170" t="str">
        <f t="shared" si="45"/>
        <v>1w</v>
      </c>
      <c r="Y2339" s="168">
        <f>_xll.qlCalendarAdvance(LiborCalendar,Y2338,X2339,"f",FALSE)</f>
        <v>55549</v>
      </c>
      <c r="Z2339" s="171">
        <f>_xll.qlInterestRateIndexValueDate(IborIndex,Y2339,Trigger)</f>
        <v>55551</v>
      </c>
      <c r="AA2339" s="172" t="e">
        <v>#N/A</v>
      </c>
      <c r="AB2339" s="169" t="e">
        <v>#N/A</v>
      </c>
    </row>
    <row r="2340" spans="20:28" x14ac:dyDescent="0.2">
      <c r="T2340" s="130"/>
      <c r="U2340" s="151"/>
      <c r="X2340" s="170" t="str">
        <f t="shared" si="45"/>
        <v>1w</v>
      </c>
      <c r="Y2340" s="168">
        <f>_xll.qlCalendarAdvance(LiborCalendar,Y2339,X2340,"f",FALSE)</f>
        <v>55556</v>
      </c>
      <c r="Z2340" s="171">
        <f>_xll.qlInterestRateIndexValueDate(IborIndex,Y2340,Trigger)</f>
        <v>55558</v>
      </c>
      <c r="AA2340" s="172" t="e">
        <v>#N/A</v>
      </c>
      <c r="AB2340" s="169" t="e">
        <v>#N/A</v>
      </c>
    </row>
    <row r="2341" spans="20:28" x14ac:dyDescent="0.2">
      <c r="T2341" s="130"/>
      <c r="U2341" s="151"/>
      <c r="X2341" s="170" t="str">
        <f t="shared" si="45"/>
        <v>1w</v>
      </c>
      <c r="Y2341" s="168">
        <f>_xll.qlCalendarAdvance(LiborCalendar,Y2340,X2341,"f",FALSE)</f>
        <v>55563</v>
      </c>
      <c r="Z2341" s="171">
        <f>_xll.qlInterestRateIndexValueDate(IborIndex,Y2341,Trigger)</f>
        <v>55565</v>
      </c>
      <c r="AA2341" s="172" t="e">
        <v>#N/A</v>
      </c>
      <c r="AB2341" s="169" t="e">
        <v>#N/A</v>
      </c>
    </row>
    <row r="2342" spans="20:28" x14ac:dyDescent="0.2">
      <c r="T2342" s="130"/>
      <c r="U2342" s="151"/>
      <c r="X2342" s="170" t="str">
        <f t="shared" si="45"/>
        <v>1w</v>
      </c>
      <c r="Y2342" s="168">
        <f>_xll.qlCalendarAdvance(LiborCalendar,Y2341,X2342,"f",FALSE)</f>
        <v>55570</v>
      </c>
      <c r="Z2342" s="171">
        <f>_xll.qlInterestRateIndexValueDate(IborIndex,Y2342,Trigger)</f>
        <v>55572</v>
      </c>
      <c r="AA2342" s="172" t="e">
        <v>#N/A</v>
      </c>
      <c r="AB2342" s="169" t="e">
        <v>#N/A</v>
      </c>
    </row>
    <row r="2343" spans="20:28" x14ac:dyDescent="0.2">
      <c r="T2343" s="130"/>
      <c r="U2343" s="151"/>
      <c r="X2343" s="170" t="str">
        <f t="shared" si="45"/>
        <v>1w</v>
      </c>
      <c r="Y2343" s="168">
        <f>_xll.qlCalendarAdvance(LiborCalendar,Y2342,X2343,"f",FALSE)</f>
        <v>55577</v>
      </c>
      <c r="Z2343" s="171">
        <f>_xll.qlInterestRateIndexValueDate(IborIndex,Y2343,Trigger)</f>
        <v>55579</v>
      </c>
      <c r="AA2343" s="172" t="e">
        <v>#N/A</v>
      </c>
      <c r="AB2343" s="169" t="e">
        <v>#N/A</v>
      </c>
    </row>
    <row r="2344" spans="20:28" x14ac:dyDescent="0.2">
      <c r="T2344" s="130"/>
      <c r="U2344" s="151"/>
      <c r="X2344" s="170" t="str">
        <f t="shared" si="45"/>
        <v>1w</v>
      </c>
      <c r="Y2344" s="168">
        <f>_xll.qlCalendarAdvance(LiborCalendar,Y2343,X2344,"f",FALSE)</f>
        <v>55584</v>
      </c>
      <c r="Z2344" s="171">
        <f>_xll.qlInterestRateIndexValueDate(IborIndex,Y2344,Trigger)</f>
        <v>55586</v>
      </c>
      <c r="AA2344" s="172" t="e">
        <v>#N/A</v>
      </c>
      <c r="AB2344" s="169" t="e">
        <v>#N/A</v>
      </c>
    </row>
    <row r="2345" spans="20:28" x14ac:dyDescent="0.2">
      <c r="T2345" s="130"/>
      <c r="U2345" s="151"/>
      <c r="X2345" s="170" t="str">
        <f t="shared" si="45"/>
        <v>1w</v>
      </c>
      <c r="Y2345" s="168">
        <f>_xll.qlCalendarAdvance(LiborCalendar,Y2344,X2345,"f",FALSE)</f>
        <v>55591</v>
      </c>
      <c r="Z2345" s="171">
        <f>_xll.qlInterestRateIndexValueDate(IborIndex,Y2345,Trigger)</f>
        <v>55593</v>
      </c>
      <c r="AA2345" s="172" t="e">
        <v>#N/A</v>
      </c>
      <c r="AB2345" s="169" t="e">
        <v>#N/A</v>
      </c>
    </row>
    <row r="2346" spans="20:28" x14ac:dyDescent="0.2">
      <c r="T2346" s="130"/>
      <c r="U2346" s="151"/>
      <c r="X2346" s="170" t="str">
        <f t="shared" si="45"/>
        <v>1w</v>
      </c>
      <c r="Y2346" s="168">
        <f>_xll.qlCalendarAdvance(LiborCalendar,Y2345,X2346,"f",FALSE)</f>
        <v>55598</v>
      </c>
      <c r="Z2346" s="171">
        <f>_xll.qlInterestRateIndexValueDate(IborIndex,Y2346,Trigger)</f>
        <v>55600</v>
      </c>
      <c r="AA2346" s="172" t="e">
        <v>#N/A</v>
      </c>
      <c r="AB2346" s="169" t="e">
        <v>#N/A</v>
      </c>
    </row>
    <row r="2347" spans="20:28" x14ac:dyDescent="0.2">
      <c r="T2347" s="130"/>
      <c r="U2347" s="151"/>
      <c r="X2347" s="170" t="str">
        <f t="shared" si="45"/>
        <v>1w</v>
      </c>
      <c r="Y2347" s="168">
        <f>_xll.qlCalendarAdvance(LiborCalendar,Y2346,X2347,"f",FALSE)</f>
        <v>55605</v>
      </c>
      <c r="Z2347" s="171">
        <f>_xll.qlInterestRateIndexValueDate(IborIndex,Y2347,Trigger)</f>
        <v>55607</v>
      </c>
      <c r="AA2347" s="172" t="e">
        <v>#N/A</v>
      </c>
      <c r="AB2347" s="169" t="e">
        <v>#N/A</v>
      </c>
    </row>
    <row r="2348" spans="20:28" x14ac:dyDescent="0.2">
      <c r="T2348" s="130"/>
      <c r="U2348" s="151"/>
      <c r="X2348" s="170" t="str">
        <f t="shared" si="45"/>
        <v>1w</v>
      </c>
      <c r="Y2348" s="168">
        <f>_xll.qlCalendarAdvance(LiborCalendar,Y2347,X2348,"f",FALSE)</f>
        <v>55612</v>
      </c>
      <c r="Z2348" s="171">
        <f>_xll.qlInterestRateIndexValueDate(IborIndex,Y2348,Trigger)</f>
        <v>55614</v>
      </c>
      <c r="AA2348" s="172" t="e">
        <v>#N/A</v>
      </c>
      <c r="AB2348" s="169" t="e">
        <v>#N/A</v>
      </c>
    </row>
    <row r="2349" spans="20:28" x14ac:dyDescent="0.2">
      <c r="T2349" s="130"/>
      <c r="U2349" s="151"/>
      <c r="X2349" s="170" t="str">
        <f t="shared" si="45"/>
        <v>1w</v>
      </c>
      <c r="Y2349" s="168">
        <f>_xll.qlCalendarAdvance(LiborCalendar,Y2348,X2349,"f",FALSE)</f>
        <v>55619</v>
      </c>
      <c r="Z2349" s="171">
        <f>_xll.qlInterestRateIndexValueDate(IborIndex,Y2349,Trigger)</f>
        <v>55621</v>
      </c>
      <c r="AA2349" s="172" t="e">
        <v>#N/A</v>
      </c>
      <c r="AB2349" s="169" t="e">
        <v>#N/A</v>
      </c>
    </row>
    <row r="2350" spans="20:28" x14ac:dyDescent="0.2">
      <c r="T2350" s="130"/>
      <c r="U2350" s="151"/>
      <c r="X2350" s="170" t="str">
        <f t="shared" si="45"/>
        <v>1w</v>
      </c>
      <c r="Y2350" s="168">
        <f>_xll.qlCalendarAdvance(LiborCalendar,Y2349,X2350,"f",FALSE)</f>
        <v>55626</v>
      </c>
      <c r="Z2350" s="171">
        <f>_xll.qlInterestRateIndexValueDate(IborIndex,Y2350,Trigger)</f>
        <v>55632</v>
      </c>
      <c r="AA2350" s="172" t="e">
        <v>#N/A</v>
      </c>
      <c r="AB2350" s="169" t="e">
        <v>#N/A</v>
      </c>
    </row>
    <row r="2351" spans="20:28" x14ac:dyDescent="0.2">
      <c r="T2351" s="130"/>
      <c r="U2351" s="151"/>
      <c r="X2351" s="170" t="str">
        <f t="shared" si="45"/>
        <v>1w</v>
      </c>
      <c r="Y2351" s="168">
        <f>_xll.qlCalendarAdvance(LiborCalendar,Y2350,X2351,"f",FALSE)</f>
        <v>55633</v>
      </c>
      <c r="Z2351" s="171">
        <f>_xll.qlInterestRateIndexValueDate(IborIndex,Y2351,Trigger)</f>
        <v>55635</v>
      </c>
      <c r="AA2351" s="172" t="e">
        <v>#N/A</v>
      </c>
      <c r="AB2351" s="169" t="e">
        <v>#N/A</v>
      </c>
    </row>
    <row r="2352" spans="20:28" x14ac:dyDescent="0.2">
      <c r="T2352" s="130"/>
      <c r="U2352" s="151"/>
      <c r="X2352" s="170" t="str">
        <f t="shared" si="45"/>
        <v>1w</v>
      </c>
      <c r="Y2352" s="168">
        <f>_xll.qlCalendarAdvance(LiborCalendar,Y2351,X2352,"f",FALSE)</f>
        <v>55640</v>
      </c>
      <c r="Z2352" s="171">
        <f>_xll.qlInterestRateIndexValueDate(IborIndex,Y2352,Trigger)</f>
        <v>55642</v>
      </c>
      <c r="AA2352" s="172" t="e">
        <v>#N/A</v>
      </c>
      <c r="AB2352" s="169" t="e">
        <v>#N/A</v>
      </c>
    </row>
    <row r="2353" spans="20:28" x14ac:dyDescent="0.2">
      <c r="T2353" s="130"/>
      <c r="U2353" s="151"/>
      <c r="X2353" s="170" t="str">
        <f t="shared" si="45"/>
        <v>1w</v>
      </c>
      <c r="Y2353" s="168">
        <f>_xll.qlCalendarAdvance(LiborCalendar,Y2352,X2353,"f",FALSE)</f>
        <v>55647</v>
      </c>
      <c r="Z2353" s="171">
        <f>_xll.qlInterestRateIndexValueDate(IborIndex,Y2353,Trigger)</f>
        <v>55649</v>
      </c>
      <c r="AA2353" s="172" t="e">
        <v>#N/A</v>
      </c>
      <c r="AB2353" s="169" t="e">
        <v>#N/A</v>
      </c>
    </row>
    <row r="2354" spans="20:28" x14ac:dyDescent="0.2">
      <c r="T2354" s="130"/>
      <c r="U2354" s="151"/>
      <c r="X2354" s="170" t="str">
        <f t="shared" si="45"/>
        <v>1w</v>
      </c>
      <c r="Y2354" s="168">
        <f>_xll.qlCalendarAdvance(LiborCalendar,Y2353,X2354,"f",FALSE)</f>
        <v>55654</v>
      </c>
      <c r="Z2354" s="171">
        <f>_xll.qlInterestRateIndexValueDate(IborIndex,Y2354,Trigger)</f>
        <v>55656</v>
      </c>
      <c r="AA2354" s="172" t="e">
        <v>#N/A</v>
      </c>
      <c r="AB2354" s="169" t="e">
        <v>#N/A</v>
      </c>
    </row>
    <row r="2355" spans="20:28" x14ac:dyDescent="0.2">
      <c r="T2355" s="130"/>
      <c r="U2355" s="151"/>
      <c r="X2355" s="170" t="str">
        <f t="shared" si="45"/>
        <v>1w</v>
      </c>
      <c r="Y2355" s="168">
        <f>_xll.qlCalendarAdvance(LiborCalendar,Y2354,X2355,"f",FALSE)</f>
        <v>55661</v>
      </c>
      <c r="Z2355" s="171">
        <f>_xll.qlInterestRateIndexValueDate(IborIndex,Y2355,Trigger)</f>
        <v>55663</v>
      </c>
      <c r="AA2355" s="172" t="e">
        <v>#N/A</v>
      </c>
      <c r="AB2355" s="169" t="e">
        <v>#N/A</v>
      </c>
    </row>
    <row r="2356" spans="20:28" x14ac:dyDescent="0.2">
      <c r="T2356" s="130"/>
      <c r="U2356" s="151"/>
      <c r="X2356" s="170" t="str">
        <f t="shared" si="45"/>
        <v>1w</v>
      </c>
      <c r="Y2356" s="168">
        <f>_xll.qlCalendarAdvance(LiborCalendar,Y2355,X2356,"f",FALSE)</f>
        <v>55668</v>
      </c>
      <c r="Z2356" s="171">
        <f>_xll.qlInterestRateIndexValueDate(IborIndex,Y2356,Trigger)</f>
        <v>55670</v>
      </c>
      <c r="AA2356" s="172" t="e">
        <v>#N/A</v>
      </c>
      <c r="AB2356" s="169" t="e">
        <v>#N/A</v>
      </c>
    </row>
    <row r="2357" spans="20:28" x14ac:dyDescent="0.2">
      <c r="T2357" s="130"/>
      <c r="U2357" s="151"/>
      <c r="X2357" s="170" t="str">
        <f t="shared" si="45"/>
        <v>1w</v>
      </c>
      <c r="Y2357" s="168">
        <f>_xll.qlCalendarAdvance(LiborCalendar,Y2356,X2357,"f",FALSE)</f>
        <v>55675</v>
      </c>
      <c r="Z2357" s="171">
        <f>_xll.qlInterestRateIndexValueDate(IborIndex,Y2357,Trigger)</f>
        <v>55677</v>
      </c>
      <c r="AA2357" s="172" t="e">
        <v>#N/A</v>
      </c>
      <c r="AB2357" s="169" t="e">
        <v>#N/A</v>
      </c>
    </row>
    <row r="2358" spans="20:28" x14ac:dyDescent="0.2">
      <c r="T2358" s="130"/>
      <c r="U2358" s="151"/>
      <c r="X2358" s="170" t="str">
        <f t="shared" si="45"/>
        <v>1w</v>
      </c>
      <c r="Y2358" s="168">
        <f>_xll.qlCalendarAdvance(LiborCalendar,Y2357,X2358,"f",FALSE)</f>
        <v>55682</v>
      </c>
      <c r="Z2358" s="171">
        <f>_xll.qlInterestRateIndexValueDate(IborIndex,Y2358,Trigger)</f>
        <v>55684</v>
      </c>
      <c r="AA2358" s="172" t="e">
        <v>#N/A</v>
      </c>
      <c r="AB2358" s="169" t="e">
        <v>#N/A</v>
      </c>
    </row>
    <row r="2359" spans="20:28" x14ac:dyDescent="0.2">
      <c r="T2359" s="130"/>
      <c r="U2359" s="151"/>
      <c r="X2359" s="170" t="str">
        <f t="shared" si="45"/>
        <v>1w</v>
      </c>
      <c r="Y2359" s="168">
        <f>_xll.qlCalendarAdvance(LiborCalendar,Y2358,X2359,"f",FALSE)</f>
        <v>55689</v>
      </c>
      <c r="Z2359" s="171">
        <f>_xll.qlInterestRateIndexValueDate(IborIndex,Y2359,Trigger)</f>
        <v>55691</v>
      </c>
      <c r="AA2359" s="172" t="e">
        <v>#N/A</v>
      </c>
      <c r="AB2359" s="169" t="e">
        <v>#N/A</v>
      </c>
    </row>
    <row r="2360" spans="20:28" x14ac:dyDescent="0.2">
      <c r="T2360" s="130"/>
      <c r="U2360" s="151"/>
      <c r="X2360" s="170" t="str">
        <f t="shared" si="45"/>
        <v>1w</v>
      </c>
      <c r="Y2360" s="168">
        <f>_xll.qlCalendarAdvance(LiborCalendar,Y2359,X2360,"f",FALSE)</f>
        <v>55696</v>
      </c>
      <c r="Z2360" s="171">
        <f>_xll.qlInterestRateIndexValueDate(IborIndex,Y2360,Trigger)</f>
        <v>55698</v>
      </c>
      <c r="AA2360" s="172" t="e">
        <v>#N/A</v>
      </c>
      <c r="AB2360" s="169" t="e">
        <v>#N/A</v>
      </c>
    </row>
    <row r="2361" spans="20:28" x14ac:dyDescent="0.2">
      <c r="T2361" s="130"/>
      <c r="U2361" s="151"/>
      <c r="X2361" s="170" t="str">
        <f t="shared" si="45"/>
        <v>1w</v>
      </c>
      <c r="Y2361" s="168">
        <f>_xll.qlCalendarAdvance(LiborCalendar,Y2360,X2361,"f",FALSE)</f>
        <v>55703</v>
      </c>
      <c r="Z2361" s="171">
        <f>_xll.qlInterestRateIndexValueDate(IborIndex,Y2361,Trigger)</f>
        <v>55705</v>
      </c>
      <c r="AA2361" s="172" t="e">
        <v>#N/A</v>
      </c>
      <c r="AB2361" s="169" t="e">
        <v>#N/A</v>
      </c>
    </row>
    <row r="2362" spans="20:28" x14ac:dyDescent="0.2">
      <c r="T2362" s="130"/>
      <c r="U2362" s="151"/>
      <c r="X2362" s="170" t="str">
        <f t="shared" si="45"/>
        <v>1w</v>
      </c>
      <c r="Y2362" s="168">
        <f>_xll.qlCalendarAdvance(LiborCalendar,Y2361,X2362,"f",FALSE)</f>
        <v>55710</v>
      </c>
      <c r="Z2362" s="171">
        <f>_xll.qlInterestRateIndexValueDate(IborIndex,Y2362,Trigger)</f>
        <v>55712</v>
      </c>
      <c r="AA2362" s="172" t="e">
        <v>#N/A</v>
      </c>
      <c r="AB2362" s="169" t="e">
        <v>#N/A</v>
      </c>
    </row>
    <row r="2363" spans="20:28" x14ac:dyDescent="0.2">
      <c r="T2363" s="130"/>
      <c r="U2363" s="151"/>
      <c r="X2363" s="170" t="str">
        <f t="shared" si="45"/>
        <v>1w</v>
      </c>
      <c r="Y2363" s="168">
        <f>_xll.qlCalendarAdvance(LiborCalendar,Y2362,X2363,"f",FALSE)</f>
        <v>55717</v>
      </c>
      <c r="Z2363" s="171">
        <f>_xll.qlInterestRateIndexValueDate(IborIndex,Y2363,Trigger)</f>
        <v>55719</v>
      </c>
      <c r="AA2363" s="172" t="e">
        <v>#N/A</v>
      </c>
      <c r="AB2363" s="169" t="e">
        <v>#N/A</v>
      </c>
    </row>
    <row r="2364" spans="20:28" x14ac:dyDescent="0.2">
      <c r="T2364" s="130"/>
      <c r="U2364" s="151"/>
      <c r="X2364" s="170" t="str">
        <f t="shared" si="45"/>
        <v>1w</v>
      </c>
      <c r="Y2364" s="168">
        <f>_xll.qlCalendarAdvance(LiborCalendar,Y2363,X2364,"f",FALSE)</f>
        <v>55724</v>
      </c>
      <c r="Z2364" s="171">
        <f>_xll.qlInterestRateIndexValueDate(IborIndex,Y2364,Trigger)</f>
        <v>55726</v>
      </c>
      <c r="AA2364" s="172" t="e">
        <v>#N/A</v>
      </c>
      <c r="AB2364" s="169" t="e">
        <v>#N/A</v>
      </c>
    </row>
    <row r="2365" spans="20:28" x14ac:dyDescent="0.2">
      <c r="T2365" s="130"/>
      <c r="U2365" s="151"/>
      <c r="X2365" s="170" t="str">
        <f t="shared" si="45"/>
        <v>1w</v>
      </c>
      <c r="Y2365" s="168">
        <f>_xll.qlCalendarAdvance(LiborCalendar,Y2364,X2365,"f",FALSE)</f>
        <v>55731</v>
      </c>
      <c r="Z2365" s="171">
        <f>_xll.qlInterestRateIndexValueDate(IborIndex,Y2365,Trigger)</f>
        <v>55733</v>
      </c>
      <c r="AA2365" s="172" t="e">
        <v>#N/A</v>
      </c>
      <c r="AB2365" s="169" t="e">
        <v>#N/A</v>
      </c>
    </row>
    <row r="2366" spans="20:28" x14ac:dyDescent="0.2">
      <c r="T2366" s="130"/>
      <c r="U2366" s="151"/>
      <c r="X2366" s="170" t="str">
        <f t="shared" si="45"/>
        <v>1w</v>
      </c>
      <c r="Y2366" s="168">
        <f>_xll.qlCalendarAdvance(LiborCalendar,Y2365,X2366,"f",FALSE)</f>
        <v>55738</v>
      </c>
      <c r="Z2366" s="171">
        <f>_xll.qlInterestRateIndexValueDate(IborIndex,Y2366,Trigger)</f>
        <v>55740</v>
      </c>
      <c r="AA2366" s="172" t="e">
        <v>#N/A</v>
      </c>
      <c r="AB2366" s="169" t="e">
        <v>#N/A</v>
      </c>
    </row>
    <row r="2367" spans="20:28" x14ac:dyDescent="0.2">
      <c r="T2367" s="130"/>
      <c r="U2367" s="151"/>
      <c r="X2367" s="170" t="str">
        <f t="shared" si="45"/>
        <v>1w</v>
      </c>
      <c r="Y2367" s="168">
        <f>_xll.qlCalendarAdvance(LiborCalendar,Y2366,X2367,"f",FALSE)</f>
        <v>55745</v>
      </c>
      <c r="Z2367" s="171">
        <f>_xll.qlInterestRateIndexValueDate(IborIndex,Y2367,Trigger)</f>
        <v>55747</v>
      </c>
      <c r="AA2367" s="172" t="e">
        <v>#N/A</v>
      </c>
      <c r="AB2367" s="169" t="e">
        <v>#N/A</v>
      </c>
    </row>
    <row r="2368" spans="20:28" x14ac:dyDescent="0.2">
      <c r="T2368" s="130"/>
      <c r="U2368" s="151"/>
      <c r="X2368" s="170" t="str">
        <f t="shared" si="45"/>
        <v>1w</v>
      </c>
      <c r="Y2368" s="168">
        <f>_xll.qlCalendarAdvance(LiborCalendar,Y2367,X2368,"f",FALSE)</f>
        <v>55752</v>
      </c>
      <c r="Z2368" s="171">
        <f>_xll.qlInterestRateIndexValueDate(IborIndex,Y2368,Trigger)</f>
        <v>55754</v>
      </c>
      <c r="AA2368" s="172" t="e">
        <v>#N/A</v>
      </c>
      <c r="AB2368" s="169" t="e">
        <v>#N/A</v>
      </c>
    </row>
    <row r="2369" spans="20:28" x14ac:dyDescent="0.2">
      <c r="T2369" s="130"/>
      <c r="U2369" s="151"/>
      <c r="X2369" s="170" t="str">
        <f t="shared" si="45"/>
        <v>1w</v>
      </c>
      <c r="Y2369" s="168">
        <f>_xll.qlCalendarAdvance(LiborCalendar,Y2368,X2369,"f",FALSE)</f>
        <v>55759</v>
      </c>
      <c r="Z2369" s="171">
        <f>_xll.qlInterestRateIndexValueDate(IborIndex,Y2369,Trigger)</f>
        <v>55761</v>
      </c>
      <c r="AA2369" s="172" t="e">
        <v>#N/A</v>
      </c>
      <c r="AB2369" s="169" t="e">
        <v>#N/A</v>
      </c>
    </row>
    <row r="2370" spans="20:28" x14ac:dyDescent="0.2">
      <c r="T2370" s="130"/>
      <c r="U2370" s="151"/>
      <c r="X2370" s="170" t="str">
        <f t="shared" si="45"/>
        <v>1w</v>
      </c>
      <c r="Y2370" s="168">
        <f>_xll.qlCalendarAdvance(LiborCalendar,Y2369,X2370,"f",FALSE)</f>
        <v>55766</v>
      </c>
      <c r="Z2370" s="171">
        <f>_xll.qlInterestRateIndexValueDate(IborIndex,Y2370,Trigger)</f>
        <v>55768</v>
      </c>
      <c r="AA2370" s="172" t="e">
        <v>#N/A</v>
      </c>
      <c r="AB2370" s="169" t="e">
        <v>#N/A</v>
      </c>
    </row>
    <row r="2371" spans="20:28" x14ac:dyDescent="0.2">
      <c r="T2371" s="130"/>
      <c r="U2371" s="151"/>
      <c r="X2371" s="170" t="str">
        <f t="shared" si="45"/>
        <v>1w</v>
      </c>
      <c r="Y2371" s="168">
        <f>_xll.qlCalendarAdvance(LiborCalendar,Y2370,X2371,"f",FALSE)</f>
        <v>55773</v>
      </c>
      <c r="Z2371" s="171">
        <f>_xll.qlInterestRateIndexValueDate(IborIndex,Y2371,Trigger)</f>
        <v>55775</v>
      </c>
      <c r="AA2371" s="172" t="e">
        <v>#N/A</v>
      </c>
      <c r="AB2371" s="169" t="e">
        <v>#N/A</v>
      </c>
    </row>
    <row r="2372" spans="20:28" x14ac:dyDescent="0.2">
      <c r="T2372" s="130"/>
      <c r="U2372" s="151"/>
      <c r="X2372" s="170" t="str">
        <f t="shared" si="45"/>
        <v>1w</v>
      </c>
      <c r="Y2372" s="168">
        <f>_xll.qlCalendarAdvance(LiborCalendar,Y2371,X2372,"f",FALSE)</f>
        <v>55780</v>
      </c>
      <c r="Z2372" s="171">
        <f>_xll.qlInterestRateIndexValueDate(IborIndex,Y2372,Trigger)</f>
        <v>55782</v>
      </c>
      <c r="AA2372" s="172" t="e">
        <v>#N/A</v>
      </c>
      <c r="AB2372" s="169" t="e">
        <v>#N/A</v>
      </c>
    </row>
    <row r="2373" spans="20:28" x14ac:dyDescent="0.2">
      <c r="T2373" s="130"/>
      <c r="U2373" s="151"/>
      <c r="X2373" s="170" t="str">
        <f t="shared" si="45"/>
        <v>1w</v>
      </c>
      <c r="Y2373" s="168">
        <f>_xll.qlCalendarAdvance(LiborCalendar,Y2372,X2373,"f",FALSE)</f>
        <v>55787</v>
      </c>
      <c r="Z2373" s="171">
        <f>_xll.qlInterestRateIndexValueDate(IborIndex,Y2373,Trigger)</f>
        <v>55789</v>
      </c>
      <c r="AA2373" s="172" t="e">
        <v>#N/A</v>
      </c>
      <c r="AB2373" s="169" t="e">
        <v>#N/A</v>
      </c>
    </row>
    <row r="2374" spans="20:28" x14ac:dyDescent="0.2">
      <c r="T2374" s="130"/>
      <c r="U2374" s="151"/>
      <c r="X2374" s="170" t="str">
        <f t="shared" si="45"/>
        <v>1w</v>
      </c>
      <c r="Y2374" s="168">
        <f>_xll.qlCalendarAdvance(LiborCalendar,Y2373,X2374,"f",FALSE)</f>
        <v>55794</v>
      </c>
      <c r="Z2374" s="171">
        <f>_xll.qlInterestRateIndexValueDate(IborIndex,Y2374,Trigger)</f>
        <v>55796</v>
      </c>
      <c r="AA2374" s="172" t="e">
        <v>#N/A</v>
      </c>
      <c r="AB2374" s="169" t="e">
        <v>#N/A</v>
      </c>
    </row>
    <row r="2375" spans="20:28" x14ac:dyDescent="0.2">
      <c r="T2375" s="130"/>
      <c r="U2375" s="151"/>
      <c r="X2375" s="170" t="str">
        <f t="shared" si="45"/>
        <v>1w</v>
      </c>
      <c r="Y2375" s="168">
        <f>_xll.qlCalendarAdvance(LiborCalendar,Y2374,X2375,"f",FALSE)</f>
        <v>55801</v>
      </c>
      <c r="Z2375" s="171">
        <f>_xll.qlInterestRateIndexValueDate(IborIndex,Y2375,Trigger)</f>
        <v>55803</v>
      </c>
      <c r="AA2375" s="172" t="e">
        <v>#N/A</v>
      </c>
      <c r="AB2375" s="169" t="e">
        <v>#N/A</v>
      </c>
    </row>
    <row r="2376" spans="20:28" x14ac:dyDescent="0.2">
      <c r="T2376" s="130"/>
      <c r="U2376" s="151"/>
      <c r="X2376" s="170" t="str">
        <f t="shared" si="45"/>
        <v>1w</v>
      </c>
      <c r="Y2376" s="168">
        <f>_xll.qlCalendarAdvance(LiborCalendar,Y2375,X2376,"f",FALSE)</f>
        <v>55808</v>
      </c>
      <c r="Z2376" s="171">
        <f>_xll.qlInterestRateIndexValueDate(IborIndex,Y2376,Trigger)</f>
        <v>55810</v>
      </c>
      <c r="AA2376" s="172" t="e">
        <v>#N/A</v>
      </c>
      <c r="AB2376" s="169" t="e">
        <v>#N/A</v>
      </c>
    </row>
    <row r="2377" spans="20:28" x14ac:dyDescent="0.2">
      <c r="T2377" s="130"/>
      <c r="U2377" s="151"/>
      <c r="X2377" s="170" t="str">
        <f t="shared" si="45"/>
        <v>1w</v>
      </c>
      <c r="Y2377" s="168">
        <f>_xll.qlCalendarAdvance(LiborCalendar,Y2376,X2377,"f",FALSE)</f>
        <v>55815</v>
      </c>
      <c r="Z2377" s="171">
        <f>_xll.qlInterestRateIndexValueDate(IborIndex,Y2377,Trigger)</f>
        <v>55817</v>
      </c>
      <c r="AA2377" s="172" t="e">
        <v>#N/A</v>
      </c>
      <c r="AB2377" s="169" t="e">
        <v>#N/A</v>
      </c>
    </row>
    <row r="2378" spans="20:28" x14ac:dyDescent="0.2">
      <c r="T2378" s="130"/>
      <c r="U2378" s="151"/>
      <c r="X2378" s="170" t="str">
        <f t="shared" si="45"/>
        <v>1w</v>
      </c>
      <c r="Y2378" s="168">
        <f>_xll.qlCalendarAdvance(LiborCalendar,Y2377,X2378,"f",FALSE)</f>
        <v>55822</v>
      </c>
      <c r="Z2378" s="171">
        <f>_xll.qlInterestRateIndexValueDate(IborIndex,Y2378,Trigger)</f>
        <v>55824</v>
      </c>
      <c r="AA2378" s="172" t="e">
        <v>#N/A</v>
      </c>
      <c r="AB2378" s="169" t="e">
        <v>#N/A</v>
      </c>
    </row>
    <row r="2379" spans="20:28" x14ac:dyDescent="0.2">
      <c r="T2379" s="130"/>
      <c r="U2379" s="151"/>
      <c r="X2379" s="170" t="str">
        <f t="shared" si="45"/>
        <v>1w</v>
      </c>
      <c r="Y2379" s="168">
        <f>_xll.qlCalendarAdvance(LiborCalendar,Y2378,X2379,"f",FALSE)</f>
        <v>55829</v>
      </c>
      <c r="Z2379" s="171">
        <f>_xll.qlInterestRateIndexValueDate(IborIndex,Y2379,Trigger)</f>
        <v>55831</v>
      </c>
      <c r="AA2379" s="172" t="e">
        <v>#N/A</v>
      </c>
      <c r="AB2379" s="169" t="e">
        <v>#N/A</v>
      </c>
    </row>
    <row r="2380" spans="20:28" x14ac:dyDescent="0.2">
      <c r="T2380" s="130"/>
      <c r="U2380" s="151"/>
      <c r="X2380" s="170" t="str">
        <f t="shared" si="45"/>
        <v>1w</v>
      </c>
      <c r="Y2380" s="168">
        <f>_xll.qlCalendarAdvance(LiborCalendar,Y2379,X2380,"f",FALSE)</f>
        <v>55836</v>
      </c>
      <c r="Z2380" s="171">
        <f>_xll.qlInterestRateIndexValueDate(IborIndex,Y2380,Trigger)</f>
        <v>55838</v>
      </c>
      <c r="AA2380" s="172" t="e">
        <v>#N/A</v>
      </c>
      <c r="AB2380" s="169" t="e">
        <v>#N/A</v>
      </c>
    </row>
    <row r="2381" spans="20:28" x14ac:dyDescent="0.2">
      <c r="T2381" s="130"/>
      <c r="U2381" s="151"/>
      <c r="X2381" s="170" t="str">
        <f t="shared" si="45"/>
        <v>1w</v>
      </c>
      <c r="Y2381" s="168">
        <f>_xll.qlCalendarAdvance(LiborCalendar,Y2380,X2381,"f",FALSE)</f>
        <v>55843</v>
      </c>
      <c r="Z2381" s="171">
        <f>_xll.qlInterestRateIndexValueDate(IborIndex,Y2381,Trigger)</f>
        <v>55845</v>
      </c>
      <c r="AA2381" s="172" t="e">
        <v>#N/A</v>
      </c>
      <c r="AB2381" s="169" t="e">
        <v>#N/A</v>
      </c>
    </row>
    <row r="2382" spans="20:28" x14ac:dyDescent="0.2">
      <c r="T2382" s="130"/>
      <c r="U2382" s="151"/>
      <c r="X2382" s="170" t="str">
        <f t="shared" si="45"/>
        <v>1w</v>
      </c>
      <c r="Y2382" s="168">
        <f>_xll.qlCalendarAdvance(LiborCalendar,Y2381,X2382,"f",FALSE)</f>
        <v>55850</v>
      </c>
      <c r="Z2382" s="171">
        <f>_xll.qlInterestRateIndexValueDate(IborIndex,Y2382,Trigger)</f>
        <v>55852</v>
      </c>
      <c r="AA2382" s="172" t="e">
        <v>#N/A</v>
      </c>
      <c r="AB2382" s="169" t="e">
        <v>#N/A</v>
      </c>
    </row>
    <row r="2383" spans="20:28" x14ac:dyDescent="0.2">
      <c r="T2383" s="130"/>
      <c r="U2383" s="151"/>
      <c r="X2383" s="170" t="str">
        <f t="shared" si="45"/>
        <v>1w</v>
      </c>
      <c r="Y2383" s="168">
        <f>_xll.qlCalendarAdvance(LiborCalendar,Y2382,X2383,"f",FALSE)</f>
        <v>55857</v>
      </c>
      <c r="Z2383" s="171">
        <f>_xll.qlInterestRateIndexValueDate(IborIndex,Y2383,Trigger)</f>
        <v>55859</v>
      </c>
      <c r="AA2383" s="172" t="e">
        <v>#N/A</v>
      </c>
      <c r="AB2383" s="169" t="e">
        <v>#N/A</v>
      </c>
    </row>
    <row r="2384" spans="20:28" x14ac:dyDescent="0.2">
      <c r="T2384" s="130"/>
      <c r="U2384" s="151"/>
      <c r="X2384" s="170" t="str">
        <f t="shared" si="45"/>
        <v>1w</v>
      </c>
      <c r="Y2384" s="168">
        <f>_xll.qlCalendarAdvance(LiborCalendar,Y2383,X2384,"f",FALSE)</f>
        <v>55864</v>
      </c>
      <c r="Z2384" s="171">
        <f>_xll.qlInterestRateIndexValueDate(IborIndex,Y2384,Trigger)</f>
        <v>55866</v>
      </c>
      <c r="AA2384" s="172" t="e">
        <v>#N/A</v>
      </c>
      <c r="AB2384" s="169" t="e">
        <v>#N/A</v>
      </c>
    </row>
    <row r="2385" spans="20:28" x14ac:dyDescent="0.2">
      <c r="T2385" s="130"/>
      <c r="U2385" s="151"/>
      <c r="X2385" s="170" t="str">
        <f t="shared" si="45"/>
        <v>1w</v>
      </c>
      <c r="Y2385" s="168">
        <f>_xll.qlCalendarAdvance(LiborCalendar,Y2384,X2385,"f",FALSE)</f>
        <v>55871</v>
      </c>
      <c r="Z2385" s="171">
        <f>_xll.qlInterestRateIndexValueDate(IborIndex,Y2385,Trigger)</f>
        <v>55873</v>
      </c>
      <c r="AA2385" s="172" t="e">
        <v>#N/A</v>
      </c>
      <c r="AB2385" s="169" t="e">
        <v>#N/A</v>
      </c>
    </row>
    <row r="2386" spans="20:28" x14ac:dyDescent="0.2">
      <c r="T2386" s="130"/>
      <c r="U2386" s="151"/>
      <c r="X2386" s="170" t="str">
        <f t="shared" si="45"/>
        <v>1w</v>
      </c>
      <c r="Y2386" s="168">
        <f>_xll.qlCalendarAdvance(LiborCalendar,Y2385,X2386,"f",FALSE)</f>
        <v>55880</v>
      </c>
      <c r="Z2386" s="171">
        <f>_xll.qlInterestRateIndexValueDate(IborIndex,Y2386,Trigger)</f>
        <v>55884</v>
      </c>
      <c r="AA2386" s="172" t="e">
        <v>#N/A</v>
      </c>
      <c r="AB2386" s="169" t="e">
        <v>#N/A</v>
      </c>
    </row>
    <row r="2387" spans="20:28" x14ac:dyDescent="0.2">
      <c r="T2387" s="130"/>
      <c r="U2387" s="151"/>
      <c r="X2387" s="170" t="str">
        <f t="shared" si="45"/>
        <v>1w</v>
      </c>
      <c r="Y2387" s="168">
        <f>_xll.qlCalendarAdvance(LiborCalendar,Y2386,X2387,"f",FALSE)</f>
        <v>55887</v>
      </c>
      <c r="Z2387" s="171">
        <f>_xll.qlInterestRateIndexValueDate(IborIndex,Y2387,Trigger)</f>
        <v>55891</v>
      </c>
      <c r="AA2387" s="172" t="e">
        <v>#N/A</v>
      </c>
      <c r="AB2387" s="169" t="e">
        <v>#N/A</v>
      </c>
    </row>
    <row r="2388" spans="20:28" x14ac:dyDescent="0.2">
      <c r="T2388" s="130"/>
      <c r="U2388" s="151"/>
      <c r="X2388" s="170" t="str">
        <f t="shared" si="45"/>
        <v>1w</v>
      </c>
      <c r="Y2388" s="168">
        <f>_xll.qlCalendarAdvance(LiborCalendar,Y2387,X2388,"f",FALSE)</f>
        <v>55894</v>
      </c>
      <c r="Z2388" s="171">
        <f>_xll.qlInterestRateIndexValueDate(IborIndex,Y2388,Trigger)</f>
        <v>55898</v>
      </c>
      <c r="AA2388" s="172" t="e">
        <v>#N/A</v>
      </c>
      <c r="AB2388" s="169" t="e">
        <v>#N/A</v>
      </c>
    </row>
    <row r="2389" spans="20:28" x14ac:dyDescent="0.2">
      <c r="T2389" s="130"/>
      <c r="U2389" s="151"/>
      <c r="X2389" s="170" t="str">
        <f t="shared" ref="X2389:X2452" si="46">X2388</f>
        <v>1w</v>
      </c>
      <c r="Y2389" s="168">
        <f>_xll.qlCalendarAdvance(LiborCalendar,Y2388,X2389,"f",FALSE)</f>
        <v>55901</v>
      </c>
      <c r="Z2389" s="171">
        <f>_xll.qlInterestRateIndexValueDate(IborIndex,Y2389,Trigger)</f>
        <v>55905</v>
      </c>
      <c r="AA2389" s="172" t="e">
        <v>#N/A</v>
      </c>
      <c r="AB2389" s="169" t="e">
        <v>#N/A</v>
      </c>
    </row>
    <row r="2390" spans="20:28" x14ac:dyDescent="0.2">
      <c r="T2390" s="130"/>
      <c r="U2390" s="151"/>
      <c r="X2390" s="170" t="str">
        <f t="shared" si="46"/>
        <v>1w</v>
      </c>
      <c r="Y2390" s="168">
        <f>_xll.qlCalendarAdvance(LiborCalendar,Y2389,X2390,"f",FALSE)</f>
        <v>55908</v>
      </c>
      <c r="Z2390" s="171">
        <f>_xll.qlInterestRateIndexValueDate(IborIndex,Y2390,Trigger)</f>
        <v>55912</v>
      </c>
      <c r="AA2390" s="172" t="e">
        <v>#N/A</v>
      </c>
      <c r="AB2390" s="169" t="e">
        <v>#N/A</v>
      </c>
    </row>
    <row r="2391" spans="20:28" x14ac:dyDescent="0.2">
      <c r="T2391" s="130"/>
      <c r="U2391" s="151"/>
      <c r="X2391" s="170" t="str">
        <f t="shared" si="46"/>
        <v>1w</v>
      </c>
      <c r="Y2391" s="168">
        <f>_xll.qlCalendarAdvance(LiborCalendar,Y2390,X2391,"f",FALSE)</f>
        <v>55915</v>
      </c>
      <c r="Z2391" s="171">
        <f>_xll.qlInterestRateIndexValueDate(IborIndex,Y2391,Trigger)</f>
        <v>55919</v>
      </c>
      <c r="AA2391" s="172" t="e">
        <v>#N/A</v>
      </c>
      <c r="AB2391" s="169" t="e">
        <v>#N/A</v>
      </c>
    </row>
    <row r="2392" spans="20:28" x14ac:dyDescent="0.2">
      <c r="T2392" s="130"/>
      <c r="U2392" s="151"/>
      <c r="X2392" s="170" t="str">
        <f t="shared" si="46"/>
        <v>1w</v>
      </c>
      <c r="Y2392" s="168">
        <f>_xll.qlCalendarAdvance(LiborCalendar,Y2391,X2392,"f",FALSE)</f>
        <v>55922</v>
      </c>
      <c r="Z2392" s="171">
        <f>_xll.qlInterestRateIndexValueDate(IborIndex,Y2392,Trigger)</f>
        <v>55926</v>
      </c>
      <c r="AA2392" s="172" t="e">
        <v>#N/A</v>
      </c>
      <c r="AB2392" s="169" t="e">
        <v>#N/A</v>
      </c>
    </row>
    <row r="2393" spans="20:28" x14ac:dyDescent="0.2">
      <c r="T2393" s="130"/>
      <c r="U2393" s="151"/>
      <c r="X2393" s="170" t="str">
        <f t="shared" si="46"/>
        <v>1w</v>
      </c>
      <c r="Y2393" s="168">
        <f>_xll.qlCalendarAdvance(LiborCalendar,Y2392,X2393,"f",FALSE)</f>
        <v>55929</v>
      </c>
      <c r="Z2393" s="171">
        <f>_xll.qlInterestRateIndexValueDate(IborIndex,Y2393,Trigger)</f>
        <v>55933</v>
      </c>
      <c r="AA2393" s="172" t="e">
        <v>#N/A</v>
      </c>
      <c r="AB2393" s="169" t="e">
        <v>#N/A</v>
      </c>
    </row>
    <row r="2394" spans="20:28" x14ac:dyDescent="0.2">
      <c r="T2394" s="130"/>
      <c r="U2394" s="151"/>
      <c r="X2394" s="170" t="str">
        <f t="shared" si="46"/>
        <v>1w</v>
      </c>
      <c r="Y2394" s="168">
        <f>_xll.qlCalendarAdvance(LiborCalendar,Y2393,X2394,"f",FALSE)</f>
        <v>55936</v>
      </c>
      <c r="Z2394" s="171">
        <f>_xll.qlInterestRateIndexValueDate(IborIndex,Y2394,Trigger)</f>
        <v>55940</v>
      </c>
      <c r="AA2394" s="172" t="e">
        <v>#N/A</v>
      </c>
      <c r="AB2394" s="169" t="e">
        <v>#N/A</v>
      </c>
    </row>
    <row r="2395" spans="20:28" x14ac:dyDescent="0.2">
      <c r="T2395" s="130"/>
      <c r="U2395" s="151"/>
      <c r="X2395" s="170" t="str">
        <f t="shared" si="46"/>
        <v>1w</v>
      </c>
      <c r="Y2395" s="168">
        <f>_xll.qlCalendarAdvance(LiborCalendar,Y2394,X2395,"f",FALSE)</f>
        <v>55943</v>
      </c>
      <c r="Z2395" s="171">
        <f>_xll.qlInterestRateIndexValueDate(IborIndex,Y2395,Trigger)</f>
        <v>55947</v>
      </c>
      <c r="AA2395" s="172" t="e">
        <v>#N/A</v>
      </c>
      <c r="AB2395" s="169" t="e">
        <v>#N/A</v>
      </c>
    </row>
    <row r="2396" spans="20:28" x14ac:dyDescent="0.2">
      <c r="T2396" s="130"/>
      <c r="U2396" s="151"/>
      <c r="X2396" s="170" t="str">
        <f t="shared" si="46"/>
        <v>1w</v>
      </c>
      <c r="Y2396" s="168">
        <f>_xll.qlCalendarAdvance(LiborCalendar,Y2395,X2396,"f",FALSE)</f>
        <v>55950</v>
      </c>
      <c r="Z2396" s="171">
        <f>_xll.qlInterestRateIndexValueDate(IborIndex,Y2396,Trigger)</f>
        <v>55954</v>
      </c>
      <c r="AA2396" s="172" t="e">
        <v>#N/A</v>
      </c>
      <c r="AB2396" s="169" t="e">
        <v>#N/A</v>
      </c>
    </row>
    <row r="2397" spans="20:28" x14ac:dyDescent="0.2">
      <c r="T2397" s="130"/>
      <c r="U2397" s="151"/>
      <c r="X2397" s="170" t="str">
        <f t="shared" si="46"/>
        <v>1w</v>
      </c>
      <c r="Y2397" s="168">
        <f>_xll.qlCalendarAdvance(LiborCalendar,Y2396,X2397,"f",FALSE)</f>
        <v>55957</v>
      </c>
      <c r="Z2397" s="171">
        <f>_xll.qlInterestRateIndexValueDate(IborIndex,Y2397,Trigger)</f>
        <v>55961</v>
      </c>
      <c r="AA2397" s="172" t="e">
        <v>#N/A</v>
      </c>
      <c r="AB2397" s="169" t="e">
        <v>#N/A</v>
      </c>
    </row>
    <row r="2398" spans="20:28" x14ac:dyDescent="0.2">
      <c r="T2398" s="130"/>
      <c r="U2398" s="151"/>
      <c r="X2398" s="170" t="str">
        <f t="shared" si="46"/>
        <v>1w</v>
      </c>
      <c r="Y2398" s="168">
        <f>_xll.qlCalendarAdvance(LiborCalendar,Y2397,X2398,"f",FALSE)</f>
        <v>55964</v>
      </c>
      <c r="Z2398" s="171">
        <f>_xll.qlInterestRateIndexValueDate(IborIndex,Y2398,Trigger)</f>
        <v>55968</v>
      </c>
      <c r="AA2398" s="172" t="e">
        <v>#N/A</v>
      </c>
      <c r="AB2398" s="169" t="e">
        <v>#N/A</v>
      </c>
    </row>
    <row r="2399" spans="20:28" x14ac:dyDescent="0.2">
      <c r="T2399" s="130"/>
      <c r="U2399" s="151"/>
      <c r="X2399" s="170" t="str">
        <f t="shared" si="46"/>
        <v>1w</v>
      </c>
      <c r="Y2399" s="168">
        <f>_xll.qlCalendarAdvance(LiborCalendar,Y2398,X2399,"f",FALSE)</f>
        <v>55971</v>
      </c>
      <c r="Z2399" s="171">
        <f>_xll.qlInterestRateIndexValueDate(IborIndex,Y2399,Trigger)</f>
        <v>55975</v>
      </c>
      <c r="AA2399" s="172" t="e">
        <v>#N/A</v>
      </c>
      <c r="AB2399" s="169" t="e">
        <v>#N/A</v>
      </c>
    </row>
    <row r="2400" spans="20:28" x14ac:dyDescent="0.2">
      <c r="T2400" s="130"/>
      <c r="U2400" s="151"/>
      <c r="X2400" s="170" t="str">
        <f t="shared" si="46"/>
        <v>1w</v>
      </c>
      <c r="Y2400" s="168">
        <f>_xll.qlCalendarAdvance(LiborCalendar,Y2399,X2400,"f",FALSE)</f>
        <v>55982</v>
      </c>
      <c r="Z2400" s="171">
        <f>_xll.qlInterestRateIndexValueDate(IborIndex,Y2400,Trigger)</f>
        <v>55984</v>
      </c>
      <c r="AA2400" s="172" t="e">
        <v>#N/A</v>
      </c>
      <c r="AB2400" s="169" t="e">
        <v>#N/A</v>
      </c>
    </row>
    <row r="2401" spans="20:28" x14ac:dyDescent="0.2">
      <c r="T2401" s="130"/>
      <c r="U2401" s="151"/>
      <c r="X2401" s="170" t="str">
        <f t="shared" si="46"/>
        <v>1w</v>
      </c>
      <c r="Y2401" s="168">
        <f>_xll.qlCalendarAdvance(LiborCalendar,Y2400,X2401,"f",FALSE)</f>
        <v>55989</v>
      </c>
      <c r="Z2401" s="171">
        <f>_xll.qlInterestRateIndexValueDate(IborIndex,Y2401,Trigger)</f>
        <v>55991</v>
      </c>
      <c r="AA2401" s="172" t="e">
        <v>#N/A</v>
      </c>
      <c r="AB2401" s="169" t="e">
        <v>#N/A</v>
      </c>
    </row>
    <row r="2402" spans="20:28" x14ac:dyDescent="0.2">
      <c r="T2402" s="130"/>
      <c r="U2402" s="151"/>
      <c r="X2402" s="170" t="str">
        <f t="shared" si="46"/>
        <v>1w</v>
      </c>
      <c r="Y2402" s="168">
        <f>_xll.qlCalendarAdvance(LiborCalendar,Y2401,X2402,"f",FALSE)</f>
        <v>55996</v>
      </c>
      <c r="Z2402" s="171">
        <f>_xll.qlInterestRateIndexValueDate(IborIndex,Y2402,Trigger)</f>
        <v>55998</v>
      </c>
      <c r="AA2402" s="172" t="e">
        <v>#N/A</v>
      </c>
      <c r="AB2402" s="169" t="e">
        <v>#N/A</v>
      </c>
    </row>
    <row r="2403" spans="20:28" x14ac:dyDescent="0.2">
      <c r="T2403" s="130"/>
      <c r="U2403" s="151"/>
      <c r="X2403" s="170" t="str">
        <f t="shared" si="46"/>
        <v>1w</v>
      </c>
      <c r="Y2403" s="168">
        <f>_xll.qlCalendarAdvance(LiborCalendar,Y2402,X2403,"f",FALSE)</f>
        <v>56003</v>
      </c>
      <c r="Z2403" s="171">
        <f>_xll.qlInterestRateIndexValueDate(IborIndex,Y2403,Trigger)</f>
        <v>56006</v>
      </c>
      <c r="AA2403" s="172" t="e">
        <v>#N/A</v>
      </c>
      <c r="AB2403" s="169" t="e">
        <v>#N/A</v>
      </c>
    </row>
    <row r="2404" spans="20:28" x14ac:dyDescent="0.2">
      <c r="T2404" s="130"/>
      <c r="U2404" s="151"/>
      <c r="X2404" s="170" t="str">
        <f t="shared" si="46"/>
        <v>1w</v>
      </c>
      <c r="Y2404" s="168">
        <f>_xll.qlCalendarAdvance(LiborCalendar,Y2403,X2404,"f",FALSE)</f>
        <v>56010</v>
      </c>
      <c r="Z2404" s="171">
        <f>_xll.qlInterestRateIndexValueDate(IborIndex,Y2404,Trigger)</f>
        <v>56012</v>
      </c>
      <c r="AA2404" s="172" t="e">
        <v>#N/A</v>
      </c>
      <c r="AB2404" s="169" t="e">
        <v>#N/A</v>
      </c>
    </row>
    <row r="2405" spans="20:28" x14ac:dyDescent="0.2">
      <c r="T2405" s="130"/>
      <c r="U2405" s="151"/>
      <c r="X2405" s="170" t="str">
        <f t="shared" si="46"/>
        <v>1w</v>
      </c>
      <c r="Y2405" s="168">
        <f>_xll.qlCalendarAdvance(LiborCalendar,Y2404,X2405,"f",FALSE)</f>
        <v>56017</v>
      </c>
      <c r="Z2405" s="171">
        <f>_xll.qlInterestRateIndexValueDate(IborIndex,Y2405,Trigger)</f>
        <v>56020</v>
      </c>
      <c r="AA2405" s="172" t="e">
        <v>#N/A</v>
      </c>
      <c r="AB2405" s="169" t="e">
        <v>#N/A</v>
      </c>
    </row>
    <row r="2406" spans="20:28" x14ac:dyDescent="0.2">
      <c r="T2406" s="130"/>
      <c r="U2406" s="151"/>
      <c r="X2406" s="170" t="str">
        <f t="shared" si="46"/>
        <v>1w</v>
      </c>
      <c r="Y2406" s="168">
        <f>_xll.qlCalendarAdvance(LiborCalendar,Y2405,X2406,"f",FALSE)</f>
        <v>56024</v>
      </c>
      <c r="Z2406" s="171">
        <f>_xll.qlInterestRateIndexValueDate(IborIndex,Y2406,Trigger)</f>
        <v>56026</v>
      </c>
      <c r="AA2406" s="172" t="e">
        <v>#N/A</v>
      </c>
      <c r="AB2406" s="169" t="e">
        <v>#N/A</v>
      </c>
    </row>
    <row r="2407" spans="20:28" x14ac:dyDescent="0.2">
      <c r="T2407" s="130"/>
      <c r="U2407" s="151"/>
      <c r="X2407" s="170" t="str">
        <f t="shared" si="46"/>
        <v>1w</v>
      </c>
      <c r="Y2407" s="168">
        <f>_xll.qlCalendarAdvance(LiborCalendar,Y2406,X2407,"f",FALSE)</f>
        <v>56031</v>
      </c>
      <c r="Z2407" s="171">
        <f>_xll.qlInterestRateIndexValueDate(IborIndex,Y2407,Trigger)</f>
        <v>56033</v>
      </c>
      <c r="AA2407" s="172" t="e">
        <v>#N/A</v>
      </c>
      <c r="AB2407" s="169" t="e">
        <v>#N/A</v>
      </c>
    </row>
    <row r="2408" spans="20:28" x14ac:dyDescent="0.2">
      <c r="T2408" s="130"/>
      <c r="U2408" s="151"/>
      <c r="X2408" s="170" t="str">
        <f t="shared" si="46"/>
        <v>1w</v>
      </c>
      <c r="Y2408" s="168">
        <f>_xll.qlCalendarAdvance(LiborCalendar,Y2407,X2408,"f",FALSE)</f>
        <v>56038</v>
      </c>
      <c r="Z2408" s="171">
        <f>_xll.qlInterestRateIndexValueDate(IborIndex,Y2408,Trigger)</f>
        <v>56040</v>
      </c>
      <c r="AA2408" s="172" t="e">
        <v>#N/A</v>
      </c>
      <c r="AB2408" s="169" t="e">
        <v>#N/A</v>
      </c>
    </row>
    <row r="2409" spans="20:28" x14ac:dyDescent="0.2">
      <c r="T2409" s="130"/>
      <c r="U2409" s="151"/>
      <c r="X2409" s="170" t="str">
        <f t="shared" si="46"/>
        <v>1w</v>
      </c>
      <c r="Y2409" s="168">
        <f>_xll.qlCalendarAdvance(LiborCalendar,Y2408,X2409,"f",FALSE)</f>
        <v>56045</v>
      </c>
      <c r="Z2409" s="171">
        <f>_xll.qlInterestRateIndexValueDate(IborIndex,Y2409,Trigger)</f>
        <v>56047</v>
      </c>
      <c r="AA2409" s="172" t="e">
        <v>#N/A</v>
      </c>
      <c r="AB2409" s="169" t="e">
        <v>#N/A</v>
      </c>
    </row>
    <row r="2410" spans="20:28" x14ac:dyDescent="0.2">
      <c r="T2410" s="130"/>
      <c r="U2410" s="151"/>
      <c r="X2410" s="170" t="str">
        <f t="shared" si="46"/>
        <v>1w</v>
      </c>
      <c r="Y2410" s="168">
        <f>_xll.qlCalendarAdvance(LiborCalendar,Y2409,X2410,"f",FALSE)</f>
        <v>56052</v>
      </c>
      <c r="Z2410" s="171">
        <f>_xll.qlInterestRateIndexValueDate(IborIndex,Y2410,Trigger)</f>
        <v>56054</v>
      </c>
      <c r="AA2410" s="172" t="e">
        <v>#N/A</v>
      </c>
      <c r="AB2410" s="169" t="e">
        <v>#N/A</v>
      </c>
    </row>
    <row r="2411" spans="20:28" x14ac:dyDescent="0.2">
      <c r="T2411" s="130"/>
      <c r="U2411" s="151"/>
      <c r="X2411" s="170" t="str">
        <f t="shared" si="46"/>
        <v>1w</v>
      </c>
      <c r="Y2411" s="168">
        <f>_xll.qlCalendarAdvance(LiborCalendar,Y2410,X2411,"f",FALSE)</f>
        <v>56059</v>
      </c>
      <c r="Z2411" s="171">
        <f>_xll.qlInterestRateIndexValueDate(IborIndex,Y2411,Trigger)</f>
        <v>56061</v>
      </c>
      <c r="AA2411" s="172" t="e">
        <v>#N/A</v>
      </c>
      <c r="AB2411" s="169" t="e">
        <v>#N/A</v>
      </c>
    </row>
    <row r="2412" spans="20:28" x14ac:dyDescent="0.2">
      <c r="T2412" s="130"/>
      <c r="U2412" s="151"/>
      <c r="X2412" s="170" t="str">
        <f t="shared" si="46"/>
        <v>1w</v>
      </c>
      <c r="Y2412" s="168">
        <f>_xll.qlCalendarAdvance(LiborCalendar,Y2411,X2412,"f",FALSE)</f>
        <v>56066</v>
      </c>
      <c r="Z2412" s="171">
        <f>_xll.qlInterestRateIndexValueDate(IborIndex,Y2412,Trigger)</f>
        <v>56068</v>
      </c>
      <c r="AA2412" s="172" t="e">
        <v>#N/A</v>
      </c>
      <c r="AB2412" s="169" t="e">
        <v>#N/A</v>
      </c>
    </row>
    <row r="2413" spans="20:28" x14ac:dyDescent="0.2">
      <c r="T2413" s="130"/>
      <c r="U2413" s="151"/>
      <c r="X2413" s="170" t="str">
        <f t="shared" si="46"/>
        <v>1w</v>
      </c>
      <c r="Y2413" s="168">
        <f>_xll.qlCalendarAdvance(LiborCalendar,Y2412,X2413,"f",FALSE)</f>
        <v>56073</v>
      </c>
      <c r="Z2413" s="171">
        <f>_xll.qlInterestRateIndexValueDate(IborIndex,Y2413,Trigger)</f>
        <v>56075</v>
      </c>
      <c r="AA2413" s="172" t="e">
        <v>#N/A</v>
      </c>
      <c r="AB2413" s="169" t="e">
        <v>#N/A</v>
      </c>
    </row>
    <row r="2414" spans="20:28" x14ac:dyDescent="0.2">
      <c r="T2414" s="130"/>
      <c r="U2414" s="151"/>
      <c r="X2414" s="170" t="str">
        <f t="shared" si="46"/>
        <v>1w</v>
      </c>
      <c r="Y2414" s="168">
        <f>_xll.qlCalendarAdvance(LiborCalendar,Y2413,X2414,"f",FALSE)</f>
        <v>56080</v>
      </c>
      <c r="Z2414" s="171">
        <f>_xll.qlInterestRateIndexValueDate(IborIndex,Y2414,Trigger)</f>
        <v>56082</v>
      </c>
      <c r="AA2414" s="172" t="e">
        <v>#N/A</v>
      </c>
      <c r="AB2414" s="169" t="e">
        <v>#N/A</v>
      </c>
    </row>
    <row r="2415" spans="20:28" x14ac:dyDescent="0.2">
      <c r="T2415" s="130"/>
      <c r="U2415" s="151"/>
      <c r="X2415" s="170" t="str">
        <f t="shared" si="46"/>
        <v>1w</v>
      </c>
      <c r="Y2415" s="168">
        <f>_xll.qlCalendarAdvance(LiborCalendar,Y2414,X2415,"f",FALSE)</f>
        <v>56087</v>
      </c>
      <c r="Z2415" s="171">
        <f>_xll.qlInterestRateIndexValueDate(IborIndex,Y2415,Trigger)</f>
        <v>56089</v>
      </c>
      <c r="AA2415" s="172" t="e">
        <v>#N/A</v>
      </c>
      <c r="AB2415" s="169" t="e">
        <v>#N/A</v>
      </c>
    </row>
    <row r="2416" spans="20:28" x14ac:dyDescent="0.2">
      <c r="T2416" s="130"/>
      <c r="U2416" s="151"/>
      <c r="X2416" s="170" t="str">
        <f t="shared" si="46"/>
        <v>1w</v>
      </c>
      <c r="Y2416" s="168">
        <f>_xll.qlCalendarAdvance(LiborCalendar,Y2415,X2416,"f",FALSE)</f>
        <v>56094</v>
      </c>
      <c r="Z2416" s="171">
        <f>_xll.qlInterestRateIndexValueDate(IborIndex,Y2416,Trigger)</f>
        <v>56096</v>
      </c>
      <c r="AA2416" s="172" t="e">
        <v>#N/A</v>
      </c>
      <c r="AB2416" s="169" t="e">
        <v>#N/A</v>
      </c>
    </row>
    <row r="2417" spans="20:28" x14ac:dyDescent="0.2">
      <c r="T2417" s="130"/>
      <c r="U2417" s="151"/>
      <c r="X2417" s="170" t="str">
        <f t="shared" si="46"/>
        <v>1w</v>
      </c>
      <c r="Y2417" s="168">
        <f>_xll.qlCalendarAdvance(LiborCalendar,Y2416,X2417,"f",FALSE)</f>
        <v>56101</v>
      </c>
      <c r="Z2417" s="171">
        <f>_xll.qlInterestRateIndexValueDate(IborIndex,Y2417,Trigger)</f>
        <v>56103</v>
      </c>
      <c r="AA2417" s="172" t="e">
        <v>#N/A</v>
      </c>
      <c r="AB2417" s="169" t="e">
        <v>#N/A</v>
      </c>
    </row>
    <row r="2418" spans="20:28" x14ac:dyDescent="0.2">
      <c r="T2418" s="130"/>
      <c r="U2418" s="151"/>
      <c r="X2418" s="170" t="str">
        <f t="shared" si="46"/>
        <v>1w</v>
      </c>
      <c r="Y2418" s="168">
        <f>_xll.qlCalendarAdvance(LiborCalendar,Y2417,X2418,"f",FALSE)</f>
        <v>56108</v>
      </c>
      <c r="Z2418" s="171">
        <f>_xll.qlInterestRateIndexValueDate(IborIndex,Y2418,Trigger)</f>
        <v>56110</v>
      </c>
      <c r="AA2418" s="172" t="e">
        <v>#N/A</v>
      </c>
      <c r="AB2418" s="169" t="e">
        <v>#N/A</v>
      </c>
    </row>
    <row r="2419" spans="20:28" x14ac:dyDescent="0.2">
      <c r="T2419" s="130"/>
      <c r="U2419" s="151"/>
      <c r="X2419" s="170" t="str">
        <f t="shared" si="46"/>
        <v>1w</v>
      </c>
      <c r="Y2419" s="168">
        <f>_xll.qlCalendarAdvance(LiborCalendar,Y2418,X2419,"f",FALSE)</f>
        <v>56115</v>
      </c>
      <c r="Z2419" s="171">
        <f>_xll.qlInterestRateIndexValueDate(IborIndex,Y2419,Trigger)</f>
        <v>56117</v>
      </c>
      <c r="AA2419" s="172" t="e">
        <v>#N/A</v>
      </c>
      <c r="AB2419" s="169" t="e">
        <v>#N/A</v>
      </c>
    </row>
    <row r="2420" spans="20:28" x14ac:dyDescent="0.2">
      <c r="T2420" s="130"/>
      <c r="U2420" s="151"/>
      <c r="X2420" s="170" t="str">
        <f t="shared" si="46"/>
        <v>1w</v>
      </c>
      <c r="Y2420" s="168">
        <f>_xll.qlCalendarAdvance(LiborCalendar,Y2419,X2420,"f",FALSE)</f>
        <v>56122</v>
      </c>
      <c r="Z2420" s="171">
        <f>_xll.qlInterestRateIndexValueDate(IborIndex,Y2420,Trigger)</f>
        <v>56124</v>
      </c>
      <c r="AA2420" s="172" t="e">
        <v>#N/A</v>
      </c>
      <c r="AB2420" s="169" t="e">
        <v>#N/A</v>
      </c>
    </row>
    <row r="2421" spans="20:28" x14ac:dyDescent="0.2">
      <c r="T2421" s="130"/>
      <c r="U2421" s="151"/>
      <c r="X2421" s="170" t="str">
        <f t="shared" si="46"/>
        <v>1w</v>
      </c>
      <c r="Y2421" s="168">
        <f>_xll.qlCalendarAdvance(LiborCalendar,Y2420,X2421,"f",FALSE)</f>
        <v>56129</v>
      </c>
      <c r="Z2421" s="171">
        <f>_xll.qlInterestRateIndexValueDate(IborIndex,Y2421,Trigger)</f>
        <v>56131</v>
      </c>
      <c r="AA2421" s="172" t="e">
        <v>#N/A</v>
      </c>
      <c r="AB2421" s="169" t="e">
        <v>#N/A</v>
      </c>
    </row>
    <row r="2422" spans="20:28" x14ac:dyDescent="0.2">
      <c r="T2422" s="130"/>
      <c r="U2422" s="151"/>
      <c r="X2422" s="170" t="str">
        <f t="shared" si="46"/>
        <v>1w</v>
      </c>
      <c r="Y2422" s="168">
        <f>_xll.qlCalendarAdvance(LiborCalendar,Y2421,X2422,"f",FALSE)</f>
        <v>56136</v>
      </c>
      <c r="Z2422" s="171">
        <f>_xll.qlInterestRateIndexValueDate(IborIndex,Y2422,Trigger)</f>
        <v>56138</v>
      </c>
      <c r="AA2422" s="172" t="e">
        <v>#N/A</v>
      </c>
      <c r="AB2422" s="169" t="e">
        <v>#N/A</v>
      </c>
    </row>
    <row r="2423" spans="20:28" x14ac:dyDescent="0.2">
      <c r="T2423" s="130"/>
      <c r="U2423" s="151"/>
      <c r="X2423" s="170" t="str">
        <f t="shared" si="46"/>
        <v>1w</v>
      </c>
      <c r="Y2423" s="168">
        <f>_xll.qlCalendarAdvance(LiborCalendar,Y2422,X2423,"f",FALSE)</f>
        <v>56143</v>
      </c>
      <c r="Z2423" s="171">
        <f>_xll.qlInterestRateIndexValueDate(IborIndex,Y2423,Trigger)</f>
        <v>56145</v>
      </c>
      <c r="AA2423" s="172" t="e">
        <v>#N/A</v>
      </c>
      <c r="AB2423" s="169" t="e">
        <v>#N/A</v>
      </c>
    </row>
    <row r="2424" spans="20:28" x14ac:dyDescent="0.2">
      <c r="T2424" s="130"/>
      <c r="U2424" s="151"/>
      <c r="X2424" s="170" t="str">
        <f t="shared" si="46"/>
        <v>1w</v>
      </c>
      <c r="Y2424" s="168">
        <f>_xll.qlCalendarAdvance(LiborCalendar,Y2423,X2424,"f",FALSE)</f>
        <v>56150</v>
      </c>
      <c r="Z2424" s="171">
        <f>_xll.qlInterestRateIndexValueDate(IborIndex,Y2424,Trigger)</f>
        <v>56152</v>
      </c>
      <c r="AA2424" s="172" t="e">
        <v>#N/A</v>
      </c>
      <c r="AB2424" s="169" t="e">
        <v>#N/A</v>
      </c>
    </row>
    <row r="2425" spans="20:28" x14ac:dyDescent="0.2">
      <c r="T2425" s="130"/>
      <c r="U2425" s="151"/>
      <c r="X2425" s="170" t="str">
        <f t="shared" si="46"/>
        <v>1w</v>
      </c>
      <c r="Y2425" s="168">
        <f>_xll.qlCalendarAdvance(LiborCalendar,Y2424,X2425,"f",FALSE)</f>
        <v>56157</v>
      </c>
      <c r="Z2425" s="171">
        <f>_xll.qlInterestRateIndexValueDate(IborIndex,Y2425,Trigger)</f>
        <v>56159</v>
      </c>
      <c r="AA2425" s="172" t="e">
        <v>#N/A</v>
      </c>
      <c r="AB2425" s="169" t="e">
        <v>#N/A</v>
      </c>
    </row>
    <row r="2426" spans="20:28" x14ac:dyDescent="0.2">
      <c r="T2426" s="130"/>
      <c r="U2426" s="151"/>
      <c r="X2426" s="170" t="str">
        <f t="shared" si="46"/>
        <v>1w</v>
      </c>
      <c r="Y2426" s="168">
        <f>_xll.qlCalendarAdvance(LiborCalendar,Y2425,X2426,"f",FALSE)</f>
        <v>56164</v>
      </c>
      <c r="Z2426" s="171">
        <f>_xll.qlInterestRateIndexValueDate(IborIndex,Y2426,Trigger)</f>
        <v>56166</v>
      </c>
      <c r="AA2426" s="172" t="e">
        <v>#N/A</v>
      </c>
      <c r="AB2426" s="169" t="e">
        <v>#N/A</v>
      </c>
    </row>
    <row r="2427" spans="20:28" x14ac:dyDescent="0.2">
      <c r="T2427" s="130"/>
      <c r="U2427" s="151"/>
      <c r="X2427" s="170" t="str">
        <f t="shared" si="46"/>
        <v>1w</v>
      </c>
      <c r="Y2427" s="168">
        <f>_xll.qlCalendarAdvance(LiborCalendar,Y2426,X2427,"f",FALSE)</f>
        <v>56171</v>
      </c>
      <c r="Z2427" s="171">
        <f>_xll.qlInterestRateIndexValueDate(IborIndex,Y2427,Trigger)</f>
        <v>56173</v>
      </c>
      <c r="AA2427" s="172" t="e">
        <v>#N/A</v>
      </c>
      <c r="AB2427" s="169" t="e">
        <v>#N/A</v>
      </c>
    </row>
    <row r="2428" spans="20:28" x14ac:dyDescent="0.2">
      <c r="T2428" s="130"/>
      <c r="U2428" s="151"/>
      <c r="X2428" s="170" t="str">
        <f t="shared" si="46"/>
        <v>1w</v>
      </c>
      <c r="Y2428" s="168">
        <f>_xll.qlCalendarAdvance(LiborCalendar,Y2427,X2428,"f",FALSE)</f>
        <v>56178</v>
      </c>
      <c r="Z2428" s="171">
        <f>_xll.qlInterestRateIndexValueDate(IborIndex,Y2428,Trigger)</f>
        <v>56180</v>
      </c>
      <c r="AA2428" s="172" t="e">
        <v>#N/A</v>
      </c>
      <c r="AB2428" s="169" t="e">
        <v>#N/A</v>
      </c>
    </row>
    <row r="2429" spans="20:28" x14ac:dyDescent="0.2">
      <c r="T2429" s="130"/>
      <c r="U2429" s="151"/>
      <c r="X2429" s="170" t="str">
        <f t="shared" si="46"/>
        <v>1w</v>
      </c>
      <c r="Y2429" s="168">
        <f>_xll.qlCalendarAdvance(LiborCalendar,Y2428,X2429,"f",FALSE)</f>
        <v>56185</v>
      </c>
      <c r="Z2429" s="171">
        <f>_xll.qlInterestRateIndexValueDate(IborIndex,Y2429,Trigger)</f>
        <v>56187</v>
      </c>
      <c r="AA2429" s="172" t="e">
        <v>#N/A</v>
      </c>
      <c r="AB2429" s="169" t="e">
        <v>#N/A</v>
      </c>
    </row>
    <row r="2430" spans="20:28" x14ac:dyDescent="0.2">
      <c r="T2430" s="130"/>
      <c r="U2430" s="151"/>
      <c r="X2430" s="170" t="str">
        <f t="shared" si="46"/>
        <v>1w</v>
      </c>
      <c r="Y2430" s="168">
        <f>_xll.qlCalendarAdvance(LiborCalendar,Y2429,X2430,"f",FALSE)</f>
        <v>56192</v>
      </c>
      <c r="Z2430" s="171">
        <f>_xll.qlInterestRateIndexValueDate(IborIndex,Y2430,Trigger)</f>
        <v>56194</v>
      </c>
      <c r="AA2430" s="172" t="e">
        <v>#N/A</v>
      </c>
      <c r="AB2430" s="169" t="e">
        <v>#N/A</v>
      </c>
    </row>
    <row r="2431" spans="20:28" x14ac:dyDescent="0.2">
      <c r="T2431" s="130"/>
      <c r="U2431" s="151"/>
      <c r="X2431" s="170" t="str">
        <f t="shared" si="46"/>
        <v>1w</v>
      </c>
      <c r="Y2431" s="168">
        <f>_xll.qlCalendarAdvance(LiborCalendar,Y2430,X2431,"f",FALSE)</f>
        <v>56199</v>
      </c>
      <c r="Z2431" s="171">
        <f>_xll.qlInterestRateIndexValueDate(IborIndex,Y2431,Trigger)</f>
        <v>56201</v>
      </c>
      <c r="AA2431" s="172" t="e">
        <v>#N/A</v>
      </c>
      <c r="AB2431" s="169" t="e">
        <v>#N/A</v>
      </c>
    </row>
    <row r="2432" spans="20:28" x14ac:dyDescent="0.2">
      <c r="T2432" s="130"/>
      <c r="U2432" s="151"/>
      <c r="X2432" s="170" t="str">
        <f t="shared" si="46"/>
        <v>1w</v>
      </c>
      <c r="Y2432" s="168">
        <f>_xll.qlCalendarAdvance(LiborCalendar,Y2431,X2432,"f",FALSE)</f>
        <v>56206</v>
      </c>
      <c r="Z2432" s="171">
        <f>_xll.qlInterestRateIndexValueDate(IborIndex,Y2432,Trigger)</f>
        <v>56208</v>
      </c>
      <c r="AA2432" s="172" t="e">
        <v>#N/A</v>
      </c>
      <c r="AB2432" s="169" t="e">
        <v>#N/A</v>
      </c>
    </row>
    <row r="2433" spans="20:28" x14ac:dyDescent="0.2">
      <c r="T2433" s="130"/>
      <c r="U2433" s="151"/>
      <c r="X2433" s="170" t="str">
        <f t="shared" si="46"/>
        <v>1w</v>
      </c>
      <c r="Y2433" s="168">
        <f>_xll.qlCalendarAdvance(LiborCalendar,Y2432,X2433,"f",FALSE)</f>
        <v>56213</v>
      </c>
      <c r="Z2433" s="171">
        <f>_xll.qlInterestRateIndexValueDate(IborIndex,Y2433,Trigger)</f>
        <v>56215</v>
      </c>
      <c r="AA2433" s="172" t="e">
        <v>#N/A</v>
      </c>
      <c r="AB2433" s="169" t="e">
        <v>#N/A</v>
      </c>
    </row>
    <row r="2434" spans="20:28" x14ac:dyDescent="0.2">
      <c r="T2434" s="130"/>
      <c r="U2434" s="151"/>
      <c r="X2434" s="170" t="str">
        <f t="shared" si="46"/>
        <v>1w</v>
      </c>
      <c r="Y2434" s="168">
        <f>_xll.qlCalendarAdvance(LiborCalendar,Y2433,X2434,"f",FALSE)</f>
        <v>56220</v>
      </c>
      <c r="Z2434" s="171">
        <f>_xll.qlInterestRateIndexValueDate(IborIndex,Y2434,Trigger)</f>
        <v>56222</v>
      </c>
      <c r="AA2434" s="172" t="e">
        <v>#N/A</v>
      </c>
      <c r="AB2434" s="169" t="e">
        <v>#N/A</v>
      </c>
    </row>
    <row r="2435" spans="20:28" x14ac:dyDescent="0.2">
      <c r="T2435" s="130"/>
      <c r="U2435" s="151"/>
      <c r="X2435" s="170" t="str">
        <f t="shared" si="46"/>
        <v>1w</v>
      </c>
      <c r="Y2435" s="168">
        <f>_xll.qlCalendarAdvance(LiborCalendar,Y2434,X2435,"f",FALSE)</f>
        <v>56227</v>
      </c>
      <c r="Z2435" s="171">
        <f>_xll.qlInterestRateIndexValueDate(IborIndex,Y2435,Trigger)</f>
        <v>56229</v>
      </c>
      <c r="AA2435" s="172" t="e">
        <v>#N/A</v>
      </c>
      <c r="AB2435" s="169" t="e">
        <v>#N/A</v>
      </c>
    </row>
    <row r="2436" spans="20:28" x14ac:dyDescent="0.2">
      <c r="T2436" s="130"/>
      <c r="U2436" s="151"/>
      <c r="X2436" s="170" t="str">
        <f t="shared" si="46"/>
        <v>1w</v>
      </c>
      <c r="Y2436" s="168">
        <f>_xll.qlCalendarAdvance(LiborCalendar,Y2435,X2436,"f",FALSE)</f>
        <v>56234</v>
      </c>
      <c r="Z2436" s="171">
        <f>_xll.qlInterestRateIndexValueDate(IborIndex,Y2436,Trigger)</f>
        <v>56236</v>
      </c>
      <c r="AA2436" s="172" t="e">
        <v>#N/A</v>
      </c>
      <c r="AB2436" s="169" t="e">
        <v>#N/A</v>
      </c>
    </row>
    <row r="2437" spans="20:28" x14ac:dyDescent="0.2">
      <c r="T2437" s="130"/>
      <c r="U2437" s="151"/>
      <c r="X2437" s="170" t="str">
        <f t="shared" si="46"/>
        <v>1w</v>
      </c>
      <c r="Y2437" s="168">
        <f>_xll.qlCalendarAdvance(LiborCalendar,Y2436,X2437,"f",FALSE)</f>
        <v>56241</v>
      </c>
      <c r="Z2437" s="171">
        <f>_xll.qlInterestRateIndexValueDate(IborIndex,Y2437,Trigger)</f>
        <v>56247</v>
      </c>
      <c r="AA2437" s="172" t="e">
        <v>#N/A</v>
      </c>
      <c r="AB2437" s="169" t="e">
        <v>#N/A</v>
      </c>
    </row>
    <row r="2438" spans="20:28" x14ac:dyDescent="0.2">
      <c r="T2438" s="130"/>
      <c r="U2438" s="151"/>
      <c r="X2438" s="170" t="str">
        <f t="shared" si="46"/>
        <v>1w</v>
      </c>
      <c r="Y2438" s="168">
        <f>_xll.qlCalendarAdvance(LiborCalendar,Y2437,X2438,"f",FALSE)</f>
        <v>56248</v>
      </c>
      <c r="Z2438" s="171">
        <f>_xll.qlInterestRateIndexValueDate(IborIndex,Y2438,Trigger)</f>
        <v>56254</v>
      </c>
      <c r="AA2438" s="172" t="e">
        <v>#N/A</v>
      </c>
      <c r="AB2438" s="169" t="e">
        <v>#N/A</v>
      </c>
    </row>
    <row r="2439" spans="20:28" x14ac:dyDescent="0.2">
      <c r="T2439" s="130"/>
      <c r="U2439" s="151"/>
      <c r="X2439" s="170" t="str">
        <f t="shared" si="46"/>
        <v>1w</v>
      </c>
      <c r="Y2439" s="168">
        <f>_xll.qlCalendarAdvance(LiborCalendar,Y2438,X2439,"f",FALSE)</f>
        <v>56255</v>
      </c>
      <c r="Z2439" s="171">
        <f>_xll.qlInterestRateIndexValueDate(IborIndex,Y2439,Trigger)</f>
        <v>56257</v>
      </c>
      <c r="AA2439" s="172" t="e">
        <v>#N/A</v>
      </c>
      <c r="AB2439" s="169" t="e">
        <v>#N/A</v>
      </c>
    </row>
    <row r="2440" spans="20:28" x14ac:dyDescent="0.2">
      <c r="T2440" s="130"/>
      <c r="U2440" s="151"/>
      <c r="X2440" s="170" t="str">
        <f t="shared" si="46"/>
        <v>1w</v>
      </c>
      <c r="Y2440" s="168">
        <f>_xll.qlCalendarAdvance(LiborCalendar,Y2439,X2440,"f",FALSE)</f>
        <v>56262</v>
      </c>
      <c r="Z2440" s="171">
        <f>_xll.qlInterestRateIndexValueDate(IborIndex,Y2440,Trigger)</f>
        <v>56264</v>
      </c>
      <c r="AA2440" s="172" t="e">
        <v>#N/A</v>
      </c>
      <c r="AB2440" s="169" t="e">
        <v>#N/A</v>
      </c>
    </row>
    <row r="2441" spans="20:28" x14ac:dyDescent="0.2">
      <c r="T2441" s="130"/>
      <c r="U2441" s="151"/>
      <c r="X2441" s="170" t="str">
        <f t="shared" si="46"/>
        <v>1w</v>
      </c>
      <c r="Y2441" s="168">
        <f>_xll.qlCalendarAdvance(LiborCalendar,Y2440,X2441,"f",FALSE)</f>
        <v>56269</v>
      </c>
      <c r="Z2441" s="171">
        <f>_xll.qlInterestRateIndexValueDate(IborIndex,Y2441,Trigger)</f>
        <v>56271</v>
      </c>
      <c r="AA2441" s="172" t="e">
        <v>#N/A</v>
      </c>
      <c r="AB2441" s="169" t="e">
        <v>#N/A</v>
      </c>
    </row>
    <row r="2442" spans="20:28" x14ac:dyDescent="0.2">
      <c r="T2442" s="130"/>
      <c r="U2442" s="151"/>
      <c r="X2442" s="170" t="str">
        <f t="shared" si="46"/>
        <v>1w</v>
      </c>
      <c r="Y2442" s="168">
        <f>_xll.qlCalendarAdvance(LiborCalendar,Y2441,X2442,"f",FALSE)</f>
        <v>56276</v>
      </c>
      <c r="Z2442" s="171">
        <f>_xll.qlInterestRateIndexValueDate(IborIndex,Y2442,Trigger)</f>
        <v>56278</v>
      </c>
      <c r="AA2442" s="172" t="e">
        <v>#N/A</v>
      </c>
      <c r="AB2442" s="169" t="e">
        <v>#N/A</v>
      </c>
    </row>
    <row r="2443" spans="20:28" x14ac:dyDescent="0.2">
      <c r="T2443" s="130"/>
      <c r="U2443" s="151"/>
      <c r="X2443" s="170" t="str">
        <f t="shared" si="46"/>
        <v>1w</v>
      </c>
      <c r="Y2443" s="168">
        <f>_xll.qlCalendarAdvance(LiborCalendar,Y2442,X2443,"f",FALSE)</f>
        <v>56283</v>
      </c>
      <c r="Z2443" s="171">
        <f>_xll.qlInterestRateIndexValueDate(IborIndex,Y2443,Trigger)</f>
        <v>56285</v>
      </c>
      <c r="AA2443" s="172" t="e">
        <v>#N/A</v>
      </c>
      <c r="AB2443" s="169" t="e">
        <v>#N/A</v>
      </c>
    </row>
    <row r="2444" spans="20:28" x14ac:dyDescent="0.2">
      <c r="T2444" s="130"/>
      <c r="U2444" s="151"/>
      <c r="X2444" s="170" t="str">
        <f t="shared" si="46"/>
        <v>1w</v>
      </c>
      <c r="Y2444" s="168">
        <f>_xll.qlCalendarAdvance(LiborCalendar,Y2443,X2444,"f",FALSE)</f>
        <v>56290</v>
      </c>
      <c r="Z2444" s="171">
        <f>_xll.qlInterestRateIndexValueDate(IborIndex,Y2444,Trigger)</f>
        <v>56292</v>
      </c>
      <c r="AA2444" s="172" t="e">
        <v>#N/A</v>
      </c>
      <c r="AB2444" s="169" t="e">
        <v>#N/A</v>
      </c>
    </row>
    <row r="2445" spans="20:28" x14ac:dyDescent="0.2">
      <c r="T2445" s="130"/>
      <c r="U2445" s="151"/>
      <c r="X2445" s="170" t="str">
        <f t="shared" si="46"/>
        <v>1w</v>
      </c>
      <c r="Y2445" s="168">
        <f>_xll.qlCalendarAdvance(LiborCalendar,Y2444,X2445,"f",FALSE)</f>
        <v>56297</v>
      </c>
      <c r="Z2445" s="171">
        <f>_xll.qlInterestRateIndexValueDate(IborIndex,Y2445,Trigger)</f>
        <v>56299</v>
      </c>
      <c r="AA2445" s="172" t="e">
        <v>#N/A</v>
      </c>
      <c r="AB2445" s="169" t="e">
        <v>#N/A</v>
      </c>
    </row>
    <row r="2446" spans="20:28" x14ac:dyDescent="0.2">
      <c r="T2446" s="130"/>
      <c r="U2446" s="151"/>
      <c r="X2446" s="170" t="str">
        <f t="shared" si="46"/>
        <v>1w</v>
      </c>
      <c r="Y2446" s="168">
        <f>_xll.qlCalendarAdvance(LiborCalendar,Y2445,X2446,"f",FALSE)</f>
        <v>56304</v>
      </c>
      <c r="Z2446" s="171">
        <f>_xll.qlInterestRateIndexValueDate(IborIndex,Y2446,Trigger)</f>
        <v>56306</v>
      </c>
      <c r="AA2446" s="172" t="e">
        <v>#N/A</v>
      </c>
      <c r="AB2446" s="169" t="e">
        <v>#N/A</v>
      </c>
    </row>
    <row r="2447" spans="20:28" x14ac:dyDescent="0.2">
      <c r="T2447" s="130"/>
      <c r="U2447" s="151"/>
      <c r="X2447" s="170" t="str">
        <f t="shared" si="46"/>
        <v>1w</v>
      </c>
      <c r="Y2447" s="168">
        <f>_xll.qlCalendarAdvance(LiborCalendar,Y2446,X2447,"f",FALSE)</f>
        <v>56311</v>
      </c>
      <c r="Z2447" s="171">
        <f>_xll.qlInterestRateIndexValueDate(IborIndex,Y2447,Trigger)</f>
        <v>56313</v>
      </c>
      <c r="AA2447" s="172" t="e">
        <v>#N/A</v>
      </c>
      <c r="AB2447" s="169" t="e">
        <v>#N/A</v>
      </c>
    </row>
    <row r="2448" spans="20:28" x14ac:dyDescent="0.2">
      <c r="T2448" s="130"/>
      <c r="U2448" s="151"/>
      <c r="X2448" s="170" t="str">
        <f t="shared" si="46"/>
        <v>1w</v>
      </c>
      <c r="Y2448" s="168">
        <f>_xll.qlCalendarAdvance(LiborCalendar,Y2447,X2448,"f",FALSE)</f>
        <v>56318</v>
      </c>
      <c r="Z2448" s="171">
        <f>_xll.qlInterestRateIndexValueDate(IborIndex,Y2448,Trigger)</f>
        <v>56320</v>
      </c>
      <c r="AA2448" s="172" t="e">
        <v>#N/A</v>
      </c>
      <c r="AB2448" s="169" t="e">
        <v>#N/A</v>
      </c>
    </row>
    <row r="2449" spans="20:28" x14ac:dyDescent="0.2">
      <c r="T2449" s="130"/>
      <c r="U2449" s="151"/>
      <c r="X2449" s="170" t="str">
        <f t="shared" si="46"/>
        <v>1w</v>
      </c>
      <c r="Y2449" s="168">
        <f>_xll.qlCalendarAdvance(LiborCalendar,Y2448,X2449,"f",FALSE)</f>
        <v>56325</v>
      </c>
      <c r="Z2449" s="171">
        <f>_xll.qlInterestRateIndexValueDate(IborIndex,Y2449,Trigger)</f>
        <v>56327</v>
      </c>
      <c r="AA2449" s="172" t="e">
        <v>#N/A</v>
      </c>
      <c r="AB2449" s="169" t="e">
        <v>#N/A</v>
      </c>
    </row>
    <row r="2450" spans="20:28" x14ac:dyDescent="0.2">
      <c r="T2450" s="130"/>
      <c r="U2450" s="151"/>
      <c r="X2450" s="170" t="str">
        <f t="shared" si="46"/>
        <v>1w</v>
      </c>
      <c r="Y2450" s="168">
        <f>_xll.qlCalendarAdvance(LiborCalendar,Y2449,X2450,"f",FALSE)</f>
        <v>56332</v>
      </c>
      <c r="Z2450" s="171">
        <f>_xll.qlInterestRateIndexValueDate(IborIndex,Y2450,Trigger)</f>
        <v>56334</v>
      </c>
      <c r="AA2450" s="172" t="e">
        <v>#N/A</v>
      </c>
      <c r="AB2450" s="169" t="e">
        <v>#N/A</v>
      </c>
    </row>
    <row r="2451" spans="20:28" x14ac:dyDescent="0.2">
      <c r="T2451" s="130"/>
      <c r="U2451" s="151"/>
      <c r="X2451" s="170" t="str">
        <f t="shared" si="46"/>
        <v>1w</v>
      </c>
      <c r="Y2451" s="168">
        <f>_xll.qlCalendarAdvance(LiborCalendar,Y2450,X2451,"f",FALSE)</f>
        <v>56339</v>
      </c>
      <c r="Z2451" s="171">
        <f>_xll.qlInterestRateIndexValueDate(IborIndex,Y2451,Trigger)</f>
        <v>56341</v>
      </c>
      <c r="AA2451" s="172" t="e">
        <v>#N/A</v>
      </c>
      <c r="AB2451" s="169" t="e">
        <v>#N/A</v>
      </c>
    </row>
    <row r="2452" spans="20:28" x14ac:dyDescent="0.2">
      <c r="T2452" s="130"/>
      <c r="U2452" s="151"/>
      <c r="X2452" s="170" t="str">
        <f t="shared" si="46"/>
        <v>1w</v>
      </c>
      <c r="Y2452" s="168">
        <f>_xll.qlCalendarAdvance(LiborCalendar,Y2451,X2452,"f",FALSE)</f>
        <v>56346</v>
      </c>
      <c r="Z2452" s="171">
        <f>_xll.qlInterestRateIndexValueDate(IborIndex,Y2452,Trigger)</f>
        <v>56348</v>
      </c>
      <c r="AA2452" s="172" t="e">
        <v>#N/A</v>
      </c>
      <c r="AB2452" s="169" t="e">
        <v>#N/A</v>
      </c>
    </row>
    <row r="2453" spans="20:28" x14ac:dyDescent="0.2">
      <c r="T2453" s="130"/>
      <c r="U2453" s="151"/>
      <c r="X2453" s="170" t="str">
        <f t="shared" ref="X2453:X2516" si="47">X2452</f>
        <v>1w</v>
      </c>
      <c r="Y2453" s="168">
        <f>_xll.qlCalendarAdvance(LiborCalendar,Y2452,X2453,"f",FALSE)</f>
        <v>56353</v>
      </c>
      <c r="Z2453" s="171">
        <f>_xll.qlInterestRateIndexValueDate(IborIndex,Y2453,Trigger)</f>
        <v>56355</v>
      </c>
      <c r="AA2453" s="172" t="e">
        <v>#N/A</v>
      </c>
      <c r="AB2453" s="169" t="e">
        <v>#N/A</v>
      </c>
    </row>
    <row r="2454" spans="20:28" x14ac:dyDescent="0.2">
      <c r="T2454" s="130"/>
      <c r="U2454" s="151"/>
      <c r="X2454" s="170" t="str">
        <f t="shared" si="47"/>
        <v>1w</v>
      </c>
      <c r="Y2454" s="168">
        <f>_xll.qlCalendarAdvance(LiborCalendar,Y2453,X2454,"f",FALSE)</f>
        <v>56360</v>
      </c>
      <c r="Z2454" s="171">
        <f>_xll.qlInterestRateIndexValueDate(IborIndex,Y2454,Trigger)</f>
        <v>56362</v>
      </c>
      <c r="AA2454" s="172" t="e">
        <v>#N/A</v>
      </c>
      <c r="AB2454" s="169" t="e">
        <v>#N/A</v>
      </c>
    </row>
    <row r="2455" spans="20:28" x14ac:dyDescent="0.2">
      <c r="T2455" s="130"/>
      <c r="U2455" s="151"/>
      <c r="X2455" s="170" t="str">
        <f t="shared" si="47"/>
        <v>1w</v>
      </c>
      <c r="Y2455" s="168">
        <f>_xll.qlCalendarAdvance(LiborCalendar,Y2454,X2455,"f",FALSE)</f>
        <v>56367</v>
      </c>
      <c r="Z2455" s="171">
        <f>_xll.qlInterestRateIndexValueDate(IborIndex,Y2455,Trigger)</f>
        <v>56369</v>
      </c>
      <c r="AA2455" s="172" t="e">
        <v>#N/A</v>
      </c>
      <c r="AB2455" s="169" t="e">
        <v>#N/A</v>
      </c>
    </row>
    <row r="2456" spans="20:28" x14ac:dyDescent="0.2">
      <c r="T2456" s="130"/>
      <c r="U2456" s="151"/>
      <c r="X2456" s="170" t="str">
        <f t="shared" si="47"/>
        <v>1w</v>
      </c>
      <c r="Y2456" s="168">
        <f>_xll.qlCalendarAdvance(LiborCalendar,Y2455,X2456,"f",FALSE)</f>
        <v>56374</v>
      </c>
      <c r="Z2456" s="171">
        <f>_xll.qlInterestRateIndexValueDate(IborIndex,Y2456,Trigger)</f>
        <v>56377</v>
      </c>
      <c r="AA2456" s="172" t="e">
        <v>#N/A</v>
      </c>
      <c r="AB2456" s="169" t="e">
        <v>#N/A</v>
      </c>
    </row>
    <row r="2457" spans="20:28" x14ac:dyDescent="0.2">
      <c r="T2457" s="130"/>
      <c r="U2457" s="151"/>
      <c r="X2457" s="170" t="str">
        <f t="shared" si="47"/>
        <v>1w</v>
      </c>
      <c r="Y2457" s="168">
        <f>_xll.qlCalendarAdvance(LiborCalendar,Y2456,X2457,"f",FALSE)</f>
        <v>56381</v>
      </c>
      <c r="Z2457" s="171">
        <f>_xll.qlInterestRateIndexValueDate(IborIndex,Y2457,Trigger)</f>
        <v>56383</v>
      </c>
      <c r="AA2457" s="172" t="e">
        <v>#N/A</v>
      </c>
      <c r="AB2457" s="169" t="e">
        <v>#N/A</v>
      </c>
    </row>
    <row r="2458" spans="20:28" x14ac:dyDescent="0.2">
      <c r="T2458" s="130"/>
      <c r="U2458" s="151"/>
      <c r="X2458" s="170" t="str">
        <f t="shared" si="47"/>
        <v>1w</v>
      </c>
      <c r="Y2458" s="168">
        <f>_xll.qlCalendarAdvance(LiborCalendar,Y2457,X2458,"f",FALSE)</f>
        <v>56388</v>
      </c>
      <c r="Z2458" s="171">
        <f>_xll.qlInterestRateIndexValueDate(IborIndex,Y2458,Trigger)</f>
        <v>56390</v>
      </c>
      <c r="AA2458" s="172" t="e">
        <v>#N/A</v>
      </c>
      <c r="AB2458" s="169" t="e">
        <v>#N/A</v>
      </c>
    </row>
    <row r="2459" spans="20:28" x14ac:dyDescent="0.2">
      <c r="T2459" s="130"/>
      <c r="U2459" s="151"/>
      <c r="X2459" s="170" t="str">
        <f t="shared" si="47"/>
        <v>1w</v>
      </c>
      <c r="Y2459" s="168">
        <f>_xll.qlCalendarAdvance(LiborCalendar,Y2458,X2459,"f",FALSE)</f>
        <v>56395</v>
      </c>
      <c r="Z2459" s="171">
        <f>_xll.qlInterestRateIndexValueDate(IborIndex,Y2459,Trigger)</f>
        <v>56397</v>
      </c>
      <c r="AA2459" s="172" t="e">
        <v>#N/A</v>
      </c>
      <c r="AB2459" s="169" t="e">
        <v>#N/A</v>
      </c>
    </row>
    <row r="2460" spans="20:28" x14ac:dyDescent="0.2">
      <c r="T2460" s="130"/>
      <c r="U2460" s="151"/>
      <c r="X2460" s="170" t="str">
        <f t="shared" si="47"/>
        <v>1w</v>
      </c>
      <c r="Y2460" s="168">
        <f>_xll.qlCalendarAdvance(LiborCalendar,Y2459,X2460,"f",FALSE)</f>
        <v>56402</v>
      </c>
      <c r="Z2460" s="171">
        <f>_xll.qlInterestRateIndexValueDate(IborIndex,Y2460,Trigger)</f>
        <v>56404</v>
      </c>
      <c r="AA2460" s="172" t="e">
        <v>#N/A</v>
      </c>
      <c r="AB2460" s="169" t="e">
        <v>#N/A</v>
      </c>
    </row>
    <row r="2461" spans="20:28" x14ac:dyDescent="0.2">
      <c r="T2461" s="130"/>
      <c r="U2461" s="151"/>
      <c r="X2461" s="170" t="str">
        <f t="shared" si="47"/>
        <v>1w</v>
      </c>
      <c r="Y2461" s="168">
        <f>_xll.qlCalendarAdvance(LiborCalendar,Y2460,X2461,"f",FALSE)</f>
        <v>56409</v>
      </c>
      <c r="Z2461" s="171">
        <f>_xll.qlInterestRateIndexValueDate(IborIndex,Y2461,Trigger)</f>
        <v>56411</v>
      </c>
      <c r="AA2461" s="172" t="e">
        <v>#N/A</v>
      </c>
      <c r="AB2461" s="169" t="e">
        <v>#N/A</v>
      </c>
    </row>
    <row r="2462" spans="20:28" x14ac:dyDescent="0.2">
      <c r="T2462" s="130"/>
      <c r="U2462" s="151"/>
      <c r="X2462" s="170" t="str">
        <f t="shared" si="47"/>
        <v>1w</v>
      </c>
      <c r="Y2462" s="168">
        <f>_xll.qlCalendarAdvance(LiborCalendar,Y2461,X2462,"f",FALSE)</f>
        <v>56416</v>
      </c>
      <c r="Z2462" s="171">
        <f>_xll.qlInterestRateIndexValueDate(IborIndex,Y2462,Trigger)</f>
        <v>56418</v>
      </c>
      <c r="AA2462" s="172" t="e">
        <v>#N/A</v>
      </c>
      <c r="AB2462" s="169" t="e">
        <v>#N/A</v>
      </c>
    </row>
    <row r="2463" spans="20:28" x14ac:dyDescent="0.2">
      <c r="T2463" s="130"/>
      <c r="U2463" s="151"/>
      <c r="X2463" s="170" t="str">
        <f t="shared" si="47"/>
        <v>1w</v>
      </c>
      <c r="Y2463" s="168">
        <f>_xll.qlCalendarAdvance(LiborCalendar,Y2462,X2463,"f",FALSE)</f>
        <v>56423</v>
      </c>
      <c r="Z2463" s="171">
        <f>_xll.qlInterestRateIndexValueDate(IborIndex,Y2463,Trigger)</f>
        <v>56425</v>
      </c>
      <c r="AA2463" s="172" t="e">
        <v>#N/A</v>
      </c>
      <c r="AB2463" s="169" t="e">
        <v>#N/A</v>
      </c>
    </row>
    <row r="2464" spans="20:28" x14ac:dyDescent="0.2">
      <c r="T2464" s="130"/>
      <c r="U2464" s="151"/>
      <c r="X2464" s="170" t="str">
        <f t="shared" si="47"/>
        <v>1w</v>
      </c>
      <c r="Y2464" s="168">
        <f>_xll.qlCalendarAdvance(LiborCalendar,Y2463,X2464,"f",FALSE)</f>
        <v>56430</v>
      </c>
      <c r="Z2464" s="171">
        <f>_xll.qlInterestRateIndexValueDate(IborIndex,Y2464,Trigger)</f>
        <v>56432</v>
      </c>
      <c r="AA2464" s="172" t="e">
        <v>#N/A</v>
      </c>
      <c r="AB2464" s="169" t="e">
        <v>#N/A</v>
      </c>
    </row>
    <row r="2465" spans="20:28" x14ac:dyDescent="0.2">
      <c r="T2465" s="130"/>
      <c r="U2465" s="151"/>
      <c r="X2465" s="170" t="str">
        <f t="shared" si="47"/>
        <v>1w</v>
      </c>
      <c r="Y2465" s="168">
        <f>_xll.qlCalendarAdvance(LiborCalendar,Y2464,X2465,"f",FALSE)</f>
        <v>56437</v>
      </c>
      <c r="Z2465" s="171">
        <f>_xll.qlInterestRateIndexValueDate(IborIndex,Y2465,Trigger)</f>
        <v>56439</v>
      </c>
      <c r="AA2465" s="172" t="e">
        <v>#N/A</v>
      </c>
      <c r="AB2465" s="169" t="e">
        <v>#N/A</v>
      </c>
    </row>
    <row r="2466" spans="20:28" x14ac:dyDescent="0.2">
      <c r="T2466" s="130"/>
      <c r="U2466" s="151"/>
      <c r="X2466" s="170" t="str">
        <f t="shared" si="47"/>
        <v>1w</v>
      </c>
      <c r="Y2466" s="168">
        <f>_xll.qlCalendarAdvance(LiborCalendar,Y2465,X2466,"f",FALSE)</f>
        <v>56444</v>
      </c>
      <c r="Z2466" s="171">
        <f>_xll.qlInterestRateIndexValueDate(IborIndex,Y2466,Trigger)</f>
        <v>56446</v>
      </c>
      <c r="AA2466" s="172" t="e">
        <v>#N/A</v>
      </c>
      <c r="AB2466" s="169" t="e">
        <v>#N/A</v>
      </c>
    </row>
    <row r="2467" spans="20:28" x14ac:dyDescent="0.2">
      <c r="T2467" s="130"/>
      <c r="U2467" s="151"/>
      <c r="X2467" s="170" t="str">
        <f t="shared" si="47"/>
        <v>1w</v>
      </c>
      <c r="Y2467" s="168">
        <f>_xll.qlCalendarAdvance(LiborCalendar,Y2466,X2467,"f",FALSE)</f>
        <v>56451</v>
      </c>
      <c r="Z2467" s="171">
        <f>_xll.qlInterestRateIndexValueDate(IborIndex,Y2467,Trigger)</f>
        <v>56453</v>
      </c>
      <c r="AA2467" s="172" t="e">
        <v>#N/A</v>
      </c>
      <c r="AB2467" s="169" t="e">
        <v>#N/A</v>
      </c>
    </row>
    <row r="2468" spans="20:28" x14ac:dyDescent="0.2">
      <c r="T2468" s="130"/>
      <c r="U2468" s="151"/>
      <c r="X2468" s="170" t="str">
        <f t="shared" si="47"/>
        <v>1w</v>
      </c>
      <c r="Y2468" s="168">
        <f>_xll.qlCalendarAdvance(LiborCalendar,Y2467,X2468,"f",FALSE)</f>
        <v>56458</v>
      </c>
      <c r="Z2468" s="171">
        <f>_xll.qlInterestRateIndexValueDate(IborIndex,Y2468,Trigger)</f>
        <v>56460</v>
      </c>
      <c r="AA2468" s="172" t="e">
        <v>#N/A</v>
      </c>
      <c r="AB2468" s="169" t="e">
        <v>#N/A</v>
      </c>
    </row>
    <row r="2469" spans="20:28" x14ac:dyDescent="0.2">
      <c r="T2469" s="130"/>
      <c r="U2469" s="151"/>
      <c r="X2469" s="170" t="str">
        <f t="shared" si="47"/>
        <v>1w</v>
      </c>
      <c r="Y2469" s="168">
        <f>_xll.qlCalendarAdvance(LiborCalendar,Y2468,X2469,"f",FALSE)</f>
        <v>56465</v>
      </c>
      <c r="Z2469" s="171">
        <f>_xll.qlInterestRateIndexValueDate(IborIndex,Y2469,Trigger)</f>
        <v>56467</v>
      </c>
      <c r="AA2469" s="172" t="e">
        <v>#N/A</v>
      </c>
      <c r="AB2469" s="169" t="e">
        <v>#N/A</v>
      </c>
    </row>
    <row r="2470" spans="20:28" x14ac:dyDescent="0.2">
      <c r="T2470" s="130"/>
      <c r="U2470" s="151"/>
      <c r="X2470" s="170" t="str">
        <f t="shared" si="47"/>
        <v>1w</v>
      </c>
      <c r="Y2470" s="168">
        <f>_xll.qlCalendarAdvance(LiborCalendar,Y2469,X2470,"f",FALSE)</f>
        <v>56472</v>
      </c>
      <c r="Z2470" s="171">
        <f>_xll.qlInterestRateIndexValueDate(IborIndex,Y2470,Trigger)</f>
        <v>56474</v>
      </c>
      <c r="AA2470" s="172" t="e">
        <v>#N/A</v>
      </c>
      <c r="AB2470" s="169" t="e">
        <v>#N/A</v>
      </c>
    </row>
    <row r="2471" spans="20:28" x14ac:dyDescent="0.2">
      <c r="T2471" s="130"/>
      <c r="U2471" s="151"/>
      <c r="X2471" s="170" t="str">
        <f t="shared" si="47"/>
        <v>1w</v>
      </c>
      <c r="Y2471" s="168">
        <f>_xll.qlCalendarAdvance(LiborCalendar,Y2470,X2471,"f",FALSE)</f>
        <v>56479</v>
      </c>
      <c r="Z2471" s="171">
        <f>_xll.qlInterestRateIndexValueDate(IborIndex,Y2471,Trigger)</f>
        <v>56481</v>
      </c>
      <c r="AA2471" s="172" t="e">
        <v>#N/A</v>
      </c>
      <c r="AB2471" s="169" t="e">
        <v>#N/A</v>
      </c>
    </row>
    <row r="2472" spans="20:28" x14ac:dyDescent="0.2">
      <c r="T2472" s="130"/>
      <c r="U2472" s="151"/>
      <c r="X2472" s="170" t="str">
        <f t="shared" si="47"/>
        <v>1w</v>
      </c>
      <c r="Y2472" s="168">
        <f>_xll.qlCalendarAdvance(LiborCalendar,Y2471,X2472,"f",FALSE)</f>
        <v>56486</v>
      </c>
      <c r="Z2472" s="171">
        <f>_xll.qlInterestRateIndexValueDate(IborIndex,Y2472,Trigger)</f>
        <v>56488</v>
      </c>
      <c r="AA2472" s="172" t="e">
        <v>#N/A</v>
      </c>
      <c r="AB2472" s="169" t="e">
        <v>#N/A</v>
      </c>
    </row>
    <row r="2473" spans="20:28" x14ac:dyDescent="0.2">
      <c r="T2473" s="130"/>
      <c r="U2473" s="151"/>
      <c r="X2473" s="170" t="str">
        <f t="shared" si="47"/>
        <v>1w</v>
      </c>
      <c r="Y2473" s="168">
        <f>_xll.qlCalendarAdvance(LiborCalendar,Y2472,X2473,"f",FALSE)</f>
        <v>56493</v>
      </c>
      <c r="Z2473" s="171">
        <f>_xll.qlInterestRateIndexValueDate(IborIndex,Y2473,Trigger)</f>
        <v>56495</v>
      </c>
      <c r="AA2473" s="172" t="e">
        <v>#N/A</v>
      </c>
      <c r="AB2473" s="169" t="e">
        <v>#N/A</v>
      </c>
    </row>
    <row r="2474" spans="20:28" x14ac:dyDescent="0.2">
      <c r="T2474" s="130"/>
      <c r="U2474" s="151"/>
      <c r="X2474" s="170" t="str">
        <f t="shared" si="47"/>
        <v>1w</v>
      </c>
      <c r="Y2474" s="168">
        <f>_xll.qlCalendarAdvance(LiborCalendar,Y2473,X2474,"f",FALSE)</f>
        <v>56500</v>
      </c>
      <c r="Z2474" s="171">
        <f>_xll.qlInterestRateIndexValueDate(IborIndex,Y2474,Trigger)</f>
        <v>56502</v>
      </c>
      <c r="AA2474" s="172" t="e">
        <v>#N/A</v>
      </c>
      <c r="AB2474" s="169" t="e">
        <v>#N/A</v>
      </c>
    </row>
    <row r="2475" spans="20:28" x14ac:dyDescent="0.2">
      <c r="T2475" s="130"/>
      <c r="U2475" s="151"/>
      <c r="X2475" s="170" t="str">
        <f t="shared" si="47"/>
        <v>1w</v>
      </c>
      <c r="Y2475" s="168">
        <f>_xll.qlCalendarAdvance(LiborCalendar,Y2474,X2475,"f",FALSE)</f>
        <v>56507</v>
      </c>
      <c r="Z2475" s="171">
        <f>_xll.qlInterestRateIndexValueDate(IborIndex,Y2475,Trigger)</f>
        <v>56509</v>
      </c>
      <c r="AA2475" s="172" t="e">
        <v>#N/A</v>
      </c>
      <c r="AB2475" s="169" t="e">
        <v>#N/A</v>
      </c>
    </row>
    <row r="2476" spans="20:28" x14ac:dyDescent="0.2">
      <c r="T2476" s="130"/>
      <c r="U2476" s="151"/>
      <c r="X2476" s="170" t="str">
        <f t="shared" si="47"/>
        <v>1w</v>
      </c>
      <c r="Y2476" s="168">
        <f>_xll.qlCalendarAdvance(LiborCalendar,Y2475,X2476,"f",FALSE)</f>
        <v>56514</v>
      </c>
      <c r="Z2476" s="171">
        <f>_xll.qlInterestRateIndexValueDate(IborIndex,Y2476,Trigger)</f>
        <v>56516</v>
      </c>
      <c r="AA2476" s="172" t="e">
        <v>#N/A</v>
      </c>
      <c r="AB2476" s="169" t="e">
        <v>#N/A</v>
      </c>
    </row>
    <row r="2477" spans="20:28" x14ac:dyDescent="0.2">
      <c r="T2477" s="130"/>
      <c r="U2477" s="151"/>
      <c r="X2477" s="170" t="str">
        <f t="shared" si="47"/>
        <v>1w</v>
      </c>
      <c r="Y2477" s="168">
        <f>_xll.qlCalendarAdvance(LiborCalendar,Y2476,X2477,"f",FALSE)</f>
        <v>56521</v>
      </c>
      <c r="Z2477" s="171">
        <f>_xll.qlInterestRateIndexValueDate(IborIndex,Y2477,Trigger)</f>
        <v>56523</v>
      </c>
      <c r="AA2477" s="172" t="e">
        <v>#N/A</v>
      </c>
      <c r="AB2477" s="169" t="e">
        <v>#N/A</v>
      </c>
    </row>
    <row r="2478" spans="20:28" x14ac:dyDescent="0.2">
      <c r="T2478" s="130"/>
      <c r="U2478" s="151"/>
      <c r="X2478" s="170" t="str">
        <f t="shared" si="47"/>
        <v>1w</v>
      </c>
      <c r="Y2478" s="168">
        <f>_xll.qlCalendarAdvance(LiborCalendar,Y2477,X2478,"f",FALSE)</f>
        <v>56528</v>
      </c>
      <c r="Z2478" s="171">
        <f>_xll.qlInterestRateIndexValueDate(IborIndex,Y2478,Trigger)</f>
        <v>56530</v>
      </c>
      <c r="AA2478" s="172" t="e">
        <v>#N/A</v>
      </c>
      <c r="AB2478" s="169" t="e">
        <v>#N/A</v>
      </c>
    </row>
    <row r="2479" spans="20:28" x14ac:dyDescent="0.2">
      <c r="T2479" s="130"/>
      <c r="U2479" s="151"/>
      <c r="X2479" s="170" t="str">
        <f t="shared" si="47"/>
        <v>1w</v>
      </c>
      <c r="Y2479" s="168">
        <f>_xll.qlCalendarAdvance(LiborCalendar,Y2478,X2479,"f",FALSE)</f>
        <v>56535</v>
      </c>
      <c r="Z2479" s="171">
        <f>_xll.qlInterestRateIndexValueDate(IborIndex,Y2479,Trigger)</f>
        <v>56537</v>
      </c>
      <c r="AA2479" s="172" t="e">
        <v>#N/A</v>
      </c>
      <c r="AB2479" s="169" t="e">
        <v>#N/A</v>
      </c>
    </row>
    <row r="2480" spans="20:28" x14ac:dyDescent="0.2">
      <c r="T2480" s="130"/>
      <c r="U2480" s="151"/>
      <c r="X2480" s="170" t="str">
        <f t="shared" si="47"/>
        <v>1w</v>
      </c>
      <c r="Y2480" s="168">
        <f>_xll.qlCalendarAdvance(LiborCalendar,Y2479,X2480,"f",FALSE)</f>
        <v>56542</v>
      </c>
      <c r="Z2480" s="171">
        <f>_xll.qlInterestRateIndexValueDate(IborIndex,Y2480,Trigger)</f>
        <v>56544</v>
      </c>
      <c r="AA2480" s="172" t="e">
        <v>#N/A</v>
      </c>
      <c r="AB2480" s="169" t="e">
        <v>#N/A</v>
      </c>
    </row>
    <row r="2481" spans="20:28" x14ac:dyDescent="0.2">
      <c r="T2481" s="130"/>
      <c r="U2481" s="151"/>
      <c r="X2481" s="170" t="str">
        <f t="shared" si="47"/>
        <v>1w</v>
      </c>
      <c r="Y2481" s="168">
        <f>_xll.qlCalendarAdvance(LiborCalendar,Y2480,X2481,"f",FALSE)</f>
        <v>56549</v>
      </c>
      <c r="Z2481" s="171">
        <f>_xll.qlInterestRateIndexValueDate(IborIndex,Y2481,Trigger)</f>
        <v>56551</v>
      </c>
      <c r="AA2481" s="172" t="e">
        <v>#N/A</v>
      </c>
      <c r="AB2481" s="169" t="e">
        <v>#N/A</v>
      </c>
    </row>
    <row r="2482" spans="20:28" x14ac:dyDescent="0.2">
      <c r="T2482" s="130"/>
      <c r="U2482" s="151"/>
      <c r="X2482" s="170" t="str">
        <f t="shared" si="47"/>
        <v>1w</v>
      </c>
      <c r="Y2482" s="168">
        <f>_xll.qlCalendarAdvance(LiborCalendar,Y2481,X2482,"f",FALSE)</f>
        <v>56556</v>
      </c>
      <c r="Z2482" s="171">
        <f>_xll.qlInterestRateIndexValueDate(IborIndex,Y2482,Trigger)</f>
        <v>56558</v>
      </c>
      <c r="AA2482" s="172" t="e">
        <v>#N/A</v>
      </c>
      <c r="AB2482" s="169" t="e">
        <v>#N/A</v>
      </c>
    </row>
    <row r="2483" spans="20:28" x14ac:dyDescent="0.2">
      <c r="T2483" s="130"/>
      <c r="U2483" s="151"/>
      <c r="X2483" s="170" t="str">
        <f t="shared" si="47"/>
        <v>1w</v>
      </c>
      <c r="Y2483" s="168">
        <f>_xll.qlCalendarAdvance(LiborCalendar,Y2482,X2483,"f",FALSE)</f>
        <v>56563</v>
      </c>
      <c r="Z2483" s="171">
        <f>_xll.qlInterestRateIndexValueDate(IborIndex,Y2483,Trigger)</f>
        <v>56565</v>
      </c>
      <c r="AA2483" s="172" t="e">
        <v>#N/A</v>
      </c>
      <c r="AB2483" s="169" t="e">
        <v>#N/A</v>
      </c>
    </row>
    <row r="2484" spans="20:28" x14ac:dyDescent="0.2">
      <c r="T2484" s="130"/>
      <c r="U2484" s="151"/>
      <c r="X2484" s="170" t="str">
        <f t="shared" si="47"/>
        <v>1w</v>
      </c>
      <c r="Y2484" s="168">
        <f>_xll.qlCalendarAdvance(LiborCalendar,Y2483,X2484,"f",FALSE)</f>
        <v>56570</v>
      </c>
      <c r="Z2484" s="171">
        <f>_xll.qlInterestRateIndexValueDate(IborIndex,Y2484,Trigger)</f>
        <v>56572</v>
      </c>
      <c r="AA2484" s="172" t="e">
        <v>#N/A</v>
      </c>
      <c r="AB2484" s="169" t="e">
        <v>#N/A</v>
      </c>
    </row>
    <row r="2485" spans="20:28" x14ac:dyDescent="0.2">
      <c r="T2485" s="130"/>
      <c r="U2485" s="151"/>
      <c r="X2485" s="170" t="str">
        <f t="shared" si="47"/>
        <v>1w</v>
      </c>
      <c r="Y2485" s="168">
        <f>_xll.qlCalendarAdvance(LiborCalendar,Y2484,X2485,"f",FALSE)</f>
        <v>56577</v>
      </c>
      <c r="Z2485" s="171">
        <f>_xll.qlInterestRateIndexValueDate(IborIndex,Y2485,Trigger)</f>
        <v>56579</v>
      </c>
      <c r="AA2485" s="172" t="e">
        <v>#N/A</v>
      </c>
      <c r="AB2485" s="169" t="e">
        <v>#N/A</v>
      </c>
    </row>
    <row r="2486" spans="20:28" x14ac:dyDescent="0.2">
      <c r="T2486" s="130"/>
      <c r="U2486" s="151"/>
      <c r="X2486" s="170" t="str">
        <f t="shared" si="47"/>
        <v>1w</v>
      </c>
      <c r="Y2486" s="168">
        <f>_xll.qlCalendarAdvance(LiborCalendar,Y2485,X2486,"f",FALSE)</f>
        <v>56584</v>
      </c>
      <c r="Z2486" s="171">
        <f>_xll.qlInterestRateIndexValueDate(IborIndex,Y2486,Trigger)</f>
        <v>56586</v>
      </c>
      <c r="AA2486" s="172" t="e">
        <v>#N/A</v>
      </c>
      <c r="AB2486" s="169" t="e">
        <v>#N/A</v>
      </c>
    </row>
    <row r="2487" spans="20:28" x14ac:dyDescent="0.2">
      <c r="T2487" s="130"/>
      <c r="U2487" s="151"/>
      <c r="X2487" s="170" t="str">
        <f t="shared" si="47"/>
        <v>1w</v>
      </c>
      <c r="Y2487" s="168">
        <f>_xll.qlCalendarAdvance(LiborCalendar,Y2486,X2487,"f",FALSE)</f>
        <v>56591</v>
      </c>
      <c r="Z2487" s="171">
        <f>_xll.qlInterestRateIndexValueDate(IborIndex,Y2487,Trigger)</f>
        <v>56593</v>
      </c>
      <c r="AA2487" s="172" t="e">
        <v>#N/A</v>
      </c>
      <c r="AB2487" s="169" t="e">
        <v>#N/A</v>
      </c>
    </row>
    <row r="2488" spans="20:28" x14ac:dyDescent="0.2">
      <c r="T2488" s="130"/>
      <c r="U2488" s="151"/>
      <c r="X2488" s="170" t="str">
        <f t="shared" si="47"/>
        <v>1w</v>
      </c>
      <c r="Y2488" s="168">
        <f>_xll.qlCalendarAdvance(LiborCalendar,Y2487,X2488,"f",FALSE)</f>
        <v>56598</v>
      </c>
      <c r="Z2488" s="171">
        <f>_xll.qlInterestRateIndexValueDate(IborIndex,Y2488,Trigger)</f>
        <v>56600</v>
      </c>
      <c r="AA2488" s="172" t="e">
        <v>#N/A</v>
      </c>
      <c r="AB2488" s="169" t="e">
        <v>#N/A</v>
      </c>
    </row>
    <row r="2489" spans="20:28" x14ac:dyDescent="0.2">
      <c r="T2489" s="130"/>
      <c r="U2489" s="151"/>
      <c r="X2489" s="170" t="str">
        <f t="shared" si="47"/>
        <v>1w</v>
      </c>
      <c r="Y2489" s="168">
        <f>_xll.qlCalendarAdvance(LiborCalendar,Y2488,X2489,"f",FALSE)</f>
        <v>56605</v>
      </c>
      <c r="Z2489" s="171">
        <f>_xll.qlInterestRateIndexValueDate(IborIndex,Y2489,Trigger)</f>
        <v>56607</v>
      </c>
      <c r="AA2489" s="172" t="e">
        <v>#N/A</v>
      </c>
      <c r="AB2489" s="169" t="e">
        <v>#N/A</v>
      </c>
    </row>
    <row r="2490" spans="20:28" x14ac:dyDescent="0.2">
      <c r="T2490" s="130"/>
      <c r="U2490" s="151"/>
      <c r="X2490" s="170" t="str">
        <f t="shared" si="47"/>
        <v>1w</v>
      </c>
      <c r="Y2490" s="168">
        <f>_xll.qlCalendarAdvance(LiborCalendar,Y2489,X2490,"f",FALSE)</f>
        <v>56612</v>
      </c>
      <c r="Z2490" s="171">
        <f>_xll.qlInterestRateIndexValueDate(IborIndex,Y2490,Trigger)</f>
        <v>56614</v>
      </c>
      <c r="AA2490" s="172" t="e">
        <v>#N/A</v>
      </c>
      <c r="AB2490" s="169" t="e">
        <v>#N/A</v>
      </c>
    </row>
    <row r="2491" spans="20:28" x14ac:dyDescent="0.2">
      <c r="T2491" s="130"/>
      <c r="U2491" s="151"/>
      <c r="X2491" s="170" t="str">
        <f t="shared" si="47"/>
        <v>1w</v>
      </c>
      <c r="Y2491" s="168">
        <f>_xll.qlCalendarAdvance(LiborCalendar,Y2490,X2491,"f",FALSE)</f>
        <v>56619</v>
      </c>
      <c r="Z2491" s="171">
        <f>_xll.qlInterestRateIndexValueDate(IborIndex,Y2491,Trigger)</f>
        <v>56621</v>
      </c>
      <c r="AA2491" s="172" t="e">
        <v>#N/A</v>
      </c>
      <c r="AB2491" s="169" t="e">
        <v>#N/A</v>
      </c>
    </row>
    <row r="2492" spans="20:28" x14ac:dyDescent="0.2">
      <c r="T2492" s="130"/>
      <c r="U2492" s="151"/>
      <c r="X2492" s="170" t="str">
        <f t="shared" si="47"/>
        <v>1w</v>
      </c>
      <c r="Y2492" s="168">
        <f>_xll.qlCalendarAdvance(LiborCalendar,Y2491,X2492,"f",FALSE)</f>
        <v>56626</v>
      </c>
      <c r="Z2492" s="171">
        <f>_xll.qlInterestRateIndexValueDate(IborIndex,Y2492,Trigger)</f>
        <v>56628</v>
      </c>
      <c r="AA2492" s="172" t="e">
        <v>#N/A</v>
      </c>
      <c r="AB2492" s="169" t="e">
        <v>#N/A</v>
      </c>
    </row>
    <row r="2493" spans="20:28" x14ac:dyDescent="0.2">
      <c r="T2493" s="130"/>
      <c r="U2493" s="151"/>
      <c r="X2493" s="170" t="str">
        <f t="shared" si="47"/>
        <v>1w</v>
      </c>
      <c r="Y2493" s="168">
        <f>_xll.qlCalendarAdvance(LiborCalendar,Y2492,X2493,"f",FALSE)</f>
        <v>56633</v>
      </c>
      <c r="Z2493" s="171">
        <f>_xll.qlInterestRateIndexValueDate(IborIndex,Y2493,Trigger)</f>
        <v>56635</v>
      </c>
      <c r="AA2493" s="172" t="e">
        <v>#N/A</v>
      </c>
      <c r="AB2493" s="169" t="e">
        <v>#N/A</v>
      </c>
    </row>
    <row r="2494" spans="20:28" x14ac:dyDescent="0.2">
      <c r="T2494" s="130"/>
      <c r="U2494" s="151"/>
      <c r="X2494" s="170" t="str">
        <f t="shared" si="47"/>
        <v>1w</v>
      </c>
      <c r="Y2494" s="168">
        <f>_xll.qlCalendarAdvance(LiborCalendar,Y2493,X2494,"f",FALSE)</f>
        <v>56640</v>
      </c>
      <c r="Z2494" s="171">
        <f>_xll.qlInterestRateIndexValueDate(IborIndex,Y2494,Trigger)</f>
        <v>56642</v>
      </c>
      <c r="AA2494" s="172" t="e">
        <v>#N/A</v>
      </c>
      <c r="AB2494" s="169" t="e">
        <v>#N/A</v>
      </c>
    </row>
    <row r="2495" spans="20:28" x14ac:dyDescent="0.2">
      <c r="T2495" s="130"/>
      <c r="U2495" s="151"/>
      <c r="X2495" s="170" t="str">
        <f t="shared" si="47"/>
        <v>1w</v>
      </c>
      <c r="Y2495" s="168">
        <f>_xll.qlCalendarAdvance(LiborCalendar,Y2494,X2495,"f",FALSE)</f>
        <v>56647</v>
      </c>
      <c r="Z2495" s="171">
        <f>_xll.qlInterestRateIndexValueDate(IborIndex,Y2495,Trigger)</f>
        <v>56649</v>
      </c>
      <c r="AA2495" s="172" t="e">
        <v>#N/A</v>
      </c>
      <c r="AB2495" s="169" t="e">
        <v>#N/A</v>
      </c>
    </row>
    <row r="2496" spans="20:28" x14ac:dyDescent="0.2">
      <c r="T2496" s="130"/>
      <c r="U2496" s="151"/>
      <c r="X2496" s="170" t="str">
        <f t="shared" si="47"/>
        <v>1w</v>
      </c>
      <c r="Y2496" s="168">
        <f>_xll.qlCalendarAdvance(LiborCalendar,Y2495,X2496,"f",FALSE)</f>
        <v>56654</v>
      </c>
      <c r="Z2496" s="171">
        <f>_xll.qlInterestRateIndexValueDate(IborIndex,Y2496,Trigger)</f>
        <v>56656</v>
      </c>
      <c r="AA2496" s="172" t="e">
        <v>#N/A</v>
      </c>
      <c r="AB2496" s="169" t="e">
        <v>#N/A</v>
      </c>
    </row>
    <row r="2497" spans="20:28" x14ac:dyDescent="0.2">
      <c r="T2497" s="130"/>
      <c r="U2497" s="151"/>
      <c r="X2497" s="170" t="str">
        <f t="shared" si="47"/>
        <v>1w</v>
      </c>
      <c r="Y2497" s="168">
        <f>_xll.qlCalendarAdvance(LiborCalendar,Y2496,X2497,"f",FALSE)</f>
        <v>56661</v>
      </c>
      <c r="Z2497" s="171">
        <f>_xll.qlInterestRateIndexValueDate(IborIndex,Y2497,Trigger)</f>
        <v>56663</v>
      </c>
      <c r="AA2497" s="172" t="e">
        <v>#N/A</v>
      </c>
      <c r="AB2497" s="169" t="e">
        <v>#N/A</v>
      </c>
    </row>
    <row r="2498" spans="20:28" x14ac:dyDescent="0.2">
      <c r="T2498" s="130"/>
      <c r="U2498" s="151"/>
      <c r="X2498" s="170" t="str">
        <f t="shared" si="47"/>
        <v>1w</v>
      </c>
      <c r="Y2498" s="168">
        <f>_xll.qlCalendarAdvance(LiborCalendar,Y2497,X2498,"f",FALSE)</f>
        <v>56668</v>
      </c>
      <c r="Z2498" s="171">
        <f>_xll.qlInterestRateIndexValueDate(IborIndex,Y2498,Trigger)</f>
        <v>56670</v>
      </c>
      <c r="AA2498" s="172" t="e">
        <v>#N/A</v>
      </c>
      <c r="AB2498" s="169" t="e">
        <v>#N/A</v>
      </c>
    </row>
    <row r="2499" spans="20:28" x14ac:dyDescent="0.2">
      <c r="T2499" s="130"/>
      <c r="U2499" s="151"/>
      <c r="X2499" s="170" t="str">
        <f t="shared" si="47"/>
        <v>1w</v>
      </c>
      <c r="Y2499" s="168">
        <f>_xll.qlCalendarAdvance(LiborCalendar,Y2498,X2499,"f",FALSE)</f>
        <v>56675</v>
      </c>
      <c r="Z2499" s="171">
        <f>_xll.qlInterestRateIndexValueDate(IborIndex,Y2499,Trigger)</f>
        <v>56677</v>
      </c>
      <c r="AA2499" s="172" t="e">
        <v>#N/A</v>
      </c>
      <c r="AB2499" s="169" t="e">
        <v>#N/A</v>
      </c>
    </row>
    <row r="2500" spans="20:28" x14ac:dyDescent="0.2">
      <c r="T2500" s="130"/>
      <c r="U2500" s="151"/>
      <c r="X2500" s="170" t="str">
        <f t="shared" si="47"/>
        <v>1w</v>
      </c>
      <c r="Y2500" s="168">
        <f>_xll.qlCalendarAdvance(LiborCalendar,Y2499,X2500,"f",FALSE)</f>
        <v>56682</v>
      </c>
      <c r="Z2500" s="171">
        <f>_xll.qlInterestRateIndexValueDate(IborIndex,Y2500,Trigger)</f>
        <v>56684</v>
      </c>
      <c r="AA2500" s="172" t="e">
        <v>#N/A</v>
      </c>
      <c r="AB2500" s="169" t="e">
        <v>#N/A</v>
      </c>
    </row>
    <row r="2501" spans="20:28" x14ac:dyDescent="0.2">
      <c r="T2501" s="130"/>
      <c r="U2501" s="151"/>
      <c r="X2501" s="170" t="str">
        <f t="shared" si="47"/>
        <v>1w</v>
      </c>
      <c r="Y2501" s="168">
        <f>_xll.qlCalendarAdvance(LiborCalendar,Y2500,X2501,"f",FALSE)</f>
        <v>56689</v>
      </c>
      <c r="Z2501" s="171">
        <f>_xll.qlInterestRateIndexValueDate(IborIndex,Y2501,Trigger)</f>
        <v>56691</v>
      </c>
      <c r="AA2501" s="172" t="e">
        <v>#N/A</v>
      </c>
      <c r="AB2501" s="169" t="e">
        <v>#N/A</v>
      </c>
    </row>
    <row r="2502" spans="20:28" x14ac:dyDescent="0.2">
      <c r="T2502" s="130"/>
      <c r="U2502" s="151"/>
      <c r="X2502" s="170" t="str">
        <f t="shared" si="47"/>
        <v>1w</v>
      </c>
      <c r="Y2502" s="168">
        <f>_xll.qlCalendarAdvance(LiborCalendar,Y2501,X2502,"f",FALSE)</f>
        <v>56696</v>
      </c>
      <c r="Z2502" s="171">
        <f>_xll.qlInterestRateIndexValueDate(IborIndex,Y2502,Trigger)</f>
        <v>56698</v>
      </c>
      <c r="AA2502" s="172" t="e">
        <v>#N/A</v>
      </c>
      <c r="AB2502" s="169" t="e">
        <v>#N/A</v>
      </c>
    </row>
    <row r="2503" spans="20:28" x14ac:dyDescent="0.2">
      <c r="T2503" s="130"/>
      <c r="U2503" s="151"/>
      <c r="X2503" s="170" t="str">
        <f t="shared" si="47"/>
        <v>1w</v>
      </c>
      <c r="Y2503" s="168">
        <f>_xll.qlCalendarAdvance(LiborCalendar,Y2502,X2503,"f",FALSE)</f>
        <v>56703</v>
      </c>
      <c r="Z2503" s="171">
        <f>_xll.qlInterestRateIndexValueDate(IborIndex,Y2503,Trigger)</f>
        <v>56705</v>
      </c>
      <c r="AA2503" s="172" t="e">
        <v>#N/A</v>
      </c>
      <c r="AB2503" s="169" t="e">
        <v>#N/A</v>
      </c>
    </row>
    <row r="2504" spans="20:28" x14ac:dyDescent="0.2">
      <c r="T2504" s="130"/>
      <c r="U2504" s="151"/>
      <c r="X2504" s="170" t="str">
        <f t="shared" si="47"/>
        <v>1w</v>
      </c>
      <c r="Y2504" s="168">
        <f>_xll.qlCalendarAdvance(LiborCalendar,Y2503,X2504,"f",FALSE)</f>
        <v>56710</v>
      </c>
      <c r="Z2504" s="171">
        <f>_xll.qlInterestRateIndexValueDate(IborIndex,Y2504,Trigger)</f>
        <v>56712</v>
      </c>
      <c r="AA2504" s="172" t="e">
        <v>#N/A</v>
      </c>
      <c r="AB2504" s="169" t="e">
        <v>#N/A</v>
      </c>
    </row>
    <row r="2505" spans="20:28" x14ac:dyDescent="0.2">
      <c r="T2505" s="130"/>
      <c r="U2505" s="151"/>
      <c r="X2505" s="170" t="str">
        <f t="shared" si="47"/>
        <v>1w</v>
      </c>
      <c r="Y2505" s="168">
        <f>_xll.qlCalendarAdvance(LiborCalendar,Y2504,X2505,"f",FALSE)</f>
        <v>56717</v>
      </c>
      <c r="Z2505" s="171">
        <f>_xll.qlInterestRateIndexValueDate(IborIndex,Y2505,Trigger)</f>
        <v>56719</v>
      </c>
      <c r="AA2505" s="172" t="e">
        <v>#N/A</v>
      </c>
      <c r="AB2505" s="169" t="e">
        <v>#N/A</v>
      </c>
    </row>
    <row r="2506" spans="20:28" x14ac:dyDescent="0.2">
      <c r="T2506" s="130"/>
      <c r="U2506" s="151"/>
      <c r="X2506" s="170" t="str">
        <f t="shared" si="47"/>
        <v>1w</v>
      </c>
      <c r="Y2506" s="168">
        <f>_xll.qlCalendarAdvance(LiborCalendar,Y2505,X2506,"f",FALSE)</f>
        <v>56724</v>
      </c>
      <c r="Z2506" s="171">
        <f>_xll.qlInterestRateIndexValueDate(IborIndex,Y2506,Trigger)</f>
        <v>56726</v>
      </c>
      <c r="AA2506" s="172" t="e">
        <v>#N/A</v>
      </c>
      <c r="AB2506" s="169" t="e">
        <v>#N/A</v>
      </c>
    </row>
    <row r="2507" spans="20:28" x14ac:dyDescent="0.2">
      <c r="T2507" s="130"/>
      <c r="U2507" s="151"/>
      <c r="X2507" s="170" t="str">
        <f t="shared" si="47"/>
        <v>1w</v>
      </c>
      <c r="Y2507" s="168">
        <f>_xll.qlCalendarAdvance(LiborCalendar,Y2506,X2507,"f",FALSE)</f>
        <v>56731</v>
      </c>
      <c r="Z2507" s="171">
        <f>_xll.qlInterestRateIndexValueDate(IborIndex,Y2507,Trigger)</f>
        <v>56733</v>
      </c>
      <c r="AA2507" s="172" t="e">
        <v>#N/A</v>
      </c>
      <c r="AB2507" s="169" t="e">
        <v>#N/A</v>
      </c>
    </row>
    <row r="2508" spans="20:28" x14ac:dyDescent="0.2">
      <c r="T2508" s="130"/>
      <c r="U2508" s="151"/>
      <c r="X2508" s="170" t="str">
        <f t="shared" si="47"/>
        <v>1w</v>
      </c>
      <c r="Y2508" s="168">
        <f>_xll.qlCalendarAdvance(LiborCalendar,Y2507,X2508,"f",FALSE)</f>
        <v>56738</v>
      </c>
      <c r="Z2508" s="171">
        <f>_xll.qlInterestRateIndexValueDate(IborIndex,Y2508,Trigger)</f>
        <v>56740</v>
      </c>
      <c r="AA2508" s="172" t="e">
        <v>#N/A</v>
      </c>
      <c r="AB2508" s="169" t="e">
        <v>#N/A</v>
      </c>
    </row>
    <row r="2509" spans="20:28" x14ac:dyDescent="0.2">
      <c r="T2509" s="130"/>
      <c r="U2509" s="151"/>
      <c r="X2509" s="170" t="str">
        <f t="shared" si="47"/>
        <v>1w</v>
      </c>
      <c r="Y2509" s="168">
        <f>_xll.qlCalendarAdvance(LiborCalendar,Y2508,X2509,"f",FALSE)</f>
        <v>56745</v>
      </c>
      <c r="Z2509" s="171">
        <f>_xll.qlInterestRateIndexValueDate(IborIndex,Y2509,Trigger)</f>
        <v>56747</v>
      </c>
      <c r="AA2509" s="172" t="e">
        <v>#N/A</v>
      </c>
      <c r="AB2509" s="169" t="e">
        <v>#N/A</v>
      </c>
    </row>
    <row r="2510" spans="20:28" x14ac:dyDescent="0.2">
      <c r="T2510" s="130"/>
      <c r="U2510" s="151"/>
      <c r="X2510" s="170" t="str">
        <f t="shared" si="47"/>
        <v>1w</v>
      </c>
      <c r="Y2510" s="168">
        <f>_xll.qlCalendarAdvance(LiborCalendar,Y2509,X2510,"f",FALSE)</f>
        <v>56752</v>
      </c>
      <c r="Z2510" s="171">
        <f>_xll.qlInterestRateIndexValueDate(IborIndex,Y2510,Trigger)</f>
        <v>56754</v>
      </c>
      <c r="AA2510" s="172" t="e">
        <v>#N/A</v>
      </c>
      <c r="AB2510" s="169" t="e">
        <v>#N/A</v>
      </c>
    </row>
    <row r="2511" spans="20:28" x14ac:dyDescent="0.2">
      <c r="T2511" s="130"/>
      <c r="U2511" s="151"/>
      <c r="X2511" s="170" t="str">
        <f t="shared" si="47"/>
        <v>1w</v>
      </c>
      <c r="Y2511" s="168">
        <f>_xll.qlCalendarAdvance(LiborCalendar,Y2510,X2511,"f",FALSE)</f>
        <v>56759</v>
      </c>
      <c r="Z2511" s="171">
        <f>_xll.qlInterestRateIndexValueDate(IborIndex,Y2511,Trigger)</f>
        <v>56762</v>
      </c>
      <c r="AA2511" s="172" t="e">
        <v>#N/A</v>
      </c>
      <c r="AB2511" s="169" t="e">
        <v>#N/A</v>
      </c>
    </row>
    <row r="2512" spans="20:28" x14ac:dyDescent="0.2">
      <c r="T2512" s="130"/>
      <c r="U2512" s="151"/>
      <c r="X2512" s="170" t="str">
        <f t="shared" si="47"/>
        <v>1w</v>
      </c>
      <c r="Y2512" s="168">
        <f>_xll.qlCalendarAdvance(LiborCalendar,Y2511,X2512,"f",FALSE)</f>
        <v>56766</v>
      </c>
      <c r="Z2512" s="171">
        <f>_xll.qlInterestRateIndexValueDate(IborIndex,Y2512,Trigger)</f>
        <v>56768</v>
      </c>
      <c r="AA2512" s="172" t="e">
        <v>#N/A</v>
      </c>
      <c r="AB2512" s="169" t="e">
        <v>#N/A</v>
      </c>
    </row>
    <row r="2513" spans="20:28" x14ac:dyDescent="0.2">
      <c r="T2513" s="130"/>
      <c r="U2513" s="151"/>
      <c r="X2513" s="170" t="str">
        <f t="shared" si="47"/>
        <v>1w</v>
      </c>
      <c r="Y2513" s="168">
        <f>_xll.qlCalendarAdvance(LiborCalendar,Y2512,X2513,"f",FALSE)</f>
        <v>56773</v>
      </c>
      <c r="Z2513" s="171">
        <f>_xll.qlInterestRateIndexValueDate(IborIndex,Y2513,Trigger)</f>
        <v>56775</v>
      </c>
      <c r="AA2513" s="172" t="e">
        <v>#N/A</v>
      </c>
      <c r="AB2513" s="169" t="e">
        <v>#N/A</v>
      </c>
    </row>
    <row r="2514" spans="20:28" x14ac:dyDescent="0.2">
      <c r="T2514" s="130"/>
      <c r="U2514" s="151"/>
      <c r="X2514" s="170" t="str">
        <f t="shared" si="47"/>
        <v>1w</v>
      </c>
      <c r="Y2514" s="168">
        <f>_xll.qlCalendarAdvance(LiborCalendar,Y2513,X2514,"f",FALSE)</f>
        <v>56780</v>
      </c>
      <c r="Z2514" s="171">
        <f>_xll.qlInterestRateIndexValueDate(IborIndex,Y2514,Trigger)</f>
        <v>56782</v>
      </c>
      <c r="AA2514" s="172" t="e">
        <v>#N/A</v>
      </c>
      <c r="AB2514" s="169" t="e">
        <v>#N/A</v>
      </c>
    </row>
    <row r="2515" spans="20:28" x14ac:dyDescent="0.2">
      <c r="T2515" s="130"/>
      <c r="U2515" s="151"/>
      <c r="X2515" s="170" t="str">
        <f t="shared" si="47"/>
        <v>1w</v>
      </c>
      <c r="Y2515" s="168">
        <f>_xll.qlCalendarAdvance(LiborCalendar,Y2514,X2515,"f",FALSE)</f>
        <v>56787</v>
      </c>
      <c r="Z2515" s="171">
        <f>_xll.qlInterestRateIndexValueDate(IborIndex,Y2515,Trigger)</f>
        <v>56789</v>
      </c>
      <c r="AA2515" s="172" t="e">
        <v>#N/A</v>
      </c>
      <c r="AB2515" s="169" t="e">
        <v>#N/A</v>
      </c>
    </row>
    <row r="2516" spans="20:28" x14ac:dyDescent="0.2">
      <c r="T2516" s="130"/>
      <c r="U2516" s="151"/>
      <c r="X2516" s="170" t="str">
        <f t="shared" si="47"/>
        <v>1w</v>
      </c>
      <c r="Y2516" s="168">
        <f>_xll.qlCalendarAdvance(LiborCalendar,Y2515,X2516,"f",FALSE)</f>
        <v>56794</v>
      </c>
      <c r="Z2516" s="171">
        <f>_xll.qlInterestRateIndexValueDate(IborIndex,Y2516,Trigger)</f>
        <v>56796</v>
      </c>
      <c r="AA2516" s="172" t="e">
        <v>#N/A</v>
      </c>
      <c r="AB2516" s="169" t="e">
        <v>#N/A</v>
      </c>
    </row>
    <row r="2517" spans="20:28" x14ac:dyDescent="0.2">
      <c r="T2517" s="130"/>
      <c r="U2517" s="151"/>
      <c r="X2517" s="170" t="str">
        <f t="shared" ref="X2517:X2580" si="48">X2516</f>
        <v>1w</v>
      </c>
      <c r="Y2517" s="168">
        <f>_xll.qlCalendarAdvance(LiborCalendar,Y2516,X2517,"f",FALSE)</f>
        <v>56801</v>
      </c>
      <c r="Z2517" s="171">
        <f>_xll.qlInterestRateIndexValueDate(IborIndex,Y2517,Trigger)</f>
        <v>56803</v>
      </c>
      <c r="AA2517" s="172" t="e">
        <v>#N/A</v>
      </c>
      <c r="AB2517" s="169" t="e">
        <v>#N/A</v>
      </c>
    </row>
    <row r="2518" spans="20:28" x14ac:dyDescent="0.2">
      <c r="T2518" s="130"/>
      <c r="U2518" s="151"/>
      <c r="X2518" s="170" t="str">
        <f t="shared" si="48"/>
        <v>1w</v>
      </c>
      <c r="Y2518" s="168">
        <f>_xll.qlCalendarAdvance(LiborCalendar,Y2517,X2518,"f",FALSE)</f>
        <v>56808</v>
      </c>
      <c r="Z2518" s="171">
        <f>_xll.qlInterestRateIndexValueDate(IborIndex,Y2518,Trigger)</f>
        <v>56810</v>
      </c>
      <c r="AA2518" s="172" t="e">
        <v>#N/A</v>
      </c>
      <c r="AB2518" s="169" t="e">
        <v>#N/A</v>
      </c>
    </row>
    <row r="2519" spans="20:28" x14ac:dyDescent="0.2">
      <c r="T2519" s="130"/>
      <c r="U2519" s="151"/>
      <c r="X2519" s="170" t="str">
        <f t="shared" si="48"/>
        <v>1w</v>
      </c>
      <c r="Y2519" s="168">
        <f>_xll.qlCalendarAdvance(LiborCalendar,Y2518,X2519,"f",FALSE)</f>
        <v>56815</v>
      </c>
      <c r="Z2519" s="171">
        <f>_xll.qlInterestRateIndexValueDate(IborIndex,Y2519,Trigger)</f>
        <v>56817</v>
      </c>
      <c r="AA2519" s="172" t="e">
        <v>#N/A</v>
      </c>
      <c r="AB2519" s="169" t="e">
        <v>#N/A</v>
      </c>
    </row>
    <row r="2520" spans="20:28" x14ac:dyDescent="0.2">
      <c r="T2520" s="130"/>
      <c r="U2520" s="151"/>
      <c r="X2520" s="170" t="str">
        <f t="shared" si="48"/>
        <v>1w</v>
      </c>
      <c r="Y2520" s="168">
        <f>_xll.qlCalendarAdvance(LiborCalendar,Y2519,X2520,"f",FALSE)</f>
        <v>56822</v>
      </c>
      <c r="Z2520" s="171">
        <f>_xll.qlInterestRateIndexValueDate(IborIndex,Y2520,Trigger)</f>
        <v>56824</v>
      </c>
      <c r="AA2520" s="172" t="e">
        <v>#N/A</v>
      </c>
      <c r="AB2520" s="169" t="e">
        <v>#N/A</v>
      </c>
    </row>
    <row r="2521" spans="20:28" x14ac:dyDescent="0.2">
      <c r="T2521" s="130"/>
      <c r="U2521" s="151"/>
      <c r="X2521" s="170" t="str">
        <f t="shared" si="48"/>
        <v>1w</v>
      </c>
      <c r="Y2521" s="168">
        <f>_xll.qlCalendarAdvance(LiborCalendar,Y2520,X2521,"f",FALSE)</f>
        <v>56829</v>
      </c>
      <c r="Z2521" s="171">
        <f>_xll.qlInterestRateIndexValueDate(IborIndex,Y2521,Trigger)</f>
        <v>56831</v>
      </c>
      <c r="AA2521" s="172" t="e">
        <v>#N/A</v>
      </c>
      <c r="AB2521" s="169" t="e">
        <v>#N/A</v>
      </c>
    </row>
    <row r="2522" spans="20:28" x14ac:dyDescent="0.2">
      <c r="T2522" s="130"/>
      <c r="U2522" s="151"/>
      <c r="X2522" s="170" t="str">
        <f t="shared" si="48"/>
        <v>1w</v>
      </c>
      <c r="Y2522" s="168">
        <f>_xll.qlCalendarAdvance(LiborCalendar,Y2521,X2522,"f",FALSE)</f>
        <v>56836</v>
      </c>
      <c r="Z2522" s="171">
        <f>_xll.qlInterestRateIndexValueDate(IborIndex,Y2522,Trigger)</f>
        <v>56838</v>
      </c>
      <c r="AA2522" s="172" t="e">
        <v>#N/A</v>
      </c>
      <c r="AB2522" s="169" t="e">
        <v>#N/A</v>
      </c>
    </row>
    <row r="2523" spans="20:28" x14ac:dyDescent="0.2">
      <c r="T2523" s="130"/>
      <c r="U2523" s="151"/>
      <c r="X2523" s="170" t="str">
        <f t="shared" si="48"/>
        <v>1w</v>
      </c>
      <c r="Y2523" s="168">
        <f>_xll.qlCalendarAdvance(LiborCalendar,Y2522,X2523,"f",FALSE)</f>
        <v>56843</v>
      </c>
      <c r="Z2523" s="171">
        <f>_xll.qlInterestRateIndexValueDate(IborIndex,Y2523,Trigger)</f>
        <v>56845</v>
      </c>
      <c r="AA2523" s="172" t="e">
        <v>#N/A</v>
      </c>
      <c r="AB2523" s="169" t="e">
        <v>#N/A</v>
      </c>
    </row>
    <row r="2524" spans="20:28" x14ac:dyDescent="0.2">
      <c r="T2524" s="130"/>
      <c r="U2524" s="151"/>
      <c r="X2524" s="170" t="str">
        <f t="shared" si="48"/>
        <v>1w</v>
      </c>
      <c r="Y2524" s="168">
        <f>_xll.qlCalendarAdvance(LiborCalendar,Y2523,X2524,"f",FALSE)</f>
        <v>56850</v>
      </c>
      <c r="Z2524" s="171">
        <f>_xll.qlInterestRateIndexValueDate(IborIndex,Y2524,Trigger)</f>
        <v>56852</v>
      </c>
      <c r="AA2524" s="172" t="e">
        <v>#N/A</v>
      </c>
      <c r="AB2524" s="169" t="e">
        <v>#N/A</v>
      </c>
    </row>
    <row r="2525" spans="20:28" x14ac:dyDescent="0.2">
      <c r="T2525" s="130"/>
      <c r="U2525" s="151"/>
      <c r="X2525" s="170" t="str">
        <f t="shared" si="48"/>
        <v>1w</v>
      </c>
      <c r="Y2525" s="168">
        <f>_xll.qlCalendarAdvance(LiborCalendar,Y2524,X2525,"f",FALSE)</f>
        <v>56857</v>
      </c>
      <c r="Z2525" s="171">
        <f>_xll.qlInterestRateIndexValueDate(IborIndex,Y2525,Trigger)</f>
        <v>56859</v>
      </c>
      <c r="AA2525" s="172" t="e">
        <v>#N/A</v>
      </c>
      <c r="AB2525" s="169" t="e">
        <v>#N/A</v>
      </c>
    </row>
    <row r="2526" spans="20:28" x14ac:dyDescent="0.2">
      <c r="T2526" s="130"/>
      <c r="U2526" s="151"/>
      <c r="X2526" s="170" t="str">
        <f t="shared" si="48"/>
        <v>1w</v>
      </c>
      <c r="Y2526" s="168">
        <f>_xll.qlCalendarAdvance(LiborCalendar,Y2525,X2526,"f",FALSE)</f>
        <v>56864</v>
      </c>
      <c r="Z2526" s="171">
        <f>_xll.qlInterestRateIndexValueDate(IborIndex,Y2526,Trigger)</f>
        <v>56866</v>
      </c>
      <c r="AA2526" s="172" t="e">
        <v>#N/A</v>
      </c>
      <c r="AB2526" s="169" t="e">
        <v>#N/A</v>
      </c>
    </row>
    <row r="2527" spans="20:28" x14ac:dyDescent="0.2">
      <c r="T2527" s="130"/>
      <c r="U2527" s="151"/>
      <c r="X2527" s="170" t="str">
        <f t="shared" si="48"/>
        <v>1w</v>
      </c>
      <c r="Y2527" s="168">
        <f>_xll.qlCalendarAdvance(LiborCalendar,Y2526,X2527,"f",FALSE)</f>
        <v>56871</v>
      </c>
      <c r="Z2527" s="171">
        <f>_xll.qlInterestRateIndexValueDate(IborIndex,Y2527,Trigger)</f>
        <v>56873</v>
      </c>
      <c r="AA2527" s="172" t="e">
        <v>#N/A</v>
      </c>
      <c r="AB2527" s="169" t="e">
        <v>#N/A</v>
      </c>
    </row>
    <row r="2528" spans="20:28" x14ac:dyDescent="0.2">
      <c r="T2528" s="130"/>
      <c r="U2528" s="151"/>
      <c r="X2528" s="170" t="str">
        <f t="shared" si="48"/>
        <v>1w</v>
      </c>
      <c r="Y2528" s="168">
        <f>_xll.qlCalendarAdvance(LiborCalendar,Y2527,X2528,"f",FALSE)</f>
        <v>56878</v>
      </c>
      <c r="Z2528" s="171">
        <f>_xll.qlInterestRateIndexValueDate(IborIndex,Y2528,Trigger)</f>
        <v>56880</v>
      </c>
      <c r="AA2528" s="172" t="e">
        <v>#N/A</v>
      </c>
      <c r="AB2528" s="169" t="e">
        <v>#N/A</v>
      </c>
    </row>
    <row r="2529" spans="20:28" x14ac:dyDescent="0.2">
      <c r="T2529" s="130"/>
      <c r="U2529" s="151"/>
      <c r="X2529" s="170" t="str">
        <f t="shared" si="48"/>
        <v>1w</v>
      </c>
      <c r="Y2529" s="168">
        <f>_xll.qlCalendarAdvance(LiborCalendar,Y2528,X2529,"f",FALSE)</f>
        <v>56885</v>
      </c>
      <c r="Z2529" s="171">
        <f>_xll.qlInterestRateIndexValueDate(IborIndex,Y2529,Trigger)</f>
        <v>56887</v>
      </c>
      <c r="AA2529" s="172" t="e">
        <v>#N/A</v>
      </c>
      <c r="AB2529" s="169" t="e">
        <v>#N/A</v>
      </c>
    </row>
    <row r="2530" spans="20:28" x14ac:dyDescent="0.2">
      <c r="T2530" s="130"/>
      <c r="U2530" s="151"/>
      <c r="X2530" s="170" t="str">
        <f t="shared" si="48"/>
        <v>1w</v>
      </c>
      <c r="Y2530" s="168">
        <f>_xll.qlCalendarAdvance(LiborCalendar,Y2529,X2530,"f",FALSE)</f>
        <v>56892</v>
      </c>
      <c r="Z2530" s="171">
        <f>_xll.qlInterestRateIndexValueDate(IborIndex,Y2530,Trigger)</f>
        <v>56894</v>
      </c>
      <c r="AA2530" s="172" t="e">
        <v>#N/A</v>
      </c>
      <c r="AB2530" s="169" t="e">
        <v>#N/A</v>
      </c>
    </row>
    <row r="2531" spans="20:28" x14ac:dyDescent="0.2">
      <c r="T2531" s="130"/>
      <c r="U2531" s="151"/>
      <c r="X2531" s="170" t="str">
        <f t="shared" si="48"/>
        <v>1w</v>
      </c>
      <c r="Y2531" s="168">
        <f>_xll.qlCalendarAdvance(LiborCalendar,Y2530,X2531,"f",FALSE)</f>
        <v>56899</v>
      </c>
      <c r="Z2531" s="171">
        <f>_xll.qlInterestRateIndexValueDate(IborIndex,Y2531,Trigger)</f>
        <v>56901</v>
      </c>
      <c r="AA2531" s="172" t="e">
        <v>#N/A</v>
      </c>
      <c r="AB2531" s="169" t="e">
        <v>#N/A</v>
      </c>
    </row>
    <row r="2532" spans="20:28" x14ac:dyDescent="0.2">
      <c r="T2532" s="130"/>
      <c r="U2532" s="151"/>
      <c r="X2532" s="170" t="str">
        <f t="shared" si="48"/>
        <v>1w</v>
      </c>
      <c r="Y2532" s="168">
        <f>_xll.qlCalendarAdvance(LiborCalendar,Y2531,X2532,"f",FALSE)</f>
        <v>56906</v>
      </c>
      <c r="Z2532" s="171">
        <f>_xll.qlInterestRateIndexValueDate(IborIndex,Y2532,Trigger)</f>
        <v>56908</v>
      </c>
      <c r="AA2532" s="172" t="e">
        <v>#N/A</v>
      </c>
      <c r="AB2532" s="169" t="e">
        <v>#N/A</v>
      </c>
    </row>
    <row r="2533" spans="20:28" x14ac:dyDescent="0.2">
      <c r="T2533" s="130"/>
      <c r="U2533" s="151"/>
      <c r="X2533" s="170" t="str">
        <f t="shared" si="48"/>
        <v>1w</v>
      </c>
      <c r="Y2533" s="168">
        <f>_xll.qlCalendarAdvance(LiborCalendar,Y2532,X2533,"f",FALSE)</f>
        <v>56913</v>
      </c>
      <c r="Z2533" s="171">
        <f>_xll.qlInterestRateIndexValueDate(IborIndex,Y2533,Trigger)</f>
        <v>56915</v>
      </c>
      <c r="AA2533" s="172" t="e">
        <v>#N/A</v>
      </c>
      <c r="AB2533" s="169" t="e">
        <v>#N/A</v>
      </c>
    </row>
    <row r="2534" spans="20:28" x14ac:dyDescent="0.2">
      <c r="T2534" s="130"/>
      <c r="U2534" s="151"/>
      <c r="X2534" s="170" t="str">
        <f t="shared" si="48"/>
        <v>1w</v>
      </c>
      <c r="Y2534" s="168">
        <f>_xll.qlCalendarAdvance(LiborCalendar,Y2533,X2534,"f",FALSE)</f>
        <v>56920</v>
      </c>
      <c r="Z2534" s="171">
        <f>_xll.qlInterestRateIndexValueDate(IborIndex,Y2534,Trigger)</f>
        <v>56922</v>
      </c>
      <c r="AA2534" s="172" t="e">
        <v>#N/A</v>
      </c>
      <c r="AB2534" s="169" t="e">
        <v>#N/A</v>
      </c>
    </row>
    <row r="2535" spans="20:28" x14ac:dyDescent="0.2">
      <c r="T2535" s="130"/>
      <c r="U2535" s="151"/>
      <c r="X2535" s="170" t="str">
        <f t="shared" si="48"/>
        <v>1w</v>
      </c>
      <c r="Y2535" s="168">
        <f>_xll.qlCalendarAdvance(LiborCalendar,Y2534,X2535,"f",FALSE)</f>
        <v>56927</v>
      </c>
      <c r="Z2535" s="171">
        <f>_xll.qlInterestRateIndexValueDate(IborIndex,Y2535,Trigger)</f>
        <v>56929</v>
      </c>
      <c r="AA2535" s="172" t="e">
        <v>#N/A</v>
      </c>
      <c r="AB2535" s="169" t="e">
        <v>#N/A</v>
      </c>
    </row>
    <row r="2536" spans="20:28" x14ac:dyDescent="0.2">
      <c r="T2536" s="130"/>
      <c r="U2536" s="151"/>
      <c r="X2536" s="170" t="str">
        <f t="shared" si="48"/>
        <v>1w</v>
      </c>
      <c r="Y2536" s="168">
        <f>_xll.qlCalendarAdvance(LiborCalendar,Y2535,X2536,"f",FALSE)</f>
        <v>56934</v>
      </c>
      <c r="Z2536" s="171">
        <f>_xll.qlInterestRateIndexValueDate(IborIndex,Y2536,Trigger)</f>
        <v>56936</v>
      </c>
      <c r="AA2536" s="172" t="e">
        <v>#N/A</v>
      </c>
      <c r="AB2536" s="169" t="e">
        <v>#N/A</v>
      </c>
    </row>
    <row r="2537" spans="20:28" x14ac:dyDescent="0.2">
      <c r="T2537" s="130"/>
      <c r="U2537" s="151"/>
      <c r="X2537" s="170" t="str">
        <f t="shared" si="48"/>
        <v>1w</v>
      </c>
      <c r="Y2537" s="168">
        <f>_xll.qlCalendarAdvance(LiborCalendar,Y2536,X2537,"f",FALSE)</f>
        <v>56941</v>
      </c>
      <c r="Z2537" s="171">
        <f>_xll.qlInterestRateIndexValueDate(IborIndex,Y2537,Trigger)</f>
        <v>56943</v>
      </c>
      <c r="AA2537" s="172" t="e">
        <v>#N/A</v>
      </c>
      <c r="AB2537" s="169" t="e">
        <v>#N/A</v>
      </c>
    </row>
    <row r="2538" spans="20:28" x14ac:dyDescent="0.2">
      <c r="T2538" s="130"/>
      <c r="U2538" s="151"/>
      <c r="X2538" s="170" t="str">
        <f t="shared" si="48"/>
        <v>1w</v>
      </c>
      <c r="Y2538" s="168">
        <f>_xll.qlCalendarAdvance(LiborCalendar,Y2537,X2538,"f",FALSE)</f>
        <v>56948</v>
      </c>
      <c r="Z2538" s="171">
        <f>_xll.qlInterestRateIndexValueDate(IborIndex,Y2538,Trigger)</f>
        <v>56950</v>
      </c>
      <c r="AA2538" s="172" t="e">
        <v>#N/A</v>
      </c>
      <c r="AB2538" s="169" t="e">
        <v>#N/A</v>
      </c>
    </row>
    <row r="2539" spans="20:28" x14ac:dyDescent="0.2">
      <c r="T2539" s="130"/>
      <c r="U2539" s="151"/>
      <c r="X2539" s="170" t="str">
        <f t="shared" si="48"/>
        <v>1w</v>
      </c>
      <c r="Y2539" s="168">
        <f>_xll.qlCalendarAdvance(LiborCalendar,Y2538,X2539,"f",FALSE)</f>
        <v>56955</v>
      </c>
      <c r="Z2539" s="171">
        <f>_xll.qlInterestRateIndexValueDate(IborIndex,Y2539,Trigger)</f>
        <v>56957</v>
      </c>
      <c r="AA2539" s="172" t="e">
        <v>#N/A</v>
      </c>
      <c r="AB2539" s="169" t="e">
        <v>#N/A</v>
      </c>
    </row>
    <row r="2540" spans="20:28" x14ac:dyDescent="0.2">
      <c r="T2540" s="130"/>
      <c r="U2540" s="151"/>
      <c r="X2540" s="170" t="str">
        <f t="shared" si="48"/>
        <v>1w</v>
      </c>
      <c r="Y2540" s="168">
        <f>_xll.qlCalendarAdvance(LiborCalendar,Y2539,X2540,"f",FALSE)</f>
        <v>56962</v>
      </c>
      <c r="Z2540" s="171">
        <f>_xll.qlInterestRateIndexValueDate(IborIndex,Y2540,Trigger)</f>
        <v>56964</v>
      </c>
      <c r="AA2540" s="172" t="e">
        <v>#N/A</v>
      </c>
      <c r="AB2540" s="169" t="e">
        <v>#N/A</v>
      </c>
    </row>
    <row r="2541" spans="20:28" x14ac:dyDescent="0.2">
      <c r="T2541" s="130"/>
      <c r="U2541" s="151"/>
      <c r="X2541" s="170" t="str">
        <f t="shared" si="48"/>
        <v>1w</v>
      </c>
      <c r="Y2541" s="168">
        <f>_xll.qlCalendarAdvance(LiborCalendar,Y2540,X2541,"f",FALSE)</f>
        <v>56969</v>
      </c>
      <c r="Z2541" s="171">
        <f>_xll.qlInterestRateIndexValueDate(IborIndex,Y2541,Trigger)</f>
        <v>56971</v>
      </c>
      <c r="AA2541" s="172" t="e">
        <v>#N/A</v>
      </c>
      <c r="AB2541" s="169" t="e">
        <v>#N/A</v>
      </c>
    </row>
    <row r="2542" spans="20:28" x14ac:dyDescent="0.2">
      <c r="T2542" s="130"/>
      <c r="U2542" s="151"/>
      <c r="X2542" s="170" t="str">
        <f t="shared" si="48"/>
        <v>1w</v>
      </c>
      <c r="Y2542" s="168">
        <f>_xll.qlCalendarAdvance(LiborCalendar,Y2541,X2542,"f",FALSE)</f>
        <v>56977</v>
      </c>
      <c r="Z2542" s="171">
        <f>_xll.qlInterestRateIndexValueDate(IborIndex,Y2542,Trigger)</f>
        <v>56979</v>
      </c>
      <c r="AA2542" s="172" t="e">
        <v>#N/A</v>
      </c>
      <c r="AB2542" s="169" t="e">
        <v>#N/A</v>
      </c>
    </row>
    <row r="2543" spans="20:28" x14ac:dyDescent="0.2">
      <c r="T2543" s="130"/>
      <c r="U2543" s="151"/>
      <c r="X2543" s="170" t="str">
        <f t="shared" si="48"/>
        <v>1w</v>
      </c>
      <c r="Y2543" s="168">
        <f>_xll.qlCalendarAdvance(LiborCalendar,Y2542,X2543,"f",FALSE)</f>
        <v>56984</v>
      </c>
      <c r="Z2543" s="171">
        <f>_xll.qlInterestRateIndexValueDate(IborIndex,Y2543,Trigger)</f>
        <v>56986</v>
      </c>
      <c r="AA2543" s="172" t="e">
        <v>#N/A</v>
      </c>
      <c r="AB2543" s="169" t="e">
        <v>#N/A</v>
      </c>
    </row>
    <row r="2544" spans="20:28" x14ac:dyDescent="0.2">
      <c r="T2544" s="130"/>
      <c r="U2544" s="151"/>
      <c r="X2544" s="170" t="str">
        <f t="shared" si="48"/>
        <v>1w</v>
      </c>
      <c r="Y2544" s="168">
        <f>_xll.qlCalendarAdvance(LiborCalendar,Y2543,X2544,"f",FALSE)</f>
        <v>56991</v>
      </c>
      <c r="Z2544" s="171">
        <f>_xll.qlInterestRateIndexValueDate(IborIndex,Y2544,Trigger)</f>
        <v>56993</v>
      </c>
      <c r="AA2544" s="172" t="e">
        <v>#N/A</v>
      </c>
      <c r="AB2544" s="169" t="e">
        <v>#N/A</v>
      </c>
    </row>
    <row r="2545" spans="20:28" x14ac:dyDescent="0.2">
      <c r="T2545" s="130"/>
      <c r="U2545" s="151"/>
      <c r="X2545" s="170" t="str">
        <f t="shared" si="48"/>
        <v>1w</v>
      </c>
      <c r="Y2545" s="168">
        <f>_xll.qlCalendarAdvance(LiborCalendar,Y2544,X2545,"f",FALSE)</f>
        <v>56998</v>
      </c>
      <c r="Z2545" s="171">
        <f>_xll.qlInterestRateIndexValueDate(IborIndex,Y2545,Trigger)</f>
        <v>57000</v>
      </c>
      <c r="AA2545" s="172" t="e">
        <v>#N/A</v>
      </c>
      <c r="AB2545" s="169" t="e">
        <v>#N/A</v>
      </c>
    </row>
    <row r="2546" spans="20:28" x14ac:dyDescent="0.2">
      <c r="T2546" s="130"/>
      <c r="U2546" s="151"/>
      <c r="X2546" s="170" t="str">
        <f t="shared" si="48"/>
        <v>1w</v>
      </c>
      <c r="Y2546" s="168">
        <f>_xll.qlCalendarAdvance(LiborCalendar,Y2545,X2546,"f",FALSE)</f>
        <v>57005</v>
      </c>
      <c r="Z2546" s="171">
        <f>_xll.qlInterestRateIndexValueDate(IborIndex,Y2546,Trigger)</f>
        <v>57007</v>
      </c>
      <c r="AA2546" s="172" t="e">
        <v>#N/A</v>
      </c>
      <c r="AB2546" s="169" t="e">
        <v>#N/A</v>
      </c>
    </row>
    <row r="2547" spans="20:28" x14ac:dyDescent="0.2">
      <c r="T2547" s="130"/>
      <c r="U2547" s="151"/>
      <c r="X2547" s="170" t="str">
        <f t="shared" si="48"/>
        <v>1w</v>
      </c>
      <c r="Y2547" s="168">
        <f>_xll.qlCalendarAdvance(LiborCalendar,Y2546,X2547,"f",FALSE)</f>
        <v>57012</v>
      </c>
      <c r="Z2547" s="171">
        <f>_xll.qlInterestRateIndexValueDate(IborIndex,Y2547,Trigger)</f>
        <v>57014</v>
      </c>
      <c r="AA2547" s="172" t="e">
        <v>#N/A</v>
      </c>
      <c r="AB2547" s="169" t="e">
        <v>#N/A</v>
      </c>
    </row>
    <row r="2548" spans="20:28" x14ac:dyDescent="0.2">
      <c r="T2548" s="130"/>
      <c r="U2548" s="151"/>
      <c r="X2548" s="170" t="str">
        <f t="shared" si="48"/>
        <v>1w</v>
      </c>
      <c r="Y2548" s="168">
        <f>_xll.qlCalendarAdvance(LiborCalendar,Y2547,X2548,"f",FALSE)</f>
        <v>57019</v>
      </c>
      <c r="Z2548" s="171">
        <f>_xll.qlInterestRateIndexValueDate(IborIndex,Y2548,Trigger)</f>
        <v>57021</v>
      </c>
      <c r="AA2548" s="172" t="e">
        <v>#N/A</v>
      </c>
      <c r="AB2548" s="169" t="e">
        <v>#N/A</v>
      </c>
    </row>
    <row r="2549" spans="20:28" x14ac:dyDescent="0.2">
      <c r="T2549" s="130"/>
      <c r="U2549" s="151"/>
      <c r="X2549" s="170" t="str">
        <f t="shared" si="48"/>
        <v>1w</v>
      </c>
      <c r="Y2549" s="168">
        <f>_xll.qlCalendarAdvance(LiborCalendar,Y2548,X2549,"f",FALSE)</f>
        <v>57026</v>
      </c>
      <c r="Z2549" s="171">
        <f>_xll.qlInterestRateIndexValueDate(IborIndex,Y2549,Trigger)</f>
        <v>57028</v>
      </c>
      <c r="AA2549" s="172" t="e">
        <v>#N/A</v>
      </c>
      <c r="AB2549" s="169" t="e">
        <v>#N/A</v>
      </c>
    </row>
    <row r="2550" spans="20:28" x14ac:dyDescent="0.2">
      <c r="T2550" s="130"/>
      <c r="U2550" s="151"/>
      <c r="X2550" s="170" t="str">
        <f t="shared" si="48"/>
        <v>1w</v>
      </c>
      <c r="Y2550" s="168">
        <f>_xll.qlCalendarAdvance(LiborCalendar,Y2549,X2550,"f",FALSE)</f>
        <v>57033</v>
      </c>
      <c r="Z2550" s="171">
        <f>_xll.qlInterestRateIndexValueDate(IborIndex,Y2550,Trigger)</f>
        <v>57035</v>
      </c>
      <c r="AA2550" s="172" t="e">
        <v>#N/A</v>
      </c>
      <c r="AB2550" s="169" t="e">
        <v>#N/A</v>
      </c>
    </row>
    <row r="2551" spans="20:28" x14ac:dyDescent="0.2">
      <c r="T2551" s="130"/>
      <c r="U2551" s="151"/>
      <c r="X2551" s="170" t="str">
        <f t="shared" si="48"/>
        <v>1w</v>
      </c>
      <c r="Y2551" s="168">
        <f>_xll.qlCalendarAdvance(LiborCalendar,Y2550,X2551,"f",FALSE)</f>
        <v>57040</v>
      </c>
      <c r="Z2551" s="171">
        <f>_xll.qlInterestRateIndexValueDate(IborIndex,Y2551,Trigger)</f>
        <v>57042</v>
      </c>
      <c r="AA2551" s="172" t="e">
        <v>#N/A</v>
      </c>
      <c r="AB2551" s="169" t="e">
        <v>#N/A</v>
      </c>
    </row>
    <row r="2552" spans="20:28" x14ac:dyDescent="0.2">
      <c r="T2552" s="130"/>
      <c r="U2552" s="151"/>
      <c r="X2552" s="170" t="str">
        <f t="shared" si="48"/>
        <v>1w</v>
      </c>
      <c r="Y2552" s="168">
        <f>_xll.qlCalendarAdvance(LiborCalendar,Y2551,X2552,"f",FALSE)</f>
        <v>57047</v>
      </c>
      <c r="Z2552" s="171">
        <f>_xll.qlInterestRateIndexValueDate(IborIndex,Y2552,Trigger)</f>
        <v>57049</v>
      </c>
      <c r="AA2552" s="172" t="e">
        <v>#N/A</v>
      </c>
      <c r="AB2552" s="169" t="e">
        <v>#N/A</v>
      </c>
    </row>
    <row r="2553" spans="20:28" x14ac:dyDescent="0.2">
      <c r="T2553" s="130"/>
      <c r="U2553" s="151"/>
      <c r="X2553" s="170" t="str">
        <f t="shared" si="48"/>
        <v>1w</v>
      </c>
      <c r="Y2553" s="168">
        <f>_xll.qlCalendarAdvance(LiborCalendar,Y2552,X2553,"f",FALSE)</f>
        <v>57054</v>
      </c>
      <c r="Z2553" s="171">
        <f>_xll.qlInterestRateIndexValueDate(IborIndex,Y2553,Trigger)</f>
        <v>57056</v>
      </c>
      <c r="AA2553" s="172" t="e">
        <v>#N/A</v>
      </c>
      <c r="AB2553" s="169" t="e">
        <v>#N/A</v>
      </c>
    </row>
    <row r="2554" spans="20:28" x14ac:dyDescent="0.2">
      <c r="T2554" s="130"/>
      <c r="U2554" s="151"/>
      <c r="X2554" s="170" t="str">
        <f t="shared" si="48"/>
        <v>1w</v>
      </c>
      <c r="Y2554" s="168">
        <f>_xll.qlCalendarAdvance(LiborCalendar,Y2553,X2554,"f",FALSE)</f>
        <v>57061</v>
      </c>
      <c r="Z2554" s="171">
        <f>_xll.qlInterestRateIndexValueDate(IborIndex,Y2554,Trigger)</f>
        <v>57063</v>
      </c>
      <c r="AA2554" s="172" t="e">
        <v>#N/A</v>
      </c>
      <c r="AB2554" s="169" t="e">
        <v>#N/A</v>
      </c>
    </row>
    <row r="2555" spans="20:28" x14ac:dyDescent="0.2">
      <c r="T2555" s="130"/>
      <c r="U2555" s="151"/>
      <c r="X2555" s="170" t="str">
        <f t="shared" si="48"/>
        <v>1w</v>
      </c>
      <c r="Y2555" s="168">
        <f>_xll.qlCalendarAdvance(LiborCalendar,Y2554,X2555,"f",FALSE)</f>
        <v>57068</v>
      </c>
      <c r="Z2555" s="171">
        <f>_xll.qlInterestRateIndexValueDate(IborIndex,Y2555,Trigger)</f>
        <v>57074</v>
      </c>
      <c r="AA2555" s="172" t="e">
        <v>#N/A</v>
      </c>
      <c r="AB2555" s="169" t="e">
        <v>#N/A</v>
      </c>
    </row>
    <row r="2556" spans="20:28" x14ac:dyDescent="0.2">
      <c r="T2556" s="130"/>
      <c r="U2556" s="151"/>
      <c r="X2556" s="170" t="str">
        <f t="shared" si="48"/>
        <v>1w</v>
      </c>
      <c r="Y2556" s="168">
        <f>_xll.qlCalendarAdvance(LiborCalendar,Y2555,X2556,"f",FALSE)</f>
        <v>57075</v>
      </c>
      <c r="Z2556" s="171">
        <f>_xll.qlInterestRateIndexValueDate(IborIndex,Y2556,Trigger)</f>
        <v>57077</v>
      </c>
      <c r="AA2556" s="172" t="e">
        <v>#N/A</v>
      </c>
      <c r="AB2556" s="169" t="e">
        <v>#N/A</v>
      </c>
    </row>
    <row r="2557" spans="20:28" x14ac:dyDescent="0.2">
      <c r="T2557" s="130"/>
      <c r="U2557" s="151"/>
      <c r="X2557" s="170" t="str">
        <f t="shared" si="48"/>
        <v>1w</v>
      </c>
      <c r="Y2557" s="168">
        <f>_xll.qlCalendarAdvance(LiborCalendar,Y2556,X2557,"f",FALSE)</f>
        <v>57082</v>
      </c>
      <c r="Z2557" s="171">
        <f>_xll.qlInterestRateIndexValueDate(IborIndex,Y2557,Trigger)</f>
        <v>57084</v>
      </c>
      <c r="AA2557" s="172" t="e">
        <v>#N/A</v>
      </c>
      <c r="AB2557" s="169" t="e">
        <v>#N/A</v>
      </c>
    </row>
    <row r="2558" spans="20:28" x14ac:dyDescent="0.2">
      <c r="T2558" s="130"/>
      <c r="U2558" s="151"/>
      <c r="X2558" s="170" t="str">
        <f t="shared" si="48"/>
        <v>1w</v>
      </c>
      <c r="Y2558" s="168">
        <f>_xll.qlCalendarAdvance(LiborCalendar,Y2557,X2558,"f",FALSE)</f>
        <v>57089</v>
      </c>
      <c r="Z2558" s="171">
        <f>_xll.qlInterestRateIndexValueDate(IborIndex,Y2558,Trigger)</f>
        <v>57091</v>
      </c>
      <c r="AA2558" s="172" t="e">
        <v>#N/A</v>
      </c>
      <c r="AB2558" s="169" t="e">
        <v>#N/A</v>
      </c>
    </row>
    <row r="2559" spans="20:28" x14ac:dyDescent="0.2">
      <c r="T2559" s="130"/>
      <c r="U2559" s="151"/>
      <c r="X2559" s="170" t="str">
        <f t="shared" si="48"/>
        <v>1w</v>
      </c>
      <c r="Y2559" s="168">
        <f>_xll.qlCalendarAdvance(LiborCalendar,Y2558,X2559,"f",FALSE)</f>
        <v>57096</v>
      </c>
      <c r="Z2559" s="171">
        <f>_xll.qlInterestRateIndexValueDate(IborIndex,Y2559,Trigger)</f>
        <v>57098</v>
      </c>
      <c r="AA2559" s="172" t="e">
        <v>#N/A</v>
      </c>
      <c r="AB2559" s="169" t="e">
        <v>#N/A</v>
      </c>
    </row>
    <row r="2560" spans="20:28" x14ac:dyDescent="0.2">
      <c r="T2560" s="130"/>
      <c r="U2560" s="151"/>
      <c r="X2560" s="170" t="str">
        <f t="shared" si="48"/>
        <v>1w</v>
      </c>
      <c r="Y2560" s="168">
        <f>_xll.qlCalendarAdvance(LiborCalendar,Y2559,X2560,"f",FALSE)</f>
        <v>57103</v>
      </c>
      <c r="Z2560" s="171">
        <f>_xll.qlInterestRateIndexValueDate(IborIndex,Y2560,Trigger)</f>
        <v>57105</v>
      </c>
      <c r="AA2560" s="172" t="e">
        <v>#N/A</v>
      </c>
      <c r="AB2560" s="169" t="e">
        <v>#N/A</v>
      </c>
    </row>
    <row r="2561" spans="20:28" x14ac:dyDescent="0.2">
      <c r="T2561" s="130"/>
      <c r="U2561" s="151"/>
      <c r="X2561" s="170" t="str">
        <f t="shared" si="48"/>
        <v>1w</v>
      </c>
      <c r="Y2561" s="168">
        <f>_xll.qlCalendarAdvance(LiborCalendar,Y2560,X2561,"f",FALSE)</f>
        <v>57110</v>
      </c>
      <c r="Z2561" s="171">
        <f>_xll.qlInterestRateIndexValueDate(IborIndex,Y2561,Trigger)</f>
        <v>57112</v>
      </c>
      <c r="AA2561" s="172" t="e">
        <v>#N/A</v>
      </c>
      <c r="AB2561" s="169" t="e">
        <v>#N/A</v>
      </c>
    </row>
    <row r="2562" spans="20:28" x14ac:dyDescent="0.2">
      <c r="T2562" s="130"/>
      <c r="U2562" s="151"/>
      <c r="X2562" s="170" t="str">
        <f t="shared" si="48"/>
        <v>1w</v>
      </c>
      <c r="Y2562" s="168">
        <f>_xll.qlCalendarAdvance(LiborCalendar,Y2561,X2562,"f",FALSE)</f>
        <v>57117</v>
      </c>
      <c r="Z2562" s="171">
        <f>_xll.qlInterestRateIndexValueDate(IborIndex,Y2562,Trigger)</f>
        <v>57119</v>
      </c>
      <c r="AA2562" s="172" t="e">
        <v>#N/A</v>
      </c>
      <c r="AB2562" s="169" t="e">
        <v>#N/A</v>
      </c>
    </row>
    <row r="2563" spans="20:28" x14ac:dyDescent="0.2">
      <c r="T2563" s="130"/>
      <c r="U2563" s="151"/>
      <c r="X2563" s="170" t="str">
        <f t="shared" si="48"/>
        <v>1w</v>
      </c>
      <c r="Y2563" s="168">
        <f>_xll.qlCalendarAdvance(LiborCalendar,Y2562,X2563,"f",FALSE)</f>
        <v>57124</v>
      </c>
      <c r="Z2563" s="171">
        <f>_xll.qlInterestRateIndexValueDate(IborIndex,Y2563,Trigger)</f>
        <v>57126</v>
      </c>
      <c r="AA2563" s="172" t="e">
        <v>#N/A</v>
      </c>
      <c r="AB2563" s="169" t="e">
        <v>#N/A</v>
      </c>
    </row>
    <row r="2564" spans="20:28" x14ac:dyDescent="0.2">
      <c r="T2564" s="130"/>
      <c r="U2564" s="151"/>
      <c r="X2564" s="170" t="str">
        <f t="shared" si="48"/>
        <v>1w</v>
      </c>
      <c r="Y2564" s="168">
        <f>_xll.qlCalendarAdvance(LiborCalendar,Y2563,X2564,"f",FALSE)</f>
        <v>57131</v>
      </c>
      <c r="Z2564" s="171">
        <f>_xll.qlInterestRateIndexValueDate(IborIndex,Y2564,Trigger)</f>
        <v>57133</v>
      </c>
      <c r="AA2564" s="172" t="e">
        <v>#N/A</v>
      </c>
      <c r="AB2564" s="169" t="e">
        <v>#N/A</v>
      </c>
    </row>
    <row r="2565" spans="20:28" x14ac:dyDescent="0.2">
      <c r="T2565" s="130"/>
      <c r="U2565" s="151"/>
      <c r="X2565" s="170" t="str">
        <f t="shared" si="48"/>
        <v>1w</v>
      </c>
      <c r="Y2565" s="168">
        <f>_xll.qlCalendarAdvance(LiborCalendar,Y2564,X2565,"f",FALSE)</f>
        <v>57138</v>
      </c>
      <c r="Z2565" s="171">
        <f>_xll.qlInterestRateIndexValueDate(IborIndex,Y2565,Trigger)</f>
        <v>57140</v>
      </c>
      <c r="AA2565" s="172" t="e">
        <v>#N/A</v>
      </c>
      <c r="AB2565" s="169" t="e">
        <v>#N/A</v>
      </c>
    </row>
    <row r="2566" spans="20:28" x14ac:dyDescent="0.2">
      <c r="T2566" s="130"/>
      <c r="U2566" s="151"/>
      <c r="X2566" s="170" t="str">
        <f t="shared" si="48"/>
        <v>1w</v>
      </c>
      <c r="Y2566" s="168">
        <f>_xll.qlCalendarAdvance(LiborCalendar,Y2565,X2566,"f",FALSE)</f>
        <v>57145</v>
      </c>
      <c r="Z2566" s="171">
        <f>_xll.qlInterestRateIndexValueDate(IborIndex,Y2566,Trigger)</f>
        <v>57147</v>
      </c>
      <c r="AA2566" s="172" t="e">
        <v>#N/A</v>
      </c>
      <c r="AB2566" s="169" t="e">
        <v>#N/A</v>
      </c>
    </row>
    <row r="2567" spans="20:28" x14ac:dyDescent="0.2">
      <c r="T2567" s="130"/>
      <c r="U2567" s="151"/>
      <c r="X2567" s="170" t="str">
        <f t="shared" si="48"/>
        <v>1w</v>
      </c>
      <c r="Y2567" s="168">
        <f>_xll.qlCalendarAdvance(LiborCalendar,Y2566,X2567,"f",FALSE)</f>
        <v>57152</v>
      </c>
      <c r="Z2567" s="171">
        <f>_xll.qlInterestRateIndexValueDate(IborIndex,Y2567,Trigger)</f>
        <v>57154</v>
      </c>
      <c r="AA2567" s="172" t="e">
        <v>#N/A</v>
      </c>
      <c r="AB2567" s="169" t="e">
        <v>#N/A</v>
      </c>
    </row>
    <row r="2568" spans="20:28" x14ac:dyDescent="0.2">
      <c r="T2568" s="130"/>
      <c r="U2568" s="151"/>
      <c r="X2568" s="170" t="str">
        <f t="shared" si="48"/>
        <v>1w</v>
      </c>
      <c r="Y2568" s="168">
        <f>_xll.qlCalendarAdvance(LiborCalendar,Y2567,X2568,"f",FALSE)</f>
        <v>57159</v>
      </c>
      <c r="Z2568" s="171">
        <f>_xll.qlInterestRateIndexValueDate(IborIndex,Y2568,Trigger)</f>
        <v>57161</v>
      </c>
      <c r="AA2568" s="172" t="e">
        <v>#N/A</v>
      </c>
      <c r="AB2568" s="169" t="e">
        <v>#N/A</v>
      </c>
    </row>
    <row r="2569" spans="20:28" x14ac:dyDescent="0.2">
      <c r="T2569" s="130"/>
      <c r="U2569" s="151"/>
      <c r="X2569" s="170" t="str">
        <f t="shared" si="48"/>
        <v>1w</v>
      </c>
      <c r="Y2569" s="168">
        <f>_xll.qlCalendarAdvance(LiborCalendar,Y2568,X2569,"f",FALSE)</f>
        <v>57166</v>
      </c>
      <c r="Z2569" s="171">
        <f>_xll.qlInterestRateIndexValueDate(IborIndex,Y2569,Trigger)</f>
        <v>57168</v>
      </c>
      <c r="AA2569" s="172" t="e">
        <v>#N/A</v>
      </c>
      <c r="AB2569" s="169" t="e">
        <v>#N/A</v>
      </c>
    </row>
    <row r="2570" spans="20:28" x14ac:dyDescent="0.2">
      <c r="T2570" s="130"/>
      <c r="U2570" s="151"/>
      <c r="X2570" s="170" t="str">
        <f t="shared" si="48"/>
        <v>1w</v>
      </c>
      <c r="Y2570" s="168">
        <f>_xll.qlCalendarAdvance(LiborCalendar,Y2569,X2570,"f",FALSE)</f>
        <v>57173</v>
      </c>
      <c r="Z2570" s="171">
        <f>_xll.qlInterestRateIndexValueDate(IborIndex,Y2570,Trigger)</f>
        <v>57175</v>
      </c>
      <c r="AA2570" s="172" t="e">
        <v>#N/A</v>
      </c>
      <c r="AB2570" s="169" t="e">
        <v>#N/A</v>
      </c>
    </row>
    <row r="2571" spans="20:28" x14ac:dyDescent="0.2">
      <c r="T2571" s="130"/>
      <c r="U2571" s="151"/>
      <c r="X2571" s="170" t="str">
        <f t="shared" si="48"/>
        <v>1w</v>
      </c>
      <c r="Y2571" s="168">
        <f>_xll.qlCalendarAdvance(LiborCalendar,Y2570,X2571,"f",FALSE)</f>
        <v>57180</v>
      </c>
      <c r="Z2571" s="171">
        <f>_xll.qlInterestRateIndexValueDate(IborIndex,Y2571,Trigger)</f>
        <v>57182</v>
      </c>
      <c r="AA2571" s="172" t="e">
        <v>#N/A</v>
      </c>
      <c r="AB2571" s="169" t="e">
        <v>#N/A</v>
      </c>
    </row>
    <row r="2572" spans="20:28" x14ac:dyDescent="0.2">
      <c r="T2572" s="130"/>
      <c r="U2572" s="151"/>
      <c r="X2572" s="170" t="str">
        <f t="shared" si="48"/>
        <v>1w</v>
      </c>
      <c r="Y2572" s="168">
        <f>_xll.qlCalendarAdvance(LiborCalendar,Y2571,X2572,"f",FALSE)</f>
        <v>57187</v>
      </c>
      <c r="Z2572" s="171">
        <f>_xll.qlInterestRateIndexValueDate(IborIndex,Y2572,Trigger)</f>
        <v>57189</v>
      </c>
      <c r="AA2572" s="172" t="e">
        <v>#N/A</v>
      </c>
      <c r="AB2572" s="169" t="e">
        <v>#N/A</v>
      </c>
    </row>
    <row r="2573" spans="20:28" x14ac:dyDescent="0.2">
      <c r="T2573" s="130"/>
      <c r="U2573" s="151"/>
      <c r="X2573" s="170" t="str">
        <f t="shared" si="48"/>
        <v>1w</v>
      </c>
      <c r="Y2573" s="168">
        <f>_xll.qlCalendarAdvance(LiborCalendar,Y2572,X2573,"f",FALSE)</f>
        <v>57194</v>
      </c>
      <c r="Z2573" s="171">
        <f>_xll.qlInterestRateIndexValueDate(IborIndex,Y2573,Trigger)</f>
        <v>57196</v>
      </c>
      <c r="AA2573" s="172" t="e">
        <v>#N/A</v>
      </c>
      <c r="AB2573" s="169" t="e">
        <v>#N/A</v>
      </c>
    </row>
    <row r="2574" spans="20:28" x14ac:dyDescent="0.2">
      <c r="T2574" s="130"/>
      <c r="U2574" s="151"/>
      <c r="X2574" s="170" t="str">
        <f t="shared" si="48"/>
        <v>1w</v>
      </c>
      <c r="Y2574" s="168">
        <f>_xll.qlCalendarAdvance(LiborCalendar,Y2573,X2574,"f",FALSE)</f>
        <v>57201</v>
      </c>
      <c r="Z2574" s="171">
        <f>_xll.qlInterestRateIndexValueDate(IborIndex,Y2574,Trigger)</f>
        <v>57203</v>
      </c>
      <c r="AA2574" s="172" t="e">
        <v>#N/A</v>
      </c>
      <c r="AB2574" s="169" t="e">
        <v>#N/A</v>
      </c>
    </row>
    <row r="2575" spans="20:28" x14ac:dyDescent="0.2">
      <c r="T2575" s="130"/>
      <c r="U2575" s="151"/>
      <c r="X2575" s="170" t="str">
        <f t="shared" si="48"/>
        <v>1w</v>
      </c>
      <c r="Y2575" s="168">
        <f>_xll.qlCalendarAdvance(LiborCalendar,Y2574,X2575,"f",FALSE)</f>
        <v>57208</v>
      </c>
      <c r="Z2575" s="171">
        <f>_xll.qlInterestRateIndexValueDate(IborIndex,Y2575,Trigger)</f>
        <v>57210</v>
      </c>
      <c r="AA2575" s="172" t="e">
        <v>#N/A</v>
      </c>
      <c r="AB2575" s="169" t="e">
        <v>#N/A</v>
      </c>
    </row>
    <row r="2576" spans="20:28" x14ac:dyDescent="0.2">
      <c r="T2576" s="130"/>
      <c r="U2576" s="151"/>
      <c r="X2576" s="170" t="str">
        <f t="shared" si="48"/>
        <v>1w</v>
      </c>
      <c r="Y2576" s="168">
        <f>_xll.qlCalendarAdvance(LiborCalendar,Y2575,X2576,"f",FALSE)</f>
        <v>57215</v>
      </c>
      <c r="Z2576" s="171">
        <f>_xll.qlInterestRateIndexValueDate(IborIndex,Y2576,Trigger)</f>
        <v>57217</v>
      </c>
      <c r="AA2576" s="172" t="e">
        <v>#N/A</v>
      </c>
      <c r="AB2576" s="169" t="e">
        <v>#N/A</v>
      </c>
    </row>
    <row r="2577" spans="20:28" x14ac:dyDescent="0.2">
      <c r="T2577" s="130"/>
      <c r="U2577" s="151"/>
      <c r="X2577" s="170" t="str">
        <f t="shared" si="48"/>
        <v>1w</v>
      </c>
      <c r="Y2577" s="168">
        <f>_xll.qlCalendarAdvance(LiborCalendar,Y2576,X2577,"f",FALSE)</f>
        <v>57222</v>
      </c>
      <c r="Z2577" s="171">
        <f>_xll.qlInterestRateIndexValueDate(IborIndex,Y2577,Trigger)</f>
        <v>57224</v>
      </c>
      <c r="AA2577" s="172" t="e">
        <v>#N/A</v>
      </c>
      <c r="AB2577" s="169" t="e">
        <v>#N/A</v>
      </c>
    </row>
    <row r="2578" spans="20:28" x14ac:dyDescent="0.2">
      <c r="T2578" s="130"/>
      <c r="U2578" s="151"/>
      <c r="X2578" s="170" t="str">
        <f t="shared" si="48"/>
        <v>1w</v>
      </c>
      <c r="Y2578" s="168">
        <f>_xll.qlCalendarAdvance(LiborCalendar,Y2577,X2578,"f",FALSE)</f>
        <v>57229</v>
      </c>
      <c r="Z2578" s="171">
        <f>_xll.qlInterestRateIndexValueDate(IborIndex,Y2578,Trigger)</f>
        <v>57231</v>
      </c>
      <c r="AA2578" s="172" t="e">
        <v>#N/A</v>
      </c>
      <c r="AB2578" s="169" t="e">
        <v>#N/A</v>
      </c>
    </row>
    <row r="2579" spans="20:28" x14ac:dyDescent="0.2">
      <c r="T2579" s="130"/>
      <c r="U2579" s="151"/>
      <c r="X2579" s="170" t="str">
        <f t="shared" si="48"/>
        <v>1w</v>
      </c>
      <c r="Y2579" s="168">
        <f>_xll.qlCalendarAdvance(LiborCalendar,Y2578,X2579,"f",FALSE)</f>
        <v>57236</v>
      </c>
      <c r="Z2579" s="171">
        <f>_xll.qlInterestRateIndexValueDate(IborIndex,Y2579,Trigger)</f>
        <v>57238</v>
      </c>
      <c r="AA2579" s="172" t="e">
        <v>#N/A</v>
      </c>
      <c r="AB2579" s="169" t="e">
        <v>#N/A</v>
      </c>
    </row>
    <row r="2580" spans="20:28" x14ac:dyDescent="0.2">
      <c r="T2580" s="130"/>
      <c r="U2580" s="151"/>
      <c r="X2580" s="170" t="str">
        <f t="shared" si="48"/>
        <v>1w</v>
      </c>
      <c r="Y2580" s="168">
        <f>_xll.qlCalendarAdvance(LiborCalendar,Y2579,X2580,"f",FALSE)</f>
        <v>57243</v>
      </c>
      <c r="Z2580" s="171">
        <f>_xll.qlInterestRateIndexValueDate(IborIndex,Y2580,Trigger)</f>
        <v>57245</v>
      </c>
      <c r="AA2580" s="172" t="e">
        <v>#N/A</v>
      </c>
      <c r="AB2580" s="169" t="e">
        <v>#N/A</v>
      </c>
    </row>
    <row r="2581" spans="20:28" x14ac:dyDescent="0.2">
      <c r="T2581" s="130"/>
      <c r="U2581" s="151"/>
      <c r="X2581" s="170" t="str">
        <f t="shared" ref="X2581:X2644" si="49">X2580</f>
        <v>1w</v>
      </c>
      <c r="Y2581" s="168">
        <f>_xll.qlCalendarAdvance(LiborCalendar,Y2580,X2581,"f",FALSE)</f>
        <v>57250</v>
      </c>
      <c r="Z2581" s="171">
        <f>_xll.qlInterestRateIndexValueDate(IborIndex,Y2581,Trigger)</f>
        <v>57252</v>
      </c>
      <c r="AA2581" s="172" t="e">
        <v>#N/A</v>
      </c>
      <c r="AB2581" s="169" t="e">
        <v>#N/A</v>
      </c>
    </row>
    <row r="2582" spans="20:28" x14ac:dyDescent="0.2">
      <c r="T2582" s="130"/>
      <c r="U2582" s="151"/>
      <c r="X2582" s="170" t="str">
        <f t="shared" si="49"/>
        <v>1w</v>
      </c>
      <c r="Y2582" s="168">
        <f>_xll.qlCalendarAdvance(LiborCalendar,Y2581,X2582,"f",FALSE)</f>
        <v>57257</v>
      </c>
      <c r="Z2582" s="171">
        <f>_xll.qlInterestRateIndexValueDate(IborIndex,Y2582,Trigger)</f>
        <v>57259</v>
      </c>
      <c r="AA2582" s="172" t="e">
        <v>#N/A</v>
      </c>
      <c r="AB2582" s="169" t="e">
        <v>#N/A</v>
      </c>
    </row>
    <row r="2583" spans="20:28" x14ac:dyDescent="0.2">
      <c r="T2583" s="130"/>
      <c r="U2583" s="151"/>
      <c r="X2583" s="170" t="str">
        <f t="shared" si="49"/>
        <v>1w</v>
      </c>
      <c r="Y2583" s="168">
        <f>_xll.qlCalendarAdvance(LiborCalendar,Y2582,X2583,"f",FALSE)</f>
        <v>57264</v>
      </c>
      <c r="Z2583" s="171">
        <f>_xll.qlInterestRateIndexValueDate(IborIndex,Y2583,Trigger)</f>
        <v>57266</v>
      </c>
      <c r="AA2583" s="172" t="e">
        <v>#N/A</v>
      </c>
      <c r="AB2583" s="169" t="e">
        <v>#N/A</v>
      </c>
    </row>
    <row r="2584" spans="20:28" x14ac:dyDescent="0.2">
      <c r="T2584" s="130"/>
      <c r="U2584" s="151"/>
      <c r="X2584" s="170" t="str">
        <f t="shared" si="49"/>
        <v>1w</v>
      </c>
      <c r="Y2584" s="168">
        <f>_xll.qlCalendarAdvance(LiborCalendar,Y2583,X2584,"f",FALSE)</f>
        <v>57271</v>
      </c>
      <c r="Z2584" s="171">
        <f>_xll.qlInterestRateIndexValueDate(IborIndex,Y2584,Trigger)</f>
        <v>57273</v>
      </c>
      <c r="AA2584" s="172" t="e">
        <v>#N/A</v>
      </c>
      <c r="AB2584" s="169" t="e">
        <v>#N/A</v>
      </c>
    </row>
    <row r="2585" spans="20:28" x14ac:dyDescent="0.2">
      <c r="T2585" s="130"/>
      <c r="U2585" s="151"/>
      <c r="X2585" s="170" t="str">
        <f t="shared" si="49"/>
        <v>1w</v>
      </c>
      <c r="Y2585" s="168">
        <f>_xll.qlCalendarAdvance(LiborCalendar,Y2584,X2585,"f",FALSE)</f>
        <v>57278</v>
      </c>
      <c r="Z2585" s="171">
        <f>_xll.qlInterestRateIndexValueDate(IborIndex,Y2585,Trigger)</f>
        <v>57280</v>
      </c>
      <c r="AA2585" s="172" t="e">
        <v>#N/A</v>
      </c>
      <c r="AB2585" s="169" t="e">
        <v>#N/A</v>
      </c>
    </row>
    <row r="2586" spans="20:28" x14ac:dyDescent="0.2">
      <c r="T2586" s="130"/>
      <c r="U2586" s="151"/>
      <c r="X2586" s="170" t="str">
        <f t="shared" si="49"/>
        <v>1w</v>
      </c>
      <c r="Y2586" s="168">
        <f>_xll.qlCalendarAdvance(LiborCalendar,Y2585,X2586,"f",FALSE)</f>
        <v>57285</v>
      </c>
      <c r="Z2586" s="171">
        <f>_xll.qlInterestRateIndexValueDate(IborIndex,Y2586,Trigger)</f>
        <v>57287</v>
      </c>
      <c r="AA2586" s="172" t="e">
        <v>#N/A</v>
      </c>
      <c r="AB2586" s="169" t="e">
        <v>#N/A</v>
      </c>
    </row>
    <row r="2587" spans="20:28" x14ac:dyDescent="0.2">
      <c r="T2587" s="130"/>
      <c r="U2587" s="151"/>
      <c r="X2587" s="170" t="str">
        <f t="shared" si="49"/>
        <v>1w</v>
      </c>
      <c r="Y2587" s="168">
        <f>_xll.qlCalendarAdvance(LiborCalendar,Y2586,X2587,"f",FALSE)</f>
        <v>57292</v>
      </c>
      <c r="Z2587" s="171">
        <f>_xll.qlInterestRateIndexValueDate(IborIndex,Y2587,Trigger)</f>
        <v>57294</v>
      </c>
      <c r="AA2587" s="172" t="e">
        <v>#N/A</v>
      </c>
      <c r="AB2587" s="169" t="e">
        <v>#N/A</v>
      </c>
    </row>
    <row r="2588" spans="20:28" x14ac:dyDescent="0.2">
      <c r="T2588" s="130"/>
      <c r="U2588" s="151"/>
      <c r="X2588" s="170" t="str">
        <f t="shared" si="49"/>
        <v>1w</v>
      </c>
      <c r="Y2588" s="168">
        <f>_xll.qlCalendarAdvance(LiborCalendar,Y2587,X2588,"f",FALSE)</f>
        <v>57299</v>
      </c>
      <c r="Z2588" s="171">
        <f>_xll.qlInterestRateIndexValueDate(IborIndex,Y2588,Trigger)</f>
        <v>57301</v>
      </c>
      <c r="AA2588" s="172" t="e">
        <v>#N/A</v>
      </c>
      <c r="AB2588" s="169" t="e">
        <v>#N/A</v>
      </c>
    </row>
    <row r="2589" spans="20:28" x14ac:dyDescent="0.2">
      <c r="T2589" s="130"/>
      <c r="U2589" s="151"/>
      <c r="X2589" s="170" t="str">
        <f t="shared" si="49"/>
        <v>1w</v>
      </c>
      <c r="Y2589" s="168">
        <f>_xll.qlCalendarAdvance(LiborCalendar,Y2588,X2589,"f",FALSE)</f>
        <v>57306</v>
      </c>
      <c r="Z2589" s="171">
        <f>_xll.qlInterestRateIndexValueDate(IborIndex,Y2589,Trigger)</f>
        <v>57308</v>
      </c>
      <c r="AA2589" s="172" t="e">
        <v>#N/A</v>
      </c>
      <c r="AB2589" s="169" t="e">
        <v>#N/A</v>
      </c>
    </row>
    <row r="2590" spans="20:28" x14ac:dyDescent="0.2">
      <c r="T2590" s="130"/>
      <c r="U2590" s="151"/>
      <c r="X2590" s="170" t="str">
        <f t="shared" si="49"/>
        <v>1w</v>
      </c>
      <c r="Y2590" s="168">
        <f>_xll.qlCalendarAdvance(LiborCalendar,Y2589,X2590,"f",FALSE)</f>
        <v>57313</v>
      </c>
      <c r="Z2590" s="171">
        <f>_xll.qlInterestRateIndexValueDate(IborIndex,Y2590,Trigger)</f>
        <v>57315</v>
      </c>
      <c r="AA2590" s="172" t="e">
        <v>#N/A</v>
      </c>
      <c r="AB2590" s="169" t="e">
        <v>#N/A</v>
      </c>
    </row>
    <row r="2591" spans="20:28" x14ac:dyDescent="0.2">
      <c r="T2591" s="130"/>
      <c r="U2591" s="151"/>
      <c r="X2591" s="170" t="str">
        <f t="shared" si="49"/>
        <v>1w</v>
      </c>
      <c r="Y2591" s="168">
        <f>_xll.qlCalendarAdvance(LiborCalendar,Y2590,X2591,"f",FALSE)</f>
        <v>57320</v>
      </c>
      <c r="Z2591" s="171">
        <f>_xll.qlInterestRateIndexValueDate(IborIndex,Y2591,Trigger)</f>
        <v>57322</v>
      </c>
      <c r="AA2591" s="172" t="e">
        <v>#N/A</v>
      </c>
      <c r="AB2591" s="169" t="e">
        <v>#N/A</v>
      </c>
    </row>
    <row r="2592" spans="20:28" x14ac:dyDescent="0.2">
      <c r="T2592" s="130"/>
      <c r="U2592" s="151"/>
      <c r="X2592" s="170" t="str">
        <f t="shared" si="49"/>
        <v>1w</v>
      </c>
      <c r="Y2592" s="168">
        <f>_xll.qlCalendarAdvance(LiborCalendar,Y2591,X2592,"f",FALSE)</f>
        <v>57327</v>
      </c>
      <c r="Z2592" s="171">
        <f>_xll.qlInterestRateIndexValueDate(IborIndex,Y2592,Trigger)</f>
        <v>57329</v>
      </c>
      <c r="AA2592" s="172" t="e">
        <v>#N/A</v>
      </c>
      <c r="AB2592" s="169" t="e">
        <v>#N/A</v>
      </c>
    </row>
    <row r="2593" spans="20:28" x14ac:dyDescent="0.2">
      <c r="T2593" s="130"/>
      <c r="U2593" s="151"/>
      <c r="X2593" s="170" t="str">
        <f t="shared" si="49"/>
        <v>1w</v>
      </c>
      <c r="Y2593" s="168">
        <f>_xll.qlCalendarAdvance(LiborCalendar,Y2592,X2593,"f",FALSE)</f>
        <v>57334</v>
      </c>
      <c r="Z2593" s="171">
        <f>_xll.qlInterestRateIndexValueDate(IborIndex,Y2593,Trigger)</f>
        <v>57336</v>
      </c>
      <c r="AA2593" s="172" t="e">
        <v>#N/A</v>
      </c>
      <c r="AB2593" s="169" t="e">
        <v>#N/A</v>
      </c>
    </row>
    <row r="2594" spans="20:28" x14ac:dyDescent="0.2">
      <c r="T2594" s="130"/>
      <c r="U2594" s="151"/>
      <c r="X2594" s="170" t="str">
        <f t="shared" si="49"/>
        <v>1w</v>
      </c>
      <c r="Y2594" s="168">
        <f>_xll.qlCalendarAdvance(LiborCalendar,Y2593,X2594,"f",FALSE)</f>
        <v>57341</v>
      </c>
      <c r="Z2594" s="171">
        <f>_xll.qlInterestRateIndexValueDate(IborIndex,Y2594,Trigger)</f>
        <v>57343</v>
      </c>
      <c r="AA2594" s="172" t="e">
        <v>#N/A</v>
      </c>
      <c r="AB2594" s="169" t="e">
        <v>#N/A</v>
      </c>
    </row>
    <row r="2595" spans="20:28" x14ac:dyDescent="0.2">
      <c r="T2595" s="130"/>
      <c r="U2595" s="151"/>
      <c r="X2595" s="170" t="str">
        <f t="shared" si="49"/>
        <v>1w</v>
      </c>
      <c r="Y2595" s="168">
        <f>_xll.qlCalendarAdvance(LiborCalendar,Y2594,X2595,"f",FALSE)</f>
        <v>57348</v>
      </c>
      <c r="Z2595" s="171">
        <f>_xll.qlInterestRateIndexValueDate(IborIndex,Y2595,Trigger)</f>
        <v>57350</v>
      </c>
      <c r="AA2595" s="172" t="e">
        <v>#N/A</v>
      </c>
      <c r="AB2595" s="169" t="e">
        <v>#N/A</v>
      </c>
    </row>
    <row r="2596" spans="20:28" x14ac:dyDescent="0.2">
      <c r="T2596" s="130"/>
      <c r="U2596" s="151"/>
      <c r="X2596" s="170" t="str">
        <f t="shared" si="49"/>
        <v>1w</v>
      </c>
      <c r="Y2596" s="168">
        <f>_xll.qlCalendarAdvance(LiborCalendar,Y2595,X2596,"f",FALSE)</f>
        <v>57355</v>
      </c>
      <c r="Z2596" s="171">
        <f>_xll.qlInterestRateIndexValueDate(IborIndex,Y2596,Trigger)</f>
        <v>57357</v>
      </c>
      <c r="AA2596" s="172" t="e">
        <v>#N/A</v>
      </c>
      <c r="AB2596" s="169" t="e">
        <v>#N/A</v>
      </c>
    </row>
    <row r="2597" spans="20:28" x14ac:dyDescent="0.2">
      <c r="T2597" s="130"/>
      <c r="U2597" s="151"/>
      <c r="X2597" s="170" t="str">
        <f t="shared" si="49"/>
        <v>1w</v>
      </c>
      <c r="Y2597" s="168">
        <f>_xll.qlCalendarAdvance(LiborCalendar,Y2596,X2597,"f",FALSE)</f>
        <v>57362</v>
      </c>
      <c r="Z2597" s="171">
        <f>_xll.qlInterestRateIndexValueDate(IborIndex,Y2597,Trigger)</f>
        <v>57364</v>
      </c>
      <c r="AA2597" s="172" t="e">
        <v>#N/A</v>
      </c>
      <c r="AB2597" s="169" t="e">
        <v>#N/A</v>
      </c>
    </row>
    <row r="2598" spans="20:28" x14ac:dyDescent="0.2">
      <c r="T2598" s="130"/>
      <c r="U2598" s="151"/>
      <c r="X2598" s="170" t="str">
        <f t="shared" si="49"/>
        <v>1w</v>
      </c>
      <c r="Y2598" s="168">
        <f>_xll.qlCalendarAdvance(LiborCalendar,Y2597,X2598,"f",FALSE)</f>
        <v>57369</v>
      </c>
      <c r="Z2598" s="171">
        <f>_xll.qlInterestRateIndexValueDate(IborIndex,Y2598,Trigger)</f>
        <v>57371</v>
      </c>
      <c r="AA2598" s="172" t="e">
        <v>#N/A</v>
      </c>
      <c r="AB2598" s="169" t="e">
        <v>#N/A</v>
      </c>
    </row>
    <row r="2599" spans="20:28" x14ac:dyDescent="0.2">
      <c r="T2599" s="130"/>
      <c r="U2599" s="151"/>
      <c r="X2599" s="170" t="str">
        <f t="shared" si="49"/>
        <v>1w</v>
      </c>
      <c r="Y2599" s="168">
        <f>_xll.qlCalendarAdvance(LiborCalendar,Y2598,X2599,"f",FALSE)</f>
        <v>57376</v>
      </c>
      <c r="Z2599" s="171">
        <f>_xll.qlInterestRateIndexValueDate(IborIndex,Y2599,Trigger)</f>
        <v>57378</v>
      </c>
      <c r="AA2599" s="172" t="e">
        <v>#N/A</v>
      </c>
      <c r="AB2599" s="169" t="e">
        <v>#N/A</v>
      </c>
    </row>
    <row r="2600" spans="20:28" x14ac:dyDescent="0.2">
      <c r="T2600" s="130"/>
      <c r="U2600" s="151"/>
      <c r="X2600" s="170" t="str">
        <f t="shared" si="49"/>
        <v>1w</v>
      </c>
      <c r="Y2600" s="168">
        <f>_xll.qlCalendarAdvance(LiborCalendar,Y2599,X2600,"f",FALSE)</f>
        <v>57383</v>
      </c>
      <c r="Z2600" s="171">
        <f>_xll.qlInterestRateIndexValueDate(IborIndex,Y2600,Trigger)</f>
        <v>57385</v>
      </c>
      <c r="AA2600" s="172" t="e">
        <v>#N/A</v>
      </c>
      <c r="AB2600" s="169" t="e">
        <v>#N/A</v>
      </c>
    </row>
    <row r="2601" spans="20:28" x14ac:dyDescent="0.2">
      <c r="T2601" s="130"/>
      <c r="U2601" s="151"/>
      <c r="X2601" s="170" t="str">
        <f t="shared" si="49"/>
        <v>1w</v>
      </c>
      <c r="Y2601" s="168">
        <f>_xll.qlCalendarAdvance(LiborCalendar,Y2600,X2601,"f",FALSE)</f>
        <v>57390</v>
      </c>
      <c r="Z2601" s="171">
        <f>_xll.qlInterestRateIndexValueDate(IborIndex,Y2601,Trigger)</f>
        <v>57392</v>
      </c>
      <c r="AA2601" s="172" t="e">
        <v>#N/A</v>
      </c>
      <c r="AB2601" s="169" t="e">
        <v>#N/A</v>
      </c>
    </row>
    <row r="2602" spans="20:28" x14ac:dyDescent="0.2">
      <c r="T2602" s="130"/>
      <c r="U2602" s="151"/>
      <c r="X2602" s="170" t="str">
        <f t="shared" si="49"/>
        <v>1w</v>
      </c>
      <c r="Y2602" s="168">
        <f>_xll.qlCalendarAdvance(LiborCalendar,Y2601,X2602,"f",FALSE)</f>
        <v>57397</v>
      </c>
      <c r="Z2602" s="171">
        <f>_xll.qlInterestRateIndexValueDate(IborIndex,Y2602,Trigger)</f>
        <v>57399</v>
      </c>
      <c r="AA2602" s="172" t="e">
        <v>#N/A</v>
      </c>
      <c r="AB2602" s="169" t="e">
        <v>#N/A</v>
      </c>
    </row>
    <row r="2603" spans="20:28" x14ac:dyDescent="0.2">
      <c r="T2603" s="130"/>
      <c r="U2603" s="151"/>
      <c r="X2603" s="170" t="str">
        <f t="shared" si="49"/>
        <v>1w</v>
      </c>
      <c r="Y2603" s="168">
        <f>_xll.qlCalendarAdvance(LiborCalendar,Y2602,X2603,"f",FALSE)</f>
        <v>57404</v>
      </c>
      <c r="Z2603" s="171">
        <f>_xll.qlInterestRateIndexValueDate(IborIndex,Y2603,Trigger)</f>
        <v>57406</v>
      </c>
      <c r="AA2603" s="172" t="e">
        <v>#N/A</v>
      </c>
      <c r="AB2603" s="169" t="e">
        <v>#N/A</v>
      </c>
    </row>
    <row r="2604" spans="20:28" x14ac:dyDescent="0.2">
      <c r="T2604" s="130"/>
      <c r="U2604" s="151"/>
      <c r="X2604" s="170" t="str">
        <f t="shared" si="49"/>
        <v>1w</v>
      </c>
      <c r="Y2604" s="168">
        <f>_xll.qlCalendarAdvance(LiborCalendar,Y2603,X2604,"f",FALSE)</f>
        <v>57411</v>
      </c>
      <c r="Z2604" s="171">
        <f>_xll.qlInterestRateIndexValueDate(IborIndex,Y2604,Trigger)</f>
        <v>57413</v>
      </c>
      <c r="AA2604" s="172" t="e">
        <v>#N/A</v>
      </c>
      <c r="AB2604" s="169" t="e">
        <v>#N/A</v>
      </c>
    </row>
    <row r="2605" spans="20:28" x14ac:dyDescent="0.2">
      <c r="T2605" s="130"/>
      <c r="U2605" s="151"/>
      <c r="X2605" s="170" t="str">
        <f t="shared" si="49"/>
        <v>1w</v>
      </c>
      <c r="Y2605" s="168">
        <f>_xll.qlCalendarAdvance(LiborCalendar,Y2604,X2605,"f",FALSE)</f>
        <v>57418</v>
      </c>
      <c r="Z2605" s="171">
        <f>_xll.qlInterestRateIndexValueDate(IborIndex,Y2605,Trigger)</f>
        <v>57420</v>
      </c>
      <c r="AA2605" s="172" t="e">
        <v>#N/A</v>
      </c>
      <c r="AB2605" s="169" t="e">
        <v>#N/A</v>
      </c>
    </row>
    <row r="2606" spans="20:28" x14ac:dyDescent="0.2">
      <c r="T2606" s="130"/>
      <c r="U2606" s="151"/>
      <c r="X2606" s="170" t="str">
        <f t="shared" si="49"/>
        <v>1w</v>
      </c>
      <c r="Y2606" s="168">
        <f>_xll.qlCalendarAdvance(LiborCalendar,Y2605,X2606,"f",FALSE)</f>
        <v>57425</v>
      </c>
      <c r="Z2606" s="171">
        <f>_xll.qlInterestRateIndexValueDate(IborIndex,Y2606,Trigger)</f>
        <v>57427</v>
      </c>
      <c r="AA2606" s="172" t="e">
        <v>#N/A</v>
      </c>
      <c r="AB2606" s="169" t="e">
        <v>#N/A</v>
      </c>
    </row>
    <row r="2607" spans="20:28" x14ac:dyDescent="0.2">
      <c r="T2607" s="130"/>
      <c r="U2607" s="151"/>
      <c r="X2607" s="170" t="str">
        <f t="shared" si="49"/>
        <v>1w</v>
      </c>
      <c r="Y2607" s="168">
        <f>_xll.qlCalendarAdvance(LiborCalendar,Y2606,X2607,"f",FALSE)</f>
        <v>57432</v>
      </c>
      <c r="Z2607" s="171">
        <f>_xll.qlInterestRateIndexValueDate(IborIndex,Y2607,Trigger)</f>
        <v>57434</v>
      </c>
      <c r="AA2607" s="172" t="e">
        <v>#N/A</v>
      </c>
      <c r="AB2607" s="169" t="e">
        <v>#N/A</v>
      </c>
    </row>
    <row r="2608" spans="20:28" x14ac:dyDescent="0.2">
      <c r="T2608" s="130"/>
      <c r="U2608" s="151"/>
      <c r="X2608" s="170" t="str">
        <f t="shared" si="49"/>
        <v>1w</v>
      </c>
      <c r="Y2608" s="168">
        <f>_xll.qlCalendarAdvance(LiborCalendar,Y2607,X2608,"f",FALSE)</f>
        <v>57439</v>
      </c>
      <c r="Z2608" s="171">
        <f>_xll.qlInterestRateIndexValueDate(IborIndex,Y2608,Trigger)</f>
        <v>57441</v>
      </c>
      <c r="AA2608" s="172" t="e">
        <v>#N/A</v>
      </c>
      <c r="AB2608" s="169" t="e">
        <v>#N/A</v>
      </c>
    </row>
    <row r="2609" spans="20:28" x14ac:dyDescent="0.2">
      <c r="T2609" s="130"/>
      <c r="U2609" s="151"/>
      <c r="X2609" s="170" t="str">
        <f t="shared" si="49"/>
        <v>1w</v>
      </c>
      <c r="Y2609" s="168">
        <f>_xll.qlCalendarAdvance(LiborCalendar,Y2608,X2609,"f",FALSE)</f>
        <v>57446</v>
      </c>
      <c r="Z2609" s="171">
        <f>_xll.qlInterestRateIndexValueDate(IborIndex,Y2609,Trigger)</f>
        <v>57448</v>
      </c>
      <c r="AA2609" s="172" t="e">
        <v>#N/A</v>
      </c>
      <c r="AB2609" s="169" t="e">
        <v>#N/A</v>
      </c>
    </row>
    <row r="2610" spans="20:28" x14ac:dyDescent="0.2">
      <c r="T2610" s="130"/>
      <c r="U2610" s="151"/>
      <c r="X2610" s="170" t="str">
        <f t="shared" si="49"/>
        <v>1w</v>
      </c>
      <c r="Y2610" s="168">
        <f>_xll.qlCalendarAdvance(LiborCalendar,Y2609,X2610,"f",FALSE)</f>
        <v>57453</v>
      </c>
      <c r="Z2610" s="171">
        <f>_xll.qlInterestRateIndexValueDate(IborIndex,Y2610,Trigger)</f>
        <v>57459</v>
      </c>
      <c r="AA2610" s="172" t="e">
        <v>#N/A</v>
      </c>
      <c r="AB2610" s="169" t="e">
        <v>#N/A</v>
      </c>
    </row>
    <row r="2611" spans="20:28" x14ac:dyDescent="0.2">
      <c r="T2611" s="130"/>
      <c r="U2611" s="151"/>
      <c r="X2611" s="170" t="str">
        <f t="shared" si="49"/>
        <v>1w</v>
      </c>
      <c r="Y2611" s="168">
        <f>_xll.qlCalendarAdvance(LiborCalendar,Y2610,X2611,"f",FALSE)</f>
        <v>57460</v>
      </c>
      <c r="Z2611" s="171">
        <f>_xll.qlInterestRateIndexValueDate(IborIndex,Y2611,Trigger)</f>
        <v>57462</v>
      </c>
      <c r="AA2611" s="172" t="e">
        <v>#N/A</v>
      </c>
      <c r="AB2611" s="169" t="e">
        <v>#N/A</v>
      </c>
    </row>
    <row r="2612" spans="20:28" x14ac:dyDescent="0.2">
      <c r="T2612" s="130"/>
      <c r="U2612" s="151"/>
      <c r="X2612" s="170" t="str">
        <f t="shared" si="49"/>
        <v>1w</v>
      </c>
      <c r="Y2612" s="168">
        <f>_xll.qlCalendarAdvance(LiborCalendar,Y2611,X2612,"f",FALSE)</f>
        <v>57467</v>
      </c>
      <c r="Z2612" s="171">
        <f>_xll.qlInterestRateIndexValueDate(IborIndex,Y2612,Trigger)</f>
        <v>57469</v>
      </c>
      <c r="AA2612" s="172" t="e">
        <v>#N/A</v>
      </c>
      <c r="AB2612" s="169" t="e">
        <v>#N/A</v>
      </c>
    </row>
    <row r="2613" spans="20:28" x14ac:dyDescent="0.2">
      <c r="T2613" s="130"/>
      <c r="U2613" s="151"/>
      <c r="X2613" s="170" t="str">
        <f t="shared" si="49"/>
        <v>1w</v>
      </c>
      <c r="Y2613" s="168">
        <f>_xll.qlCalendarAdvance(LiborCalendar,Y2612,X2613,"f",FALSE)</f>
        <v>57474</v>
      </c>
      <c r="Z2613" s="171">
        <f>_xll.qlInterestRateIndexValueDate(IborIndex,Y2613,Trigger)</f>
        <v>57476</v>
      </c>
      <c r="AA2613" s="172" t="e">
        <v>#N/A</v>
      </c>
      <c r="AB2613" s="169" t="e">
        <v>#N/A</v>
      </c>
    </row>
    <row r="2614" spans="20:28" x14ac:dyDescent="0.2">
      <c r="T2614" s="130"/>
      <c r="U2614" s="151"/>
      <c r="X2614" s="170" t="str">
        <f t="shared" si="49"/>
        <v>1w</v>
      </c>
      <c r="Y2614" s="168">
        <f>_xll.qlCalendarAdvance(LiborCalendar,Y2613,X2614,"f",FALSE)</f>
        <v>57481</v>
      </c>
      <c r="Z2614" s="171">
        <f>_xll.qlInterestRateIndexValueDate(IborIndex,Y2614,Trigger)</f>
        <v>57483</v>
      </c>
      <c r="AA2614" s="172" t="e">
        <v>#N/A</v>
      </c>
      <c r="AB2614" s="169" t="e">
        <v>#N/A</v>
      </c>
    </row>
    <row r="2615" spans="20:28" x14ac:dyDescent="0.2">
      <c r="T2615" s="130"/>
      <c r="U2615" s="151"/>
      <c r="X2615" s="170" t="str">
        <f t="shared" si="49"/>
        <v>1w</v>
      </c>
      <c r="Y2615" s="168">
        <f>_xll.qlCalendarAdvance(LiborCalendar,Y2614,X2615,"f",FALSE)</f>
        <v>57488</v>
      </c>
      <c r="Z2615" s="171">
        <f>_xll.qlInterestRateIndexValueDate(IborIndex,Y2615,Trigger)</f>
        <v>57490</v>
      </c>
      <c r="AA2615" s="172" t="e">
        <v>#N/A</v>
      </c>
      <c r="AB2615" s="169" t="e">
        <v>#N/A</v>
      </c>
    </row>
    <row r="2616" spans="20:28" x14ac:dyDescent="0.2">
      <c r="T2616" s="130"/>
      <c r="U2616" s="151"/>
      <c r="X2616" s="170" t="str">
        <f t="shared" si="49"/>
        <v>1w</v>
      </c>
      <c r="Y2616" s="168">
        <f>_xll.qlCalendarAdvance(LiborCalendar,Y2615,X2616,"f",FALSE)</f>
        <v>57495</v>
      </c>
      <c r="Z2616" s="171">
        <f>_xll.qlInterestRateIndexValueDate(IborIndex,Y2616,Trigger)</f>
        <v>57497</v>
      </c>
      <c r="AA2616" s="172" t="e">
        <v>#N/A</v>
      </c>
      <c r="AB2616" s="169" t="e">
        <v>#N/A</v>
      </c>
    </row>
    <row r="2617" spans="20:28" x14ac:dyDescent="0.2">
      <c r="T2617" s="130"/>
      <c r="U2617" s="151"/>
      <c r="X2617" s="170" t="str">
        <f t="shared" si="49"/>
        <v>1w</v>
      </c>
      <c r="Y2617" s="168">
        <f>_xll.qlCalendarAdvance(LiborCalendar,Y2616,X2617,"f",FALSE)</f>
        <v>57502</v>
      </c>
      <c r="Z2617" s="171">
        <f>_xll.qlInterestRateIndexValueDate(IborIndex,Y2617,Trigger)</f>
        <v>57504</v>
      </c>
      <c r="AA2617" s="172" t="e">
        <v>#N/A</v>
      </c>
      <c r="AB2617" s="169" t="e">
        <v>#N/A</v>
      </c>
    </row>
    <row r="2618" spans="20:28" x14ac:dyDescent="0.2">
      <c r="T2618" s="130"/>
      <c r="U2618" s="151"/>
      <c r="X2618" s="170" t="str">
        <f t="shared" si="49"/>
        <v>1w</v>
      </c>
      <c r="Y2618" s="168">
        <f>_xll.qlCalendarAdvance(LiborCalendar,Y2617,X2618,"f",FALSE)</f>
        <v>57509</v>
      </c>
      <c r="Z2618" s="171">
        <f>_xll.qlInterestRateIndexValueDate(IborIndex,Y2618,Trigger)</f>
        <v>57511</v>
      </c>
      <c r="AA2618" s="172" t="e">
        <v>#N/A</v>
      </c>
      <c r="AB2618" s="169" t="e">
        <v>#N/A</v>
      </c>
    </row>
    <row r="2619" spans="20:28" x14ac:dyDescent="0.2">
      <c r="T2619" s="130"/>
      <c r="U2619" s="151"/>
      <c r="X2619" s="170" t="str">
        <f t="shared" si="49"/>
        <v>1w</v>
      </c>
      <c r="Y2619" s="168">
        <f>_xll.qlCalendarAdvance(LiborCalendar,Y2618,X2619,"f",FALSE)</f>
        <v>57516</v>
      </c>
      <c r="Z2619" s="171">
        <f>_xll.qlInterestRateIndexValueDate(IborIndex,Y2619,Trigger)</f>
        <v>57518</v>
      </c>
      <c r="AA2619" s="172" t="e">
        <v>#N/A</v>
      </c>
      <c r="AB2619" s="169" t="e">
        <v>#N/A</v>
      </c>
    </row>
    <row r="2620" spans="20:28" x14ac:dyDescent="0.2">
      <c r="T2620" s="130"/>
      <c r="U2620" s="151"/>
      <c r="X2620" s="170" t="str">
        <f t="shared" si="49"/>
        <v>1w</v>
      </c>
      <c r="Y2620" s="168">
        <f>_xll.qlCalendarAdvance(LiborCalendar,Y2619,X2620,"f",FALSE)</f>
        <v>57523</v>
      </c>
      <c r="Z2620" s="171">
        <f>_xll.qlInterestRateIndexValueDate(IborIndex,Y2620,Trigger)</f>
        <v>57525</v>
      </c>
      <c r="AA2620" s="172" t="e">
        <v>#N/A</v>
      </c>
      <c r="AB2620" s="169" t="e">
        <v>#N/A</v>
      </c>
    </row>
    <row r="2621" spans="20:28" x14ac:dyDescent="0.2">
      <c r="T2621" s="130"/>
      <c r="U2621" s="151"/>
      <c r="X2621" s="170" t="str">
        <f t="shared" si="49"/>
        <v>1w</v>
      </c>
      <c r="Y2621" s="168">
        <f>_xll.qlCalendarAdvance(LiborCalendar,Y2620,X2621,"f",FALSE)</f>
        <v>57530</v>
      </c>
      <c r="Z2621" s="171">
        <f>_xll.qlInterestRateIndexValueDate(IborIndex,Y2621,Trigger)</f>
        <v>57532</v>
      </c>
      <c r="AA2621" s="172" t="e">
        <v>#N/A</v>
      </c>
      <c r="AB2621" s="169" t="e">
        <v>#N/A</v>
      </c>
    </row>
    <row r="2622" spans="20:28" x14ac:dyDescent="0.2">
      <c r="T2622" s="130"/>
      <c r="U2622" s="151"/>
      <c r="X2622" s="170" t="str">
        <f t="shared" si="49"/>
        <v>1w</v>
      </c>
      <c r="Y2622" s="168">
        <f>_xll.qlCalendarAdvance(LiborCalendar,Y2621,X2622,"f",FALSE)</f>
        <v>57537</v>
      </c>
      <c r="Z2622" s="171">
        <f>_xll.qlInterestRateIndexValueDate(IborIndex,Y2622,Trigger)</f>
        <v>57539</v>
      </c>
      <c r="AA2622" s="172" t="e">
        <v>#N/A</v>
      </c>
      <c r="AB2622" s="169" t="e">
        <v>#N/A</v>
      </c>
    </row>
    <row r="2623" spans="20:28" x14ac:dyDescent="0.2">
      <c r="T2623" s="130"/>
      <c r="U2623" s="151"/>
      <c r="X2623" s="170" t="str">
        <f t="shared" si="49"/>
        <v>1w</v>
      </c>
      <c r="Y2623" s="168">
        <f>_xll.qlCalendarAdvance(LiborCalendar,Y2622,X2623,"f",FALSE)</f>
        <v>57544</v>
      </c>
      <c r="Z2623" s="171">
        <f>_xll.qlInterestRateIndexValueDate(IborIndex,Y2623,Trigger)</f>
        <v>57546</v>
      </c>
      <c r="AA2623" s="172" t="e">
        <v>#N/A</v>
      </c>
      <c r="AB2623" s="169" t="e">
        <v>#N/A</v>
      </c>
    </row>
    <row r="2624" spans="20:28" x14ac:dyDescent="0.2">
      <c r="T2624" s="130"/>
      <c r="U2624" s="151"/>
      <c r="X2624" s="170" t="str">
        <f t="shared" si="49"/>
        <v>1w</v>
      </c>
      <c r="Y2624" s="168">
        <f>_xll.qlCalendarAdvance(LiborCalendar,Y2623,X2624,"f",FALSE)</f>
        <v>57551</v>
      </c>
      <c r="Z2624" s="171">
        <f>_xll.qlInterestRateIndexValueDate(IborIndex,Y2624,Trigger)</f>
        <v>57553</v>
      </c>
      <c r="AA2624" s="172" t="e">
        <v>#N/A</v>
      </c>
      <c r="AB2624" s="169" t="e">
        <v>#N/A</v>
      </c>
    </row>
    <row r="2625" spans="20:28" x14ac:dyDescent="0.2">
      <c r="T2625" s="130"/>
      <c r="U2625" s="151"/>
      <c r="X2625" s="170" t="str">
        <f t="shared" si="49"/>
        <v>1w</v>
      </c>
      <c r="Y2625" s="168">
        <f>_xll.qlCalendarAdvance(LiborCalendar,Y2624,X2625,"f",FALSE)</f>
        <v>57558</v>
      </c>
      <c r="Z2625" s="171">
        <f>_xll.qlInterestRateIndexValueDate(IborIndex,Y2625,Trigger)</f>
        <v>57560</v>
      </c>
      <c r="AA2625" s="172" t="e">
        <v>#N/A</v>
      </c>
      <c r="AB2625" s="169" t="e">
        <v>#N/A</v>
      </c>
    </row>
    <row r="2626" spans="20:28" x14ac:dyDescent="0.2">
      <c r="T2626" s="130"/>
      <c r="U2626" s="151"/>
      <c r="X2626" s="170" t="str">
        <f t="shared" si="49"/>
        <v>1w</v>
      </c>
      <c r="Y2626" s="168">
        <f>_xll.qlCalendarAdvance(LiborCalendar,Y2625,X2626,"f",FALSE)</f>
        <v>57565</v>
      </c>
      <c r="Z2626" s="171">
        <f>_xll.qlInterestRateIndexValueDate(IborIndex,Y2626,Trigger)</f>
        <v>57567</v>
      </c>
      <c r="AA2626" s="172" t="e">
        <v>#N/A</v>
      </c>
      <c r="AB2626" s="169" t="e">
        <v>#N/A</v>
      </c>
    </row>
    <row r="2627" spans="20:28" x14ac:dyDescent="0.2">
      <c r="T2627" s="130"/>
      <c r="U2627" s="151"/>
      <c r="X2627" s="170" t="str">
        <f t="shared" si="49"/>
        <v>1w</v>
      </c>
      <c r="Y2627" s="168">
        <f>_xll.qlCalendarAdvance(LiborCalendar,Y2626,X2627,"f",FALSE)</f>
        <v>57572</v>
      </c>
      <c r="Z2627" s="171">
        <f>_xll.qlInterestRateIndexValueDate(IborIndex,Y2627,Trigger)</f>
        <v>57574</v>
      </c>
      <c r="AA2627" s="172" t="e">
        <v>#N/A</v>
      </c>
      <c r="AB2627" s="169" t="e">
        <v>#N/A</v>
      </c>
    </row>
    <row r="2628" spans="20:28" x14ac:dyDescent="0.2">
      <c r="T2628" s="130"/>
      <c r="U2628" s="151"/>
      <c r="X2628" s="170" t="str">
        <f t="shared" si="49"/>
        <v>1w</v>
      </c>
      <c r="Y2628" s="168">
        <f>_xll.qlCalendarAdvance(LiborCalendar,Y2627,X2628,"f",FALSE)</f>
        <v>57579</v>
      </c>
      <c r="Z2628" s="171">
        <f>_xll.qlInterestRateIndexValueDate(IborIndex,Y2628,Trigger)</f>
        <v>57581</v>
      </c>
      <c r="AA2628" s="172" t="e">
        <v>#N/A</v>
      </c>
      <c r="AB2628" s="169" t="e">
        <v>#N/A</v>
      </c>
    </row>
    <row r="2629" spans="20:28" x14ac:dyDescent="0.2">
      <c r="T2629" s="130"/>
      <c r="U2629" s="151"/>
      <c r="X2629" s="170" t="str">
        <f t="shared" si="49"/>
        <v>1w</v>
      </c>
      <c r="Y2629" s="168">
        <f>_xll.qlCalendarAdvance(LiborCalendar,Y2628,X2629,"f",FALSE)</f>
        <v>57586</v>
      </c>
      <c r="Z2629" s="171">
        <f>_xll.qlInterestRateIndexValueDate(IborIndex,Y2629,Trigger)</f>
        <v>57588</v>
      </c>
      <c r="AA2629" s="172" t="e">
        <v>#N/A</v>
      </c>
      <c r="AB2629" s="169" t="e">
        <v>#N/A</v>
      </c>
    </row>
    <row r="2630" spans="20:28" x14ac:dyDescent="0.2">
      <c r="T2630" s="130"/>
      <c r="U2630" s="151"/>
      <c r="X2630" s="170" t="str">
        <f t="shared" si="49"/>
        <v>1w</v>
      </c>
      <c r="Y2630" s="168">
        <f>_xll.qlCalendarAdvance(LiborCalendar,Y2629,X2630,"f",FALSE)</f>
        <v>57593</v>
      </c>
      <c r="Z2630" s="171">
        <f>_xll.qlInterestRateIndexValueDate(IborIndex,Y2630,Trigger)</f>
        <v>57595</v>
      </c>
      <c r="AA2630" s="172" t="e">
        <v>#N/A</v>
      </c>
      <c r="AB2630" s="169" t="e">
        <v>#N/A</v>
      </c>
    </row>
    <row r="2631" spans="20:28" x14ac:dyDescent="0.2">
      <c r="T2631" s="130"/>
      <c r="U2631" s="151"/>
      <c r="X2631" s="170" t="str">
        <f t="shared" si="49"/>
        <v>1w</v>
      </c>
      <c r="Y2631" s="168">
        <f>_xll.qlCalendarAdvance(LiborCalendar,Y2630,X2631,"f",FALSE)</f>
        <v>57600</v>
      </c>
      <c r="Z2631" s="171">
        <f>_xll.qlInterestRateIndexValueDate(IborIndex,Y2631,Trigger)</f>
        <v>57602</v>
      </c>
      <c r="AA2631" s="172" t="e">
        <v>#N/A</v>
      </c>
      <c r="AB2631" s="169" t="e">
        <v>#N/A</v>
      </c>
    </row>
    <row r="2632" spans="20:28" x14ac:dyDescent="0.2">
      <c r="T2632" s="130"/>
      <c r="U2632" s="151"/>
      <c r="X2632" s="170" t="str">
        <f t="shared" si="49"/>
        <v>1w</v>
      </c>
      <c r="Y2632" s="168">
        <f>_xll.qlCalendarAdvance(LiborCalendar,Y2631,X2632,"f",FALSE)</f>
        <v>57607</v>
      </c>
      <c r="Z2632" s="171">
        <f>_xll.qlInterestRateIndexValueDate(IborIndex,Y2632,Trigger)</f>
        <v>57609</v>
      </c>
      <c r="AA2632" s="172" t="e">
        <v>#N/A</v>
      </c>
      <c r="AB2632" s="169" t="e">
        <v>#N/A</v>
      </c>
    </row>
    <row r="2633" spans="20:28" x14ac:dyDescent="0.2">
      <c r="T2633" s="130"/>
      <c r="U2633" s="151"/>
      <c r="X2633" s="170" t="str">
        <f t="shared" si="49"/>
        <v>1w</v>
      </c>
      <c r="Y2633" s="168">
        <f>_xll.qlCalendarAdvance(LiborCalendar,Y2632,X2633,"f",FALSE)</f>
        <v>57614</v>
      </c>
      <c r="Z2633" s="171">
        <f>_xll.qlInterestRateIndexValueDate(IborIndex,Y2633,Trigger)</f>
        <v>57616</v>
      </c>
      <c r="AA2633" s="172" t="e">
        <v>#N/A</v>
      </c>
      <c r="AB2633" s="169" t="e">
        <v>#N/A</v>
      </c>
    </row>
    <row r="2634" spans="20:28" x14ac:dyDescent="0.2">
      <c r="T2634" s="130"/>
      <c r="U2634" s="151"/>
      <c r="X2634" s="170" t="str">
        <f t="shared" si="49"/>
        <v>1w</v>
      </c>
      <c r="Y2634" s="168">
        <f>_xll.qlCalendarAdvance(LiborCalendar,Y2633,X2634,"f",FALSE)</f>
        <v>57621</v>
      </c>
      <c r="Z2634" s="171">
        <f>_xll.qlInterestRateIndexValueDate(IborIndex,Y2634,Trigger)</f>
        <v>57623</v>
      </c>
      <c r="AA2634" s="172" t="e">
        <v>#N/A</v>
      </c>
      <c r="AB2634" s="169" t="e">
        <v>#N/A</v>
      </c>
    </row>
    <row r="2635" spans="20:28" x14ac:dyDescent="0.2">
      <c r="T2635" s="130"/>
      <c r="U2635" s="151"/>
      <c r="X2635" s="170" t="str">
        <f t="shared" si="49"/>
        <v>1w</v>
      </c>
      <c r="Y2635" s="168">
        <f>_xll.qlCalendarAdvance(LiborCalendar,Y2634,X2635,"f",FALSE)</f>
        <v>57628</v>
      </c>
      <c r="Z2635" s="171">
        <f>_xll.qlInterestRateIndexValueDate(IborIndex,Y2635,Trigger)</f>
        <v>57630</v>
      </c>
      <c r="AA2635" s="172" t="e">
        <v>#N/A</v>
      </c>
      <c r="AB2635" s="169" t="e">
        <v>#N/A</v>
      </c>
    </row>
    <row r="2636" spans="20:28" x14ac:dyDescent="0.2">
      <c r="T2636" s="130"/>
      <c r="U2636" s="151"/>
      <c r="X2636" s="170" t="str">
        <f t="shared" si="49"/>
        <v>1w</v>
      </c>
      <c r="Y2636" s="168">
        <f>_xll.qlCalendarAdvance(LiborCalendar,Y2635,X2636,"f",FALSE)</f>
        <v>57635</v>
      </c>
      <c r="Z2636" s="171">
        <f>_xll.qlInterestRateIndexValueDate(IborIndex,Y2636,Trigger)</f>
        <v>57637</v>
      </c>
      <c r="AA2636" s="172" t="e">
        <v>#N/A</v>
      </c>
      <c r="AB2636" s="169" t="e">
        <v>#N/A</v>
      </c>
    </row>
    <row r="2637" spans="20:28" x14ac:dyDescent="0.2">
      <c r="T2637" s="130"/>
      <c r="U2637" s="151"/>
      <c r="X2637" s="170" t="str">
        <f t="shared" si="49"/>
        <v>1w</v>
      </c>
      <c r="Y2637" s="168">
        <f>_xll.qlCalendarAdvance(LiborCalendar,Y2636,X2637,"f",FALSE)</f>
        <v>57642</v>
      </c>
      <c r="Z2637" s="171">
        <f>_xll.qlInterestRateIndexValueDate(IborIndex,Y2637,Trigger)</f>
        <v>57644</v>
      </c>
      <c r="AA2637" s="172" t="e">
        <v>#N/A</v>
      </c>
      <c r="AB2637" s="169" t="e">
        <v>#N/A</v>
      </c>
    </row>
    <row r="2638" spans="20:28" x14ac:dyDescent="0.2">
      <c r="T2638" s="130"/>
      <c r="U2638" s="151"/>
      <c r="X2638" s="170" t="str">
        <f t="shared" si="49"/>
        <v>1w</v>
      </c>
      <c r="Y2638" s="168">
        <f>_xll.qlCalendarAdvance(LiborCalendar,Y2637,X2638,"f",FALSE)</f>
        <v>57649</v>
      </c>
      <c r="Z2638" s="171">
        <f>_xll.qlInterestRateIndexValueDate(IborIndex,Y2638,Trigger)</f>
        <v>57651</v>
      </c>
      <c r="AA2638" s="172" t="e">
        <v>#N/A</v>
      </c>
      <c r="AB2638" s="169" t="e">
        <v>#N/A</v>
      </c>
    </row>
    <row r="2639" spans="20:28" x14ac:dyDescent="0.2">
      <c r="T2639" s="130"/>
      <c r="U2639" s="151"/>
      <c r="X2639" s="170" t="str">
        <f t="shared" si="49"/>
        <v>1w</v>
      </c>
      <c r="Y2639" s="168">
        <f>_xll.qlCalendarAdvance(LiborCalendar,Y2638,X2639,"f",FALSE)</f>
        <v>57656</v>
      </c>
      <c r="Z2639" s="171">
        <f>_xll.qlInterestRateIndexValueDate(IborIndex,Y2639,Trigger)</f>
        <v>57658</v>
      </c>
      <c r="AA2639" s="172" t="e">
        <v>#N/A</v>
      </c>
      <c r="AB2639" s="169" t="e">
        <v>#N/A</v>
      </c>
    </row>
    <row r="2640" spans="20:28" x14ac:dyDescent="0.2">
      <c r="T2640" s="130"/>
      <c r="U2640" s="151"/>
      <c r="X2640" s="170" t="str">
        <f t="shared" si="49"/>
        <v>1w</v>
      </c>
      <c r="Y2640" s="168">
        <f>_xll.qlCalendarAdvance(LiborCalendar,Y2639,X2640,"f",FALSE)</f>
        <v>57663</v>
      </c>
      <c r="Z2640" s="171">
        <f>_xll.qlInterestRateIndexValueDate(IborIndex,Y2640,Trigger)</f>
        <v>57665</v>
      </c>
      <c r="AA2640" s="172" t="e">
        <v>#N/A</v>
      </c>
      <c r="AB2640" s="169" t="e">
        <v>#N/A</v>
      </c>
    </row>
    <row r="2641" spans="20:28" x14ac:dyDescent="0.2">
      <c r="T2641" s="130"/>
      <c r="U2641" s="151"/>
      <c r="X2641" s="170" t="str">
        <f t="shared" si="49"/>
        <v>1w</v>
      </c>
      <c r="Y2641" s="168">
        <f>_xll.qlCalendarAdvance(LiborCalendar,Y2640,X2641,"f",FALSE)</f>
        <v>57670</v>
      </c>
      <c r="Z2641" s="171">
        <f>_xll.qlInterestRateIndexValueDate(IborIndex,Y2641,Trigger)</f>
        <v>57672</v>
      </c>
      <c r="AA2641" s="172" t="e">
        <v>#N/A</v>
      </c>
      <c r="AB2641" s="169" t="e">
        <v>#N/A</v>
      </c>
    </row>
    <row r="2642" spans="20:28" x14ac:dyDescent="0.2">
      <c r="T2642" s="130"/>
      <c r="U2642" s="151"/>
      <c r="X2642" s="170" t="str">
        <f t="shared" si="49"/>
        <v>1w</v>
      </c>
      <c r="Y2642" s="168">
        <f>_xll.qlCalendarAdvance(LiborCalendar,Y2641,X2642,"f",FALSE)</f>
        <v>57677</v>
      </c>
      <c r="Z2642" s="171">
        <f>_xll.qlInterestRateIndexValueDate(IborIndex,Y2642,Trigger)</f>
        <v>57679</v>
      </c>
      <c r="AA2642" s="172" t="e">
        <v>#N/A</v>
      </c>
      <c r="AB2642" s="169" t="e">
        <v>#N/A</v>
      </c>
    </row>
    <row r="2643" spans="20:28" x14ac:dyDescent="0.2">
      <c r="T2643" s="130"/>
      <c r="U2643" s="151"/>
      <c r="X2643" s="170" t="str">
        <f t="shared" si="49"/>
        <v>1w</v>
      </c>
      <c r="Y2643" s="168">
        <f>_xll.qlCalendarAdvance(LiborCalendar,Y2642,X2643,"f",FALSE)</f>
        <v>57684</v>
      </c>
      <c r="Z2643" s="171">
        <f>_xll.qlInterestRateIndexValueDate(IborIndex,Y2643,Trigger)</f>
        <v>57686</v>
      </c>
      <c r="AA2643" s="172" t="e">
        <v>#N/A</v>
      </c>
      <c r="AB2643" s="169" t="e">
        <v>#N/A</v>
      </c>
    </row>
    <row r="2644" spans="20:28" x14ac:dyDescent="0.2">
      <c r="T2644" s="130"/>
      <c r="U2644" s="151"/>
      <c r="X2644" s="170" t="str">
        <f t="shared" si="49"/>
        <v>1w</v>
      </c>
      <c r="Y2644" s="168">
        <f>_xll.qlCalendarAdvance(LiborCalendar,Y2643,X2644,"f",FALSE)</f>
        <v>57691</v>
      </c>
      <c r="Z2644" s="171">
        <f>_xll.qlInterestRateIndexValueDate(IborIndex,Y2644,Trigger)</f>
        <v>57693</v>
      </c>
      <c r="AA2644" s="172" t="e">
        <v>#N/A</v>
      </c>
      <c r="AB2644" s="169" t="e">
        <v>#N/A</v>
      </c>
    </row>
    <row r="2645" spans="20:28" x14ac:dyDescent="0.2">
      <c r="T2645" s="130"/>
      <c r="U2645" s="151"/>
      <c r="X2645" s="170" t="str">
        <f t="shared" ref="X2645:X2708" si="50">X2644</f>
        <v>1w</v>
      </c>
      <c r="Y2645" s="168">
        <f>_xll.qlCalendarAdvance(LiborCalendar,Y2644,X2645,"f",FALSE)</f>
        <v>57698</v>
      </c>
      <c r="Z2645" s="171">
        <f>_xll.qlInterestRateIndexValueDate(IborIndex,Y2645,Trigger)</f>
        <v>57700</v>
      </c>
      <c r="AA2645" s="172" t="e">
        <v>#N/A</v>
      </c>
      <c r="AB2645" s="169" t="e">
        <v>#N/A</v>
      </c>
    </row>
    <row r="2646" spans="20:28" x14ac:dyDescent="0.2">
      <c r="T2646" s="130"/>
      <c r="U2646" s="151"/>
      <c r="X2646" s="170" t="str">
        <f t="shared" si="50"/>
        <v>1w</v>
      </c>
      <c r="Y2646" s="168">
        <f>_xll.qlCalendarAdvance(LiborCalendar,Y2645,X2646,"f",FALSE)</f>
        <v>57706</v>
      </c>
      <c r="Z2646" s="171">
        <f>_xll.qlInterestRateIndexValueDate(IborIndex,Y2646,Trigger)</f>
        <v>57710</v>
      </c>
      <c r="AA2646" s="172" t="e">
        <v>#N/A</v>
      </c>
      <c r="AB2646" s="169" t="e">
        <v>#N/A</v>
      </c>
    </row>
    <row r="2647" spans="20:28" x14ac:dyDescent="0.2">
      <c r="T2647" s="130"/>
      <c r="U2647" s="151"/>
      <c r="X2647" s="170" t="str">
        <f t="shared" si="50"/>
        <v>1w</v>
      </c>
      <c r="Y2647" s="168">
        <f>_xll.qlCalendarAdvance(LiborCalendar,Y2646,X2647,"f",FALSE)</f>
        <v>57713</v>
      </c>
      <c r="Z2647" s="171">
        <f>_xll.qlInterestRateIndexValueDate(IborIndex,Y2647,Trigger)</f>
        <v>57717</v>
      </c>
      <c r="AA2647" s="172" t="e">
        <v>#N/A</v>
      </c>
      <c r="AB2647" s="169" t="e">
        <v>#N/A</v>
      </c>
    </row>
    <row r="2648" spans="20:28" x14ac:dyDescent="0.2">
      <c r="T2648" s="130"/>
      <c r="U2648" s="151"/>
      <c r="X2648" s="170" t="str">
        <f t="shared" si="50"/>
        <v>1w</v>
      </c>
      <c r="Y2648" s="168">
        <f>_xll.qlCalendarAdvance(LiborCalendar,Y2647,X2648,"f",FALSE)</f>
        <v>57720</v>
      </c>
      <c r="Z2648" s="171">
        <f>_xll.qlInterestRateIndexValueDate(IborIndex,Y2648,Trigger)</f>
        <v>57724</v>
      </c>
      <c r="AA2648" s="172" t="e">
        <v>#N/A</v>
      </c>
      <c r="AB2648" s="169" t="e">
        <v>#N/A</v>
      </c>
    </row>
    <row r="2649" spans="20:28" x14ac:dyDescent="0.2">
      <c r="T2649" s="130"/>
      <c r="U2649" s="151"/>
      <c r="X2649" s="170" t="str">
        <f t="shared" si="50"/>
        <v>1w</v>
      </c>
      <c r="Y2649" s="168">
        <f>_xll.qlCalendarAdvance(LiborCalendar,Y2648,X2649,"f",FALSE)</f>
        <v>57727</v>
      </c>
      <c r="Z2649" s="171">
        <f>_xll.qlInterestRateIndexValueDate(IborIndex,Y2649,Trigger)</f>
        <v>57731</v>
      </c>
      <c r="AA2649" s="172" t="e">
        <v>#N/A</v>
      </c>
      <c r="AB2649" s="169" t="e">
        <v>#N/A</v>
      </c>
    </row>
    <row r="2650" spans="20:28" x14ac:dyDescent="0.2">
      <c r="T2650" s="130"/>
      <c r="U2650" s="151"/>
      <c r="X2650" s="170" t="str">
        <f t="shared" si="50"/>
        <v>1w</v>
      </c>
      <c r="Y2650" s="168">
        <f>_xll.qlCalendarAdvance(LiborCalendar,Y2649,X2650,"f",FALSE)</f>
        <v>57734</v>
      </c>
      <c r="Z2650" s="171">
        <f>_xll.qlInterestRateIndexValueDate(IborIndex,Y2650,Trigger)</f>
        <v>57738</v>
      </c>
      <c r="AA2650" s="172" t="e">
        <v>#N/A</v>
      </c>
      <c r="AB2650" s="169" t="e">
        <v>#N/A</v>
      </c>
    </row>
    <row r="2651" spans="20:28" x14ac:dyDescent="0.2">
      <c r="T2651" s="130"/>
      <c r="U2651" s="151"/>
      <c r="X2651" s="170" t="str">
        <f t="shared" si="50"/>
        <v>1w</v>
      </c>
      <c r="Y2651" s="168">
        <f>_xll.qlCalendarAdvance(LiborCalendar,Y2650,X2651,"f",FALSE)</f>
        <v>57741</v>
      </c>
      <c r="Z2651" s="171">
        <f>_xll.qlInterestRateIndexValueDate(IborIndex,Y2651,Trigger)</f>
        <v>57745</v>
      </c>
      <c r="AA2651" s="172" t="e">
        <v>#N/A</v>
      </c>
      <c r="AB2651" s="169" t="e">
        <v>#N/A</v>
      </c>
    </row>
    <row r="2652" spans="20:28" x14ac:dyDescent="0.2">
      <c r="T2652" s="130"/>
      <c r="U2652" s="151"/>
      <c r="X2652" s="170" t="str">
        <f t="shared" si="50"/>
        <v>1w</v>
      </c>
      <c r="Y2652" s="168">
        <f>_xll.qlCalendarAdvance(LiborCalendar,Y2651,X2652,"f",FALSE)</f>
        <v>57748</v>
      </c>
      <c r="Z2652" s="171">
        <f>_xll.qlInterestRateIndexValueDate(IborIndex,Y2652,Trigger)</f>
        <v>57752</v>
      </c>
      <c r="AA2652" s="172" t="e">
        <v>#N/A</v>
      </c>
      <c r="AB2652" s="169" t="e">
        <v>#N/A</v>
      </c>
    </row>
    <row r="2653" spans="20:28" x14ac:dyDescent="0.2">
      <c r="T2653" s="130"/>
      <c r="U2653" s="151"/>
      <c r="X2653" s="170" t="str">
        <f t="shared" si="50"/>
        <v>1w</v>
      </c>
      <c r="Y2653" s="168">
        <f>_xll.qlCalendarAdvance(LiborCalendar,Y2652,X2653,"f",FALSE)</f>
        <v>57755</v>
      </c>
      <c r="Z2653" s="171">
        <f>_xll.qlInterestRateIndexValueDate(IborIndex,Y2653,Trigger)</f>
        <v>57759</v>
      </c>
      <c r="AA2653" s="172" t="e">
        <v>#N/A</v>
      </c>
      <c r="AB2653" s="169" t="e">
        <v>#N/A</v>
      </c>
    </row>
    <row r="2654" spans="20:28" x14ac:dyDescent="0.2">
      <c r="T2654" s="130"/>
      <c r="U2654" s="151"/>
      <c r="X2654" s="170" t="str">
        <f t="shared" si="50"/>
        <v>1w</v>
      </c>
      <c r="Y2654" s="168">
        <f>_xll.qlCalendarAdvance(LiborCalendar,Y2653,X2654,"f",FALSE)</f>
        <v>57762</v>
      </c>
      <c r="Z2654" s="171">
        <f>_xll.qlInterestRateIndexValueDate(IborIndex,Y2654,Trigger)</f>
        <v>57766</v>
      </c>
      <c r="AA2654" s="172" t="e">
        <v>#N/A</v>
      </c>
      <c r="AB2654" s="169" t="e">
        <v>#N/A</v>
      </c>
    </row>
    <row r="2655" spans="20:28" x14ac:dyDescent="0.2">
      <c r="T2655" s="130"/>
      <c r="U2655" s="151"/>
      <c r="X2655" s="170" t="str">
        <f t="shared" si="50"/>
        <v>1w</v>
      </c>
      <c r="Y2655" s="168">
        <f>_xll.qlCalendarAdvance(LiborCalendar,Y2654,X2655,"f",FALSE)</f>
        <v>57769</v>
      </c>
      <c r="Z2655" s="171">
        <f>_xll.qlInterestRateIndexValueDate(IborIndex,Y2655,Trigger)</f>
        <v>57773</v>
      </c>
      <c r="AA2655" s="172" t="e">
        <v>#N/A</v>
      </c>
      <c r="AB2655" s="169" t="e">
        <v>#N/A</v>
      </c>
    </row>
    <row r="2656" spans="20:28" x14ac:dyDescent="0.2">
      <c r="T2656" s="130"/>
      <c r="U2656" s="151"/>
      <c r="X2656" s="170" t="str">
        <f t="shared" si="50"/>
        <v>1w</v>
      </c>
      <c r="Y2656" s="168">
        <f>_xll.qlCalendarAdvance(LiborCalendar,Y2655,X2656,"f",FALSE)</f>
        <v>57776</v>
      </c>
      <c r="Z2656" s="171">
        <f>_xll.qlInterestRateIndexValueDate(IborIndex,Y2656,Trigger)</f>
        <v>57780</v>
      </c>
      <c r="AA2656" s="172" t="e">
        <v>#N/A</v>
      </c>
      <c r="AB2656" s="169" t="e">
        <v>#N/A</v>
      </c>
    </row>
    <row r="2657" spans="20:28" x14ac:dyDescent="0.2">
      <c r="T2657" s="130"/>
      <c r="U2657" s="151"/>
      <c r="X2657" s="170" t="str">
        <f t="shared" si="50"/>
        <v>1w</v>
      </c>
      <c r="Y2657" s="168">
        <f>_xll.qlCalendarAdvance(LiborCalendar,Y2656,X2657,"f",FALSE)</f>
        <v>57783</v>
      </c>
      <c r="Z2657" s="171">
        <f>_xll.qlInterestRateIndexValueDate(IborIndex,Y2657,Trigger)</f>
        <v>57787</v>
      </c>
      <c r="AA2657" s="172" t="e">
        <v>#N/A</v>
      </c>
      <c r="AB2657" s="169" t="e">
        <v>#N/A</v>
      </c>
    </row>
    <row r="2658" spans="20:28" x14ac:dyDescent="0.2">
      <c r="T2658" s="130"/>
      <c r="U2658" s="151"/>
      <c r="X2658" s="170" t="str">
        <f t="shared" si="50"/>
        <v>1w</v>
      </c>
      <c r="Y2658" s="168">
        <f>_xll.qlCalendarAdvance(LiborCalendar,Y2657,X2658,"f",FALSE)</f>
        <v>57790</v>
      </c>
      <c r="Z2658" s="171">
        <f>_xll.qlInterestRateIndexValueDate(IborIndex,Y2658,Trigger)</f>
        <v>57794</v>
      </c>
      <c r="AA2658" s="172" t="e">
        <v>#N/A</v>
      </c>
      <c r="AB2658" s="169" t="e">
        <v>#N/A</v>
      </c>
    </row>
    <row r="2659" spans="20:28" x14ac:dyDescent="0.2">
      <c r="T2659" s="130"/>
      <c r="U2659" s="151"/>
      <c r="X2659" s="170" t="str">
        <f t="shared" si="50"/>
        <v>1w</v>
      </c>
      <c r="Y2659" s="168">
        <f>_xll.qlCalendarAdvance(LiborCalendar,Y2658,X2659,"f",FALSE)</f>
        <v>57797</v>
      </c>
      <c r="Z2659" s="171">
        <f>_xll.qlInterestRateIndexValueDate(IborIndex,Y2659,Trigger)</f>
        <v>57801</v>
      </c>
      <c r="AA2659" s="172" t="e">
        <v>#N/A</v>
      </c>
      <c r="AB2659" s="169" t="e">
        <v>#N/A</v>
      </c>
    </row>
    <row r="2660" spans="20:28" x14ac:dyDescent="0.2">
      <c r="T2660" s="130"/>
      <c r="U2660" s="151"/>
      <c r="X2660" s="170" t="str">
        <f t="shared" si="50"/>
        <v>1w</v>
      </c>
      <c r="Y2660" s="168">
        <f>_xll.qlCalendarAdvance(LiborCalendar,Y2659,X2660,"f",FALSE)</f>
        <v>57804</v>
      </c>
      <c r="Z2660" s="171">
        <f>_xll.qlInterestRateIndexValueDate(IborIndex,Y2660,Trigger)</f>
        <v>57808</v>
      </c>
      <c r="AA2660" s="172" t="e">
        <v>#N/A</v>
      </c>
      <c r="AB2660" s="169" t="e">
        <v>#N/A</v>
      </c>
    </row>
    <row r="2661" spans="20:28" x14ac:dyDescent="0.2">
      <c r="T2661" s="130"/>
      <c r="U2661" s="151"/>
      <c r="X2661" s="170" t="str">
        <f t="shared" si="50"/>
        <v>1w</v>
      </c>
      <c r="Y2661" s="168">
        <f>_xll.qlCalendarAdvance(LiborCalendar,Y2660,X2661,"f",FALSE)</f>
        <v>57811</v>
      </c>
      <c r="Z2661" s="171">
        <f>_xll.qlInterestRateIndexValueDate(IborIndex,Y2661,Trigger)</f>
        <v>57817</v>
      </c>
      <c r="AA2661" s="172" t="e">
        <v>#N/A</v>
      </c>
      <c r="AB2661" s="169" t="e">
        <v>#N/A</v>
      </c>
    </row>
    <row r="2662" spans="20:28" x14ac:dyDescent="0.2">
      <c r="T2662" s="130"/>
      <c r="U2662" s="151"/>
      <c r="X2662" s="170" t="str">
        <f t="shared" si="50"/>
        <v>1w</v>
      </c>
      <c r="Y2662" s="168">
        <f>_xll.qlCalendarAdvance(LiborCalendar,Y2661,X2662,"f",FALSE)</f>
        <v>57818</v>
      </c>
      <c r="Z2662" s="171">
        <f>_xll.qlInterestRateIndexValueDate(IborIndex,Y2662,Trigger)</f>
        <v>57822</v>
      </c>
      <c r="AA2662" s="172" t="e">
        <v>#N/A</v>
      </c>
      <c r="AB2662" s="169" t="e">
        <v>#N/A</v>
      </c>
    </row>
    <row r="2663" spans="20:28" x14ac:dyDescent="0.2">
      <c r="T2663" s="130"/>
      <c r="U2663" s="151"/>
      <c r="X2663" s="170" t="str">
        <f t="shared" si="50"/>
        <v>1w</v>
      </c>
      <c r="Y2663" s="168">
        <f>_xll.qlCalendarAdvance(LiborCalendar,Y2662,X2663,"f",FALSE)</f>
        <v>57825</v>
      </c>
      <c r="Z2663" s="171">
        <f>_xll.qlInterestRateIndexValueDate(IborIndex,Y2663,Trigger)</f>
        <v>57829</v>
      </c>
      <c r="AA2663" s="172" t="e">
        <v>#N/A</v>
      </c>
      <c r="AB2663" s="169" t="e">
        <v>#N/A</v>
      </c>
    </row>
    <row r="2664" spans="20:28" x14ac:dyDescent="0.2">
      <c r="T2664" s="130"/>
      <c r="U2664" s="151"/>
      <c r="X2664" s="170" t="str">
        <f t="shared" si="50"/>
        <v>1w</v>
      </c>
      <c r="Y2664" s="168">
        <f>_xll.qlCalendarAdvance(LiborCalendar,Y2663,X2664,"f",FALSE)</f>
        <v>57832</v>
      </c>
      <c r="Z2664" s="171">
        <f>_xll.qlInterestRateIndexValueDate(IborIndex,Y2664,Trigger)</f>
        <v>57837</v>
      </c>
      <c r="AA2664" s="172" t="e">
        <v>#N/A</v>
      </c>
      <c r="AB2664" s="169" t="e">
        <v>#N/A</v>
      </c>
    </row>
    <row r="2665" spans="20:28" x14ac:dyDescent="0.2">
      <c r="T2665" s="130"/>
      <c r="U2665" s="151"/>
      <c r="X2665" s="170" t="str">
        <f t="shared" si="50"/>
        <v>1w</v>
      </c>
      <c r="Y2665" s="168">
        <f>_xll.qlCalendarAdvance(LiborCalendar,Y2664,X2665,"f",FALSE)</f>
        <v>57839</v>
      </c>
      <c r="Z2665" s="171">
        <f>_xll.qlInterestRateIndexValueDate(IborIndex,Y2665,Trigger)</f>
        <v>57843</v>
      </c>
      <c r="AA2665" s="172" t="e">
        <v>#N/A</v>
      </c>
      <c r="AB2665" s="169" t="e">
        <v>#N/A</v>
      </c>
    </row>
    <row r="2666" spans="20:28" x14ac:dyDescent="0.2">
      <c r="T2666" s="130"/>
      <c r="U2666" s="151"/>
      <c r="X2666" s="170" t="str">
        <f t="shared" si="50"/>
        <v>1w</v>
      </c>
      <c r="Y2666" s="168">
        <f>_xll.qlCalendarAdvance(LiborCalendar,Y2665,X2666,"f",FALSE)</f>
        <v>57846</v>
      </c>
      <c r="Z2666" s="171">
        <f>_xll.qlInterestRateIndexValueDate(IborIndex,Y2666,Trigger)</f>
        <v>57850</v>
      </c>
      <c r="AA2666" s="172" t="e">
        <v>#N/A</v>
      </c>
      <c r="AB2666" s="169" t="e">
        <v>#N/A</v>
      </c>
    </row>
    <row r="2667" spans="20:28" x14ac:dyDescent="0.2">
      <c r="T2667" s="130"/>
      <c r="U2667" s="151"/>
      <c r="X2667" s="170" t="str">
        <f t="shared" si="50"/>
        <v>1w</v>
      </c>
      <c r="Y2667" s="168">
        <f>_xll.qlCalendarAdvance(LiborCalendar,Y2666,X2667,"f",FALSE)</f>
        <v>57853</v>
      </c>
      <c r="Z2667" s="171">
        <f>_xll.qlInterestRateIndexValueDate(IborIndex,Y2667,Trigger)</f>
        <v>57858</v>
      </c>
      <c r="AA2667" s="172" t="e">
        <v>#N/A</v>
      </c>
      <c r="AB2667" s="169" t="e">
        <v>#N/A</v>
      </c>
    </row>
    <row r="2668" spans="20:28" x14ac:dyDescent="0.2">
      <c r="T2668" s="130"/>
      <c r="U2668" s="151"/>
      <c r="X2668" s="170" t="str">
        <f t="shared" si="50"/>
        <v>1w</v>
      </c>
      <c r="Y2668" s="168">
        <f>_xll.qlCalendarAdvance(LiborCalendar,Y2667,X2668,"f",FALSE)</f>
        <v>57860</v>
      </c>
      <c r="Z2668" s="171">
        <f>_xll.qlInterestRateIndexValueDate(IborIndex,Y2668,Trigger)</f>
        <v>57865</v>
      </c>
      <c r="AA2668" s="172" t="e">
        <v>#N/A</v>
      </c>
      <c r="AB2668" s="169" t="e">
        <v>#N/A</v>
      </c>
    </row>
    <row r="2669" spans="20:28" x14ac:dyDescent="0.2">
      <c r="T2669" s="130"/>
      <c r="U2669" s="151"/>
      <c r="X2669" s="170" t="str">
        <f t="shared" si="50"/>
        <v>1w</v>
      </c>
      <c r="Y2669" s="168">
        <f>_xll.qlCalendarAdvance(LiborCalendar,Y2668,X2669,"f",FALSE)</f>
        <v>57867</v>
      </c>
      <c r="Z2669" s="171">
        <f>_xll.qlInterestRateIndexValueDate(IborIndex,Y2669,Trigger)</f>
        <v>57871</v>
      </c>
      <c r="AA2669" s="172" t="e">
        <v>#N/A</v>
      </c>
      <c r="AB2669" s="169" t="e">
        <v>#N/A</v>
      </c>
    </row>
    <row r="2670" spans="20:28" x14ac:dyDescent="0.2">
      <c r="T2670" s="130"/>
      <c r="U2670" s="151"/>
      <c r="X2670" s="170" t="str">
        <f t="shared" si="50"/>
        <v>1w</v>
      </c>
      <c r="Y2670" s="168">
        <f>_xll.qlCalendarAdvance(LiborCalendar,Y2669,X2670,"f",FALSE)</f>
        <v>57874</v>
      </c>
      <c r="Z2670" s="171">
        <f>_xll.qlInterestRateIndexValueDate(IborIndex,Y2670,Trigger)</f>
        <v>57878</v>
      </c>
      <c r="AA2670" s="172" t="e">
        <v>#N/A</v>
      </c>
      <c r="AB2670" s="169" t="e">
        <v>#N/A</v>
      </c>
    </row>
    <row r="2671" spans="20:28" x14ac:dyDescent="0.2">
      <c r="T2671" s="130"/>
      <c r="U2671" s="151"/>
      <c r="X2671" s="170" t="str">
        <f t="shared" si="50"/>
        <v>1w</v>
      </c>
      <c r="Y2671" s="168">
        <f>_xll.qlCalendarAdvance(LiborCalendar,Y2670,X2671,"f",FALSE)</f>
        <v>57881</v>
      </c>
      <c r="Z2671" s="171">
        <f>_xll.qlInterestRateIndexValueDate(IborIndex,Y2671,Trigger)</f>
        <v>57885</v>
      </c>
      <c r="AA2671" s="172" t="e">
        <v>#N/A</v>
      </c>
      <c r="AB2671" s="169" t="e">
        <v>#N/A</v>
      </c>
    </row>
    <row r="2672" spans="20:28" x14ac:dyDescent="0.2">
      <c r="T2672" s="130"/>
      <c r="U2672" s="151"/>
      <c r="X2672" s="170" t="str">
        <f t="shared" si="50"/>
        <v>1w</v>
      </c>
      <c r="Y2672" s="168">
        <f>_xll.qlCalendarAdvance(LiborCalendar,Y2671,X2672,"f",FALSE)</f>
        <v>57888</v>
      </c>
      <c r="Z2672" s="171">
        <f>_xll.qlInterestRateIndexValueDate(IborIndex,Y2672,Trigger)</f>
        <v>57892</v>
      </c>
      <c r="AA2672" s="172" t="e">
        <v>#N/A</v>
      </c>
      <c r="AB2672" s="169" t="e">
        <v>#N/A</v>
      </c>
    </row>
    <row r="2673" spans="20:28" x14ac:dyDescent="0.2">
      <c r="T2673" s="130"/>
      <c r="U2673" s="151"/>
      <c r="X2673" s="170" t="str">
        <f t="shared" si="50"/>
        <v>1w</v>
      </c>
      <c r="Y2673" s="168">
        <f>_xll.qlCalendarAdvance(LiborCalendar,Y2672,X2673,"f",FALSE)</f>
        <v>57895</v>
      </c>
      <c r="Z2673" s="171">
        <f>_xll.qlInterestRateIndexValueDate(IborIndex,Y2673,Trigger)</f>
        <v>57899</v>
      </c>
      <c r="AA2673" s="172" t="e">
        <v>#N/A</v>
      </c>
      <c r="AB2673" s="169" t="e">
        <v>#N/A</v>
      </c>
    </row>
    <row r="2674" spans="20:28" x14ac:dyDescent="0.2">
      <c r="T2674" s="130"/>
      <c r="U2674" s="151"/>
      <c r="X2674" s="170" t="str">
        <f t="shared" si="50"/>
        <v>1w</v>
      </c>
      <c r="Y2674" s="168">
        <f>_xll.qlCalendarAdvance(LiborCalendar,Y2673,X2674,"f",FALSE)</f>
        <v>57902</v>
      </c>
      <c r="Z2674" s="171">
        <f>_xll.qlInterestRateIndexValueDate(IborIndex,Y2674,Trigger)</f>
        <v>57906</v>
      </c>
      <c r="AA2674" s="172" t="e">
        <v>#N/A</v>
      </c>
      <c r="AB2674" s="169" t="e">
        <v>#N/A</v>
      </c>
    </row>
    <row r="2675" spans="20:28" x14ac:dyDescent="0.2">
      <c r="T2675" s="130"/>
      <c r="U2675" s="151"/>
      <c r="X2675" s="170" t="str">
        <f t="shared" si="50"/>
        <v>1w</v>
      </c>
      <c r="Y2675" s="168">
        <f>_xll.qlCalendarAdvance(LiborCalendar,Y2674,X2675,"f",FALSE)</f>
        <v>57909</v>
      </c>
      <c r="Z2675" s="171">
        <f>_xll.qlInterestRateIndexValueDate(IborIndex,Y2675,Trigger)</f>
        <v>57913</v>
      </c>
      <c r="AA2675" s="172" t="e">
        <v>#N/A</v>
      </c>
      <c r="AB2675" s="169" t="e">
        <v>#N/A</v>
      </c>
    </row>
    <row r="2676" spans="20:28" x14ac:dyDescent="0.2">
      <c r="T2676" s="130"/>
      <c r="U2676" s="151"/>
      <c r="X2676" s="170" t="str">
        <f t="shared" si="50"/>
        <v>1w</v>
      </c>
      <c r="Y2676" s="168">
        <f>_xll.qlCalendarAdvance(LiborCalendar,Y2675,X2676,"f",FALSE)</f>
        <v>57916</v>
      </c>
      <c r="Z2676" s="171">
        <f>_xll.qlInterestRateIndexValueDate(IborIndex,Y2676,Trigger)</f>
        <v>57920</v>
      </c>
      <c r="AA2676" s="172" t="e">
        <v>#N/A</v>
      </c>
      <c r="AB2676" s="169" t="e">
        <v>#N/A</v>
      </c>
    </row>
    <row r="2677" spans="20:28" x14ac:dyDescent="0.2">
      <c r="T2677" s="130"/>
      <c r="U2677" s="151"/>
      <c r="X2677" s="170" t="str">
        <f t="shared" si="50"/>
        <v>1w</v>
      </c>
      <c r="Y2677" s="168">
        <f>_xll.qlCalendarAdvance(LiborCalendar,Y2676,X2677,"f",FALSE)</f>
        <v>57923</v>
      </c>
      <c r="Z2677" s="171">
        <f>_xll.qlInterestRateIndexValueDate(IborIndex,Y2677,Trigger)</f>
        <v>57927</v>
      </c>
      <c r="AA2677" s="172" t="e">
        <v>#N/A</v>
      </c>
      <c r="AB2677" s="169" t="e">
        <v>#N/A</v>
      </c>
    </row>
    <row r="2678" spans="20:28" x14ac:dyDescent="0.2">
      <c r="T2678" s="130"/>
      <c r="U2678" s="151"/>
      <c r="X2678" s="170" t="str">
        <f t="shared" si="50"/>
        <v>1w</v>
      </c>
      <c r="Y2678" s="168">
        <f>_xll.qlCalendarAdvance(LiborCalendar,Y2677,X2678,"f",FALSE)</f>
        <v>57930</v>
      </c>
      <c r="Z2678" s="171">
        <f>_xll.qlInterestRateIndexValueDate(IborIndex,Y2678,Trigger)</f>
        <v>57934</v>
      </c>
      <c r="AA2678" s="172" t="e">
        <v>#N/A</v>
      </c>
      <c r="AB2678" s="169" t="e">
        <v>#N/A</v>
      </c>
    </row>
    <row r="2679" spans="20:28" x14ac:dyDescent="0.2">
      <c r="T2679" s="130"/>
      <c r="U2679" s="151"/>
      <c r="X2679" s="170" t="str">
        <f t="shared" si="50"/>
        <v>1w</v>
      </c>
      <c r="Y2679" s="168">
        <f>_xll.qlCalendarAdvance(LiborCalendar,Y2678,X2679,"f",FALSE)</f>
        <v>57937</v>
      </c>
      <c r="Z2679" s="171">
        <f>_xll.qlInterestRateIndexValueDate(IborIndex,Y2679,Trigger)</f>
        <v>57941</v>
      </c>
      <c r="AA2679" s="172" t="e">
        <v>#N/A</v>
      </c>
      <c r="AB2679" s="169" t="e">
        <v>#N/A</v>
      </c>
    </row>
    <row r="2680" spans="20:28" x14ac:dyDescent="0.2">
      <c r="T2680" s="130"/>
      <c r="U2680" s="151"/>
      <c r="X2680" s="170" t="str">
        <f t="shared" si="50"/>
        <v>1w</v>
      </c>
      <c r="Y2680" s="168">
        <f>_xll.qlCalendarAdvance(LiborCalendar,Y2679,X2680,"f",FALSE)</f>
        <v>57944</v>
      </c>
      <c r="Z2680" s="171">
        <f>_xll.qlInterestRateIndexValueDate(IborIndex,Y2680,Trigger)</f>
        <v>57949</v>
      </c>
      <c r="AA2680" s="172" t="e">
        <v>#N/A</v>
      </c>
      <c r="AB2680" s="169" t="e">
        <v>#N/A</v>
      </c>
    </row>
    <row r="2681" spans="20:28" x14ac:dyDescent="0.2">
      <c r="T2681" s="130"/>
      <c r="U2681" s="151"/>
      <c r="X2681" s="170" t="str">
        <f t="shared" si="50"/>
        <v>1w</v>
      </c>
      <c r="Y2681" s="168">
        <f>_xll.qlCalendarAdvance(LiborCalendar,Y2680,X2681,"f",FALSE)</f>
        <v>57951</v>
      </c>
      <c r="Z2681" s="171">
        <f>_xll.qlInterestRateIndexValueDate(IborIndex,Y2681,Trigger)</f>
        <v>57955</v>
      </c>
      <c r="AA2681" s="172" t="e">
        <v>#N/A</v>
      </c>
      <c r="AB2681" s="169" t="e">
        <v>#N/A</v>
      </c>
    </row>
    <row r="2682" spans="20:28" x14ac:dyDescent="0.2">
      <c r="T2682" s="130"/>
      <c r="U2682" s="151"/>
      <c r="X2682" s="170" t="str">
        <f t="shared" si="50"/>
        <v>1w</v>
      </c>
      <c r="Y2682" s="168">
        <f>_xll.qlCalendarAdvance(LiborCalendar,Y2681,X2682,"f",FALSE)</f>
        <v>57958</v>
      </c>
      <c r="Z2682" s="171">
        <f>_xll.qlInterestRateIndexValueDate(IborIndex,Y2682,Trigger)</f>
        <v>57962</v>
      </c>
      <c r="AA2682" s="172" t="e">
        <v>#N/A</v>
      </c>
      <c r="AB2682" s="169" t="e">
        <v>#N/A</v>
      </c>
    </row>
    <row r="2683" spans="20:28" x14ac:dyDescent="0.2">
      <c r="T2683" s="130"/>
      <c r="U2683" s="151"/>
      <c r="X2683" s="170" t="str">
        <f t="shared" si="50"/>
        <v>1w</v>
      </c>
      <c r="Y2683" s="168">
        <f>_xll.qlCalendarAdvance(LiborCalendar,Y2682,X2683,"f",FALSE)</f>
        <v>57965</v>
      </c>
      <c r="Z2683" s="171">
        <f>_xll.qlInterestRateIndexValueDate(IborIndex,Y2683,Trigger)</f>
        <v>57969</v>
      </c>
      <c r="AA2683" s="172" t="e">
        <v>#N/A</v>
      </c>
      <c r="AB2683" s="169" t="e">
        <v>#N/A</v>
      </c>
    </row>
    <row r="2684" spans="20:28" x14ac:dyDescent="0.2">
      <c r="T2684" s="130"/>
      <c r="U2684" s="151"/>
      <c r="X2684" s="170" t="str">
        <f t="shared" si="50"/>
        <v>1w</v>
      </c>
      <c r="Y2684" s="168">
        <f>_xll.qlCalendarAdvance(LiborCalendar,Y2683,X2684,"f",FALSE)</f>
        <v>57972</v>
      </c>
      <c r="Z2684" s="171">
        <f>_xll.qlInterestRateIndexValueDate(IborIndex,Y2684,Trigger)</f>
        <v>57976</v>
      </c>
      <c r="AA2684" s="172" t="e">
        <v>#N/A</v>
      </c>
      <c r="AB2684" s="169" t="e">
        <v>#N/A</v>
      </c>
    </row>
    <row r="2685" spans="20:28" x14ac:dyDescent="0.2">
      <c r="T2685" s="130"/>
      <c r="U2685" s="151"/>
      <c r="X2685" s="170" t="str">
        <f t="shared" si="50"/>
        <v>1w</v>
      </c>
      <c r="Y2685" s="168">
        <f>_xll.qlCalendarAdvance(LiborCalendar,Y2684,X2685,"f",FALSE)</f>
        <v>57979</v>
      </c>
      <c r="Z2685" s="171">
        <f>_xll.qlInterestRateIndexValueDate(IborIndex,Y2685,Trigger)</f>
        <v>57983</v>
      </c>
      <c r="AA2685" s="172" t="e">
        <v>#N/A</v>
      </c>
      <c r="AB2685" s="169" t="e">
        <v>#N/A</v>
      </c>
    </row>
    <row r="2686" spans="20:28" x14ac:dyDescent="0.2">
      <c r="T2686" s="130"/>
      <c r="U2686" s="151"/>
      <c r="X2686" s="170" t="str">
        <f t="shared" si="50"/>
        <v>1w</v>
      </c>
      <c r="Y2686" s="168">
        <f>_xll.qlCalendarAdvance(LiborCalendar,Y2685,X2686,"f",FALSE)</f>
        <v>57986</v>
      </c>
      <c r="Z2686" s="171">
        <f>_xll.qlInterestRateIndexValueDate(IborIndex,Y2686,Trigger)</f>
        <v>57990</v>
      </c>
      <c r="AA2686" s="172" t="e">
        <v>#N/A</v>
      </c>
      <c r="AB2686" s="169" t="e">
        <v>#N/A</v>
      </c>
    </row>
    <row r="2687" spans="20:28" x14ac:dyDescent="0.2">
      <c r="T2687" s="130"/>
      <c r="U2687" s="151"/>
      <c r="X2687" s="170" t="str">
        <f t="shared" si="50"/>
        <v>1w</v>
      </c>
      <c r="Y2687" s="168">
        <f>_xll.qlCalendarAdvance(LiborCalendar,Y2686,X2687,"f",FALSE)</f>
        <v>57993</v>
      </c>
      <c r="Z2687" s="171">
        <f>_xll.qlInterestRateIndexValueDate(IborIndex,Y2687,Trigger)</f>
        <v>57997</v>
      </c>
      <c r="AA2687" s="172" t="e">
        <v>#N/A</v>
      </c>
      <c r="AB2687" s="169" t="e">
        <v>#N/A</v>
      </c>
    </row>
    <row r="2688" spans="20:28" x14ac:dyDescent="0.2">
      <c r="T2688" s="130"/>
      <c r="U2688" s="151"/>
      <c r="X2688" s="170" t="str">
        <f t="shared" si="50"/>
        <v>1w</v>
      </c>
      <c r="Y2688" s="168">
        <f>_xll.qlCalendarAdvance(LiborCalendar,Y2687,X2688,"f",FALSE)</f>
        <v>58000</v>
      </c>
      <c r="Z2688" s="171">
        <f>_xll.qlInterestRateIndexValueDate(IborIndex,Y2688,Trigger)</f>
        <v>58004</v>
      </c>
      <c r="AA2688" s="172" t="e">
        <v>#N/A</v>
      </c>
      <c r="AB2688" s="169" t="e">
        <v>#N/A</v>
      </c>
    </row>
    <row r="2689" spans="20:28" x14ac:dyDescent="0.2">
      <c r="T2689" s="130"/>
      <c r="U2689" s="151"/>
      <c r="X2689" s="170" t="str">
        <f t="shared" si="50"/>
        <v>1w</v>
      </c>
      <c r="Y2689" s="168">
        <f>_xll.qlCalendarAdvance(LiborCalendar,Y2688,X2689,"f",FALSE)</f>
        <v>58007</v>
      </c>
      <c r="Z2689" s="171">
        <f>_xll.qlInterestRateIndexValueDate(IborIndex,Y2689,Trigger)</f>
        <v>58011</v>
      </c>
      <c r="AA2689" s="172" t="e">
        <v>#N/A</v>
      </c>
      <c r="AB2689" s="169" t="e">
        <v>#N/A</v>
      </c>
    </row>
    <row r="2690" spans="20:28" x14ac:dyDescent="0.2">
      <c r="T2690" s="130"/>
      <c r="U2690" s="151"/>
      <c r="X2690" s="170" t="str">
        <f t="shared" si="50"/>
        <v>1w</v>
      </c>
      <c r="Y2690" s="168">
        <f>_xll.qlCalendarAdvance(LiborCalendar,Y2689,X2690,"f",FALSE)</f>
        <v>58014</v>
      </c>
      <c r="Z2690" s="171">
        <f>_xll.qlInterestRateIndexValueDate(IborIndex,Y2690,Trigger)</f>
        <v>58018</v>
      </c>
      <c r="AA2690" s="172" t="e">
        <v>#N/A</v>
      </c>
      <c r="AB2690" s="169" t="e">
        <v>#N/A</v>
      </c>
    </row>
    <row r="2691" spans="20:28" x14ac:dyDescent="0.2">
      <c r="T2691" s="130"/>
      <c r="U2691" s="151"/>
      <c r="X2691" s="170" t="str">
        <f t="shared" si="50"/>
        <v>1w</v>
      </c>
      <c r="Y2691" s="168">
        <f>_xll.qlCalendarAdvance(LiborCalendar,Y2690,X2691,"f",FALSE)</f>
        <v>58021</v>
      </c>
      <c r="Z2691" s="171">
        <f>_xll.qlInterestRateIndexValueDate(IborIndex,Y2691,Trigger)</f>
        <v>58025</v>
      </c>
      <c r="AA2691" s="172" t="e">
        <v>#N/A</v>
      </c>
      <c r="AB2691" s="169" t="e">
        <v>#N/A</v>
      </c>
    </row>
    <row r="2692" spans="20:28" x14ac:dyDescent="0.2">
      <c r="T2692" s="130"/>
      <c r="U2692" s="151"/>
      <c r="X2692" s="170" t="str">
        <f t="shared" si="50"/>
        <v>1w</v>
      </c>
      <c r="Y2692" s="168">
        <f>_xll.qlCalendarAdvance(LiborCalendar,Y2691,X2692,"f",FALSE)</f>
        <v>58028</v>
      </c>
      <c r="Z2692" s="171">
        <f>_xll.qlInterestRateIndexValueDate(IborIndex,Y2692,Trigger)</f>
        <v>58032</v>
      </c>
      <c r="AA2692" s="172" t="e">
        <v>#N/A</v>
      </c>
      <c r="AB2692" s="169" t="e">
        <v>#N/A</v>
      </c>
    </row>
    <row r="2693" spans="20:28" x14ac:dyDescent="0.2">
      <c r="T2693" s="130"/>
      <c r="U2693" s="151"/>
      <c r="X2693" s="170" t="str">
        <f t="shared" si="50"/>
        <v>1w</v>
      </c>
      <c r="Y2693" s="168">
        <f>_xll.qlCalendarAdvance(LiborCalendar,Y2692,X2693,"f",FALSE)</f>
        <v>58035</v>
      </c>
      <c r="Z2693" s="171">
        <f>_xll.qlInterestRateIndexValueDate(IborIndex,Y2693,Trigger)</f>
        <v>58039</v>
      </c>
      <c r="AA2693" s="172" t="e">
        <v>#N/A</v>
      </c>
      <c r="AB2693" s="169" t="e">
        <v>#N/A</v>
      </c>
    </row>
    <row r="2694" spans="20:28" x14ac:dyDescent="0.2">
      <c r="T2694" s="130"/>
      <c r="U2694" s="151"/>
      <c r="X2694" s="170" t="str">
        <f t="shared" si="50"/>
        <v>1w</v>
      </c>
      <c r="Y2694" s="168">
        <f>_xll.qlCalendarAdvance(LiborCalendar,Y2693,X2694,"f",FALSE)</f>
        <v>58042</v>
      </c>
      <c r="Z2694" s="171">
        <f>_xll.qlInterestRateIndexValueDate(IborIndex,Y2694,Trigger)</f>
        <v>58046</v>
      </c>
      <c r="AA2694" s="172" t="e">
        <v>#N/A</v>
      </c>
      <c r="AB2694" s="169" t="e">
        <v>#N/A</v>
      </c>
    </row>
    <row r="2695" spans="20:28" x14ac:dyDescent="0.2">
      <c r="T2695" s="130"/>
      <c r="U2695" s="151"/>
      <c r="X2695" s="170" t="str">
        <f t="shared" si="50"/>
        <v>1w</v>
      </c>
      <c r="Y2695" s="168">
        <f>_xll.qlCalendarAdvance(LiborCalendar,Y2694,X2695,"f",FALSE)</f>
        <v>58049</v>
      </c>
      <c r="Z2695" s="171">
        <f>_xll.qlInterestRateIndexValueDate(IborIndex,Y2695,Trigger)</f>
        <v>58053</v>
      </c>
      <c r="AA2695" s="172" t="e">
        <v>#N/A</v>
      </c>
      <c r="AB2695" s="169" t="e">
        <v>#N/A</v>
      </c>
    </row>
    <row r="2696" spans="20:28" x14ac:dyDescent="0.2">
      <c r="T2696" s="130"/>
      <c r="U2696" s="151"/>
      <c r="X2696" s="170" t="str">
        <f t="shared" si="50"/>
        <v>1w</v>
      </c>
      <c r="Y2696" s="168">
        <f>_xll.qlCalendarAdvance(LiborCalendar,Y2695,X2696,"f",FALSE)</f>
        <v>58056</v>
      </c>
      <c r="Z2696" s="171">
        <f>_xll.qlInterestRateIndexValueDate(IborIndex,Y2696,Trigger)</f>
        <v>58060</v>
      </c>
      <c r="AA2696" s="172" t="e">
        <v>#N/A</v>
      </c>
      <c r="AB2696" s="169" t="e">
        <v>#N/A</v>
      </c>
    </row>
    <row r="2697" spans="20:28" x14ac:dyDescent="0.2">
      <c r="T2697" s="130"/>
      <c r="U2697" s="151"/>
      <c r="X2697" s="170" t="str">
        <f t="shared" si="50"/>
        <v>1w</v>
      </c>
      <c r="Y2697" s="168">
        <f>_xll.qlCalendarAdvance(LiborCalendar,Y2696,X2697,"f",FALSE)</f>
        <v>58063</v>
      </c>
      <c r="Z2697" s="171">
        <f>_xll.qlInterestRateIndexValueDate(IborIndex,Y2697,Trigger)</f>
        <v>58067</v>
      </c>
      <c r="AA2697" s="172" t="e">
        <v>#N/A</v>
      </c>
      <c r="AB2697" s="169" t="e">
        <v>#N/A</v>
      </c>
    </row>
    <row r="2698" spans="20:28" x14ac:dyDescent="0.2">
      <c r="T2698" s="130"/>
      <c r="U2698" s="151"/>
      <c r="X2698" s="170" t="str">
        <f t="shared" si="50"/>
        <v>1w</v>
      </c>
      <c r="Y2698" s="168">
        <f>_xll.qlCalendarAdvance(LiborCalendar,Y2697,X2698,"f",FALSE)</f>
        <v>58071</v>
      </c>
      <c r="Z2698" s="171">
        <f>_xll.qlInterestRateIndexValueDate(IborIndex,Y2698,Trigger)</f>
        <v>58075</v>
      </c>
      <c r="AA2698" s="172" t="e">
        <v>#N/A</v>
      </c>
      <c r="AB2698" s="169" t="e">
        <v>#N/A</v>
      </c>
    </row>
    <row r="2699" spans="20:28" x14ac:dyDescent="0.2">
      <c r="T2699" s="130"/>
      <c r="U2699" s="151"/>
      <c r="X2699" s="170" t="str">
        <f t="shared" si="50"/>
        <v>1w</v>
      </c>
      <c r="Y2699" s="168">
        <f>_xll.qlCalendarAdvance(LiborCalendar,Y2698,X2699,"f",FALSE)</f>
        <v>58078</v>
      </c>
      <c r="Z2699" s="171">
        <f>_xll.qlInterestRateIndexValueDate(IborIndex,Y2699,Trigger)</f>
        <v>58082</v>
      </c>
      <c r="AA2699" s="172" t="e">
        <v>#N/A</v>
      </c>
      <c r="AB2699" s="169" t="e">
        <v>#N/A</v>
      </c>
    </row>
    <row r="2700" spans="20:28" x14ac:dyDescent="0.2">
      <c r="T2700" s="130"/>
      <c r="U2700" s="151"/>
      <c r="X2700" s="170" t="str">
        <f t="shared" si="50"/>
        <v>1w</v>
      </c>
      <c r="Y2700" s="168">
        <f>_xll.qlCalendarAdvance(LiborCalendar,Y2699,X2700,"f",FALSE)</f>
        <v>58085</v>
      </c>
      <c r="Z2700" s="171">
        <f>_xll.qlInterestRateIndexValueDate(IborIndex,Y2700,Trigger)</f>
        <v>58089</v>
      </c>
      <c r="AA2700" s="172" t="e">
        <v>#N/A</v>
      </c>
      <c r="AB2700" s="169" t="e">
        <v>#N/A</v>
      </c>
    </row>
    <row r="2701" spans="20:28" x14ac:dyDescent="0.2">
      <c r="T2701" s="130"/>
      <c r="U2701" s="151"/>
      <c r="X2701" s="170" t="str">
        <f t="shared" si="50"/>
        <v>1w</v>
      </c>
      <c r="Y2701" s="168">
        <f>_xll.qlCalendarAdvance(LiborCalendar,Y2700,X2701,"f",FALSE)</f>
        <v>58092</v>
      </c>
      <c r="Z2701" s="171">
        <f>_xll.qlInterestRateIndexValueDate(IborIndex,Y2701,Trigger)</f>
        <v>58096</v>
      </c>
      <c r="AA2701" s="172" t="e">
        <v>#N/A</v>
      </c>
      <c r="AB2701" s="169" t="e">
        <v>#N/A</v>
      </c>
    </row>
    <row r="2702" spans="20:28" x14ac:dyDescent="0.2">
      <c r="T2702" s="130"/>
      <c r="U2702" s="151"/>
      <c r="X2702" s="170" t="str">
        <f t="shared" si="50"/>
        <v>1w</v>
      </c>
      <c r="Y2702" s="168">
        <f>_xll.qlCalendarAdvance(LiborCalendar,Y2701,X2702,"f",FALSE)</f>
        <v>58099</v>
      </c>
      <c r="Z2702" s="171">
        <f>_xll.qlInterestRateIndexValueDate(IborIndex,Y2702,Trigger)</f>
        <v>58103</v>
      </c>
      <c r="AA2702" s="172" t="e">
        <v>#N/A</v>
      </c>
      <c r="AB2702" s="169" t="e">
        <v>#N/A</v>
      </c>
    </row>
    <row r="2703" spans="20:28" x14ac:dyDescent="0.2">
      <c r="T2703" s="130"/>
      <c r="U2703" s="151"/>
      <c r="X2703" s="170" t="str">
        <f t="shared" si="50"/>
        <v>1w</v>
      </c>
      <c r="Y2703" s="168">
        <f>_xll.qlCalendarAdvance(LiborCalendar,Y2702,X2703,"f",FALSE)</f>
        <v>58106</v>
      </c>
      <c r="Z2703" s="171">
        <f>_xll.qlInterestRateIndexValueDate(IborIndex,Y2703,Trigger)</f>
        <v>58110</v>
      </c>
      <c r="AA2703" s="172" t="e">
        <v>#N/A</v>
      </c>
      <c r="AB2703" s="169" t="e">
        <v>#N/A</v>
      </c>
    </row>
    <row r="2704" spans="20:28" x14ac:dyDescent="0.2">
      <c r="T2704" s="130"/>
      <c r="U2704" s="151"/>
      <c r="X2704" s="170" t="str">
        <f t="shared" si="50"/>
        <v>1w</v>
      </c>
      <c r="Y2704" s="168">
        <f>_xll.qlCalendarAdvance(LiborCalendar,Y2703,X2704,"f",FALSE)</f>
        <v>58113</v>
      </c>
      <c r="Z2704" s="171">
        <f>_xll.qlInterestRateIndexValueDate(IborIndex,Y2704,Trigger)</f>
        <v>58117</v>
      </c>
      <c r="AA2704" s="172" t="e">
        <v>#N/A</v>
      </c>
      <c r="AB2704" s="169" t="e">
        <v>#N/A</v>
      </c>
    </row>
    <row r="2705" spans="20:28" x14ac:dyDescent="0.2">
      <c r="T2705" s="130"/>
      <c r="U2705" s="151"/>
      <c r="X2705" s="170" t="str">
        <f t="shared" si="50"/>
        <v>1w</v>
      </c>
      <c r="Y2705" s="168">
        <f>_xll.qlCalendarAdvance(LiborCalendar,Y2704,X2705,"f",FALSE)</f>
        <v>58120</v>
      </c>
      <c r="Z2705" s="171">
        <f>_xll.qlInterestRateIndexValueDate(IborIndex,Y2705,Trigger)</f>
        <v>58124</v>
      </c>
      <c r="AA2705" s="172" t="e">
        <v>#N/A</v>
      </c>
      <c r="AB2705" s="169" t="e">
        <v>#N/A</v>
      </c>
    </row>
    <row r="2706" spans="20:28" x14ac:dyDescent="0.2">
      <c r="T2706" s="130"/>
      <c r="U2706" s="151"/>
      <c r="X2706" s="170" t="str">
        <f t="shared" si="50"/>
        <v>1w</v>
      </c>
      <c r="Y2706" s="168">
        <f>_xll.qlCalendarAdvance(LiborCalendar,Y2705,X2706,"f",FALSE)</f>
        <v>58127</v>
      </c>
      <c r="Z2706" s="171">
        <f>_xll.qlInterestRateIndexValueDate(IborIndex,Y2706,Trigger)</f>
        <v>58131</v>
      </c>
      <c r="AA2706" s="172" t="e">
        <v>#N/A</v>
      </c>
      <c r="AB2706" s="169" t="e">
        <v>#N/A</v>
      </c>
    </row>
    <row r="2707" spans="20:28" x14ac:dyDescent="0.2">
      <c r="T2707" s="130"/>
      <c r="U2707" s="151"/>
      <c r="X2707" s="170" t="str">
        <f t="shared" si="50"/>
        <v>1w</v>
      </c>
      <c r="Y2707" s="168">
        <f>_xll.qlCalendarAdvance(LiborCalendar,Y2706,X2707,"f",FALSE)</f>
        <v>58134</v>
      </c>
      <c r="Z2707" s="171">
        <f>_xll.qlInterestRateIndexValueDate(IborIndex,Y2707,Trigger)</f>
        <v>58138</v>
      </c>
      <c r="AA2707" s="172" t="e">
        <v>#N/A</v>
      </c>
      <c r="AB2707" s="169" t="e">
        <v>#N/A</v>
      </c>
    </row>
    <row r="2708" spans="20:28" x14ac:dyDescent="0.2">
      <c r="T2708" s="130"/>
      <c r="U2708" s="151"/>
      <c r="X2708" s="170" t="str">
        <f t="shared" si="50"/>
        <v>1w</v>
      </c>
      <c r="Y2708" s="168">
        <f>_xll.qlCalendarAdvance(LiborCalendar,Y2707,X2708,"f",FALSE)</f>
        <v>58141</v>
      </c>
      <c r="Z2708" s="171">
        <f>_xll.qlInterestRateIndexValueDate(IborIndex,Y2708,Trigger)</f>
        <v>58145</v>
      </c>
      <c r="AA2708" s="172" t="e">
        <v>#N/A</v>
      </c>
      <c r="AB2708" s="169" t="e">
        <v>#N/A</v>
      </c>
    </row>
    <row r="2709" spans="20:28" x14ac:dyDescent="0.2">
      <c r="T2709" s="130"/>
      <c r="U2709" s="151"/>
      <c r="X2709" s="170" t="str">
        <f t="shared" ref="X2709:X2772" si="51">X2708</f>
        <v>1w</v>
      </c>
      <c r="Y2709" s="168">
        <f>_xll.qlCalendarAdvance(LiborCalendar,Y2708,X2709,"f",FALSE)</f>
        <v>58148</v>
      </c>
      <c r="Z2709" s="171">
        <f>_xll.qlInterestRateIndexValueDate(IborIndex,Y2709,Trigger)</f>
        <v>58152</v>
      </c>
      <c r="AA2709" s="172" t="e">
        <v>#N/A</v>
      </c>
      <c r="AB2709" s="169" t="e">
        <v>#N/A</v>
      </c>
    </row>
    <row r="2710" spans="20:28" x14ac:dyDescent="0.2">
      <c r="T2710" s="130"/>
      <c r="U2710" s="151"/>
      <c r="X2710" s="170" t="str">
        <f t="shared" si="51"/>
        <v>1w</v>
      </c>
      <c r="Y2710" s="168">
        <f>_xll.qlCalendarAdvance(LiborCalendar,Y2709,X2710,"f",FALSE)</f>
        <v>58155</v>
      </c>
      <c r="Z2710" s="171">
        <f>_xll.qlInterestRateIndexValueDate(IborIndex,Y2710,Trigger)</f>
        <v>58159</v>
      </c>
      <c r="AA2710" s="172" t="e">
        <v>#N/A</v>
      </c>
      <c r="AB2710" s="169" t="e">
        <v>#N/A</v>
      </c>
    </row>
    <row r="2711" spans="20:28" x14ac:dyDescent="0.2">
      <c r="T2711" s="130"/>
      <c r="U2711" s="151"/>
      <c r="X2711" s="170" t="str">
        <f t="shared" si="51"/>
        <v>1w</v>
      </c>
      <c r="Y2711" s="168">
        <f>_xll.qlCalendarAdvance(LiborCalendar,Y2710,X2711,"f",FALSE)</f>
        <v>58166</v>
      </c>
      <c r="Z2711" s="171">
        <f>_xll.qlInterestRateIndexValueDate(IborIndex,Y2711,Trigger)</f>
        <v>58168</v>
      </c>
      <c r="AA2711" s="172" t="e">
        <v>#N/A</v>
      </c>
      <c r="AB2711" s="169" t="e">
        <v>#N/A</v>
      </c>
    </row>
    <row r="2712" spans="20:28" x14ac:dyDescent="0.2">
      <c r="T2712" s="130"/>
      <c r="U2712" s="151"/>
      <c r="X2712" s="170" t="str">
        <f t="shared" si="51"/>
        <v>1w</v>
      </c>
      <c r="Y2712" s="168">
        <f>_xll.qlCalendarAdvance(LiborCalendar,Y2711,X2712,"f",FALSE)</f>
        <v>58173</v>
      </c>
      <c r="Z2712" s="171">
        <f>_xll.qlInterestRateIndexValueDate(IborIndex,Y2712,Trigger)</f>
        <v>58175</v>
      </c>
      <c r="AA2712" s="172" t="e">
        <v>#N/A</v>
      </c>
      <c r="AB2712" s="169" t="e">
        <v>#N/A</v>
      </c>
    </row>
    <row r="2713" spans="20:28" x14ac:dyDescent="0.2">
      <c r="T2713" s="130"/>
      <c r="U2713" s="151"/>
      <c r="X2713" s="170" t="str">
        <f t="shared" si="51"/>
        <v>1w</v>
      </c>
      <c r="Y2713" s="168">
        <f>_xll.qlCalendarAdvance(LiborCalendar,Y2712,X2713,"f",FALSE)</f>
        <v>58180</v>
      </c>
      <c r="Z2713" s="171">
        <f>_xll.qlInterestRateIndexValueDate(IborIndex,Y2713,Trigger)</f>
        <v>58182</v>
      </c>
      <c r="AA2713" s="172" t="e">
        <v>#N/A</v>
      </c>
      <c r="AB2713" s="169" t="e">
        <v>#N/A</v>
      </c>
    </row>
    <row r="2714" spans="20:28" x14ac:dyDescent="0.2">
      <c r="T2714" s="130"/>
      <c r="U2714" s="151"/>
      <c r="X2714" s="170" t="str">
        <f t="shared" si="51"/>
        <v>1w</v>
      </c>
      <c r="Y2714" s="168">
        <f>_xll.qlCalendarAdvance(LiborCalendar,Y2713,X2714,"f",FALSE)</f>
        <v>58187</v>
      </c>
      <c r="Z2714" s="171">
        <f>_xll.qlInterestRateIndexValueDate(IborIndex,Y2714,Trigger)</f>
        <v>58189</v>
      </c>
      <c r="AA2714" s="172" t="e">
        <v>#N/A</v>
      </c>
      <c r="AB2714" s="169" t="e">
        <v>#N/A</v>
      </c>
    </row>
    <row r="2715" spans="20:28" x14ac:dyDescent="0.2">
      <c r="T2715" s="130"/>
      <c r="U2715" s="151"/>
      <c r="X2715" s="170" t="str">
        <f t="shared" si="51"/>
        <v>1w</v>
      </c>
      <c r="Y2715" s="168">
        <f>_xll.qlCalendarAdvance(LiborCalendar,Y2714,X2715,"f",FALSE)</f>
        <v>58194</v>
      </c>
      <c r="Z2715" s="171">
        <f>_xll.qlInterestRateIndexValueDate(IborIndex,Y2715,Trigger)</f>
        <v>58197</v>
      </c>
      <c r="AA2715" s="172" t="e">
        <v>#N/A</v>
      </c>
      <c r="AB2715" s="169" t="e">
        <v>#N/A</v>
      </c>
    </row>
    <row r="2716" spans="20:28" x14ac:dyDescent="0.2">
      <c r="T2716" s="130"/>
      <c r="U2716" s="151"/>
      <c r="X2716" s="170" t="str">
        <f t="shared" si="51"/>
        <v>1w</v>
      </c>
      <c r="Y2716" s="168">
        <f>_xll.qlCalendarAdvance(LiborCalendar,Y2715,X2716,"f",FALSE)</f>
        <v>58201</v>
      </c>
      <c r="Z2716" s="171">
        <f>_xll.qlInterestRateIndexValueDate(IborIndex,Y2716,Trigger)</f>
        <v>58204</v>
      </c>
      <c r="AA2716" s="172" t="e">
        <v>#N/A</v>
      </c>
      <c r="AB2716" s="169" t="e">
        <v>#N/A</v>
      </c>
    </row>
    <row r="2717" spans="20:28" x14ac:dyDescent="0.2">
      <c r="T2717" s="130"/>
      <c r="U2717" s="151"/>
      <c r="X2717" s="170" t="str">
        <f t="shared" si="51"/>
        <v>1w</v>
      </c>
      <c r="Y2717" s="168">
        <f>_xll.qlCalendarAdvance(LiborCalendar,Y2716,X2717,"f",FALSE)</f>
        <v>58208</v>
      </c>
      <c r="Z2717" s="171">
        <f>_xll.qlInterestRateIndexValueDate(IborIndex,Y2717,Trigger)</f>
        <v>58210</v>
      </c>
      <c r="AA2717" s="172" t="e">
        <v>#N/A</v>
      </c>
      <c r="AB2717" s="169" t="e">
        <v>#N/A</v>
      </c>
    </row>
    <row r="2718" spans="20:28" x14ac:dyDescent="0.2">
      <c r="T2718" s="130"/>
      <c r="U2718" s="151"/>
      <c r="X2718" s="170" t="str">
        <f t="shared" si="51"/>
        <v>1w</v>
      </c>
      <c r="Y2718" s="168">
        <f>_xll.qlCalendarAdvance(LiborCalendar,Y2717,X2718,"f",FALSE)</f>
        <v>58215</v>
      </c>
      <c r="Z2718" s="171">
        <f>_xll.qlInterestRateIndexValueDate(IborIndex,Y2718,Trigger)</f>
        <v>58217</v>
      </c>
      <c r="AA2718" s="172" t="e">
        <v>#N/A</v>
      </c>
      <c r="AB2718" s="169" t="e">
        <v>#N/A</v>
      </c>
    </row>
    <row r="2719" spans="20:28" x14ac:dyDescent="0.2">
      <c r="T2719" s="130"/>
      <c r="U2719" s="151"/>
      <c r="X2719" s="170" t="str">
        <f t="shared" si="51"/>
        <v>1w</v>
      </c>
      <c r="Y2719" s="168">
        <f>_xll.qlCalendarAdvance(LiborCalendar,Y2718,X2719,"f",FALSE)</f>
        <v>58222</v>
      </c>
      <c r="Z2719" s="171">
        <f>_xll.qlInterestRateIndexValueDate(IborIndex,Y2719,Trigger)</f>
        <v>58224</v>
      </c>
      <c r="AA2719" s="172" t="e">
        <v>#N/A</v>
      </c>
      <c r="AB2719" s="169" t="e">
        <v>#N/A</v>
      </c>
    </row>
    <row r="2720" spans="20:28" x14ac:dyDescent="0.2">
      <c r="T2720" s="130"/>
      <c r="U2720" s="151"/>
      <c r="X2720" s="170" t="str">
        <f t="shared" si="51"/>
        <v>1w</v>
      </c>
      <c r="Y2720" s="168">
        <f>_xll.qlCalendarAdvance(LiborCalendar,Y2719,X2720,"f",FALSE)</f>
        <v>58229</v>
      </c>
      <c r="Z2720" s="171">
        <f>_xll.qlInterestRateIndexValueDate(IborIndex,Y2720,Trigger)</f>
        <v>58231</v>
      </c>
      <c r="AA2720" s="172" t="e">
        <v>#N/A</v>
      </c>
      <c r="AB2720" s="169" t="e">
        <v>#N/A</v>
      </c>
    </row>
    <row r="2721" spans="20:28" x14ac:dyDescent="0.2">
      <c r="T2721" s="130"/>
      <c r="U2721" s="151"/>
      <c r="X2721" s="170" t="str">
        <f t="shared" si="51"/>
        <v>1w</v>
      </c>
      <c r="Y2721" s="168">
        <f>_xll.qlCalendarAdvance(LiborCalendar,Y2720,X2721,"f",FALSE)</f>
        <v>58236</v>
      </c>
      <c r="Z2721" s="171">
        <f>_xll.qlInterestRateIndexValueDate(IborIndex,Y2721,Trigger)</f>
        <v>58238</v>
      </c>
      <c r="AA2721" s="172" t="e">
        <v>#N/A</v>
      </c>
      <c r="AB2721" s="169" t="e">
        <v>#N/A</v>
      </c>
    </row>
    <row r="2722" spans="20:28" x14ac:dyDescent="0.2">
      <c r="T2722" s="130"/>
      <c r="U2722" s="151"/>
      <c r="X2722" s="170" t="str">
        <f t="shared" si="51"/>
        <v>1w</v>
      </c>
      <c r="Y2722" s="168">
        <f>_xll.qlCalendarAdvance(LiborCalendar,Y2721,X2722,"f",FALSE)</f>
        <v>58243</v>
      </c>
      <c r="Z2722" s="171">
        <f>_xll.qlInterestRateIndexValueDate(IborIndex,Y2722,Trigger)</f>
        <v>58245</v>
      </c>
      <c r="AA2722" s="172" t="e">
        <v>#N/A</v>
      </c>
      <c r="AB2722" s="169" t="e">
        <v>#N/A</v>
      </c>
    </row>
    <row r="2723" spans="20:28" x14ac:dyDescent="0.2">
      <c r="T2723" s="130"/>
      <c r="U2723" s="151"/>
      <c r="X2723" s="170" t="str">
        <f t="shared" si="51"/>
        <v>1w</v>
      </c>
      <c r="Y2723" s="168">
        <f>_xll.qlCalendarAdvance(LiborCalendar,Y2722,X2723,"f",FALSE)</f>
        <v>58250</v>
      </c>
      <c r="Z2723" s="171">
        <f>_xll.qlInterestRateIndexValueDate(IborIndex,Y2723,Trigger)</f>
        <v>58252</v>
      </c>
      <c r="AA2723" s="172" t="e">
        <v>#N/A</v>
      </c>
      <c r="AB2723" s="169" t="e">
        <v>#N/A</v>
      </c>
    </row>
    <row r="2724" spans="20:28" x14ac:dyDescent="0.2">
      <c r="T2724" s="130"/>
      <c r="U2724" s="151"/>
      <c r="X2724" s="170" t="str">
        <f t="shared" si="51"/>
        <v>1w</v>
      </c>
      <c r="Y2724" s="168">
        <f>_xll.qlCalendarAdvance(LiborCalendar,Y2723,X2724,"f",FALSE)</f>
        <v>58257</v>
      </c>
      <c r="Z2724" s="171">
        <f>_xll.qlInterestRateIndexValueDate(IborIndex,Y2724,Trigger)</f>
        <v>58259</v>
      </c>
      <c r="AA2724" s="172" t="e">
        <v>#N/A</v>
      </c>
      <c r="AB2724" s="169" t="e">
        <v>#N/A</v>
      </c>
    </row>
    <row r="2725" spans="20:28" x14ac:dyDescent="0.2">
      <c r="T2725" s="130"/>
      <c r="U2725" s="151"/>
      <c r="X2725" s="170" t="str">
        <f t="shared" si="51"/>
        <v>1w</v>
      </c>
      <c r="Y2725" s="168">
        <f>_xll.qlCalendarAdvance(LiborCalendar,Y2724,X2725,"f",FALSE)</f>
        <v>58264</v>
      </c>
      <c r="Z2725" s="171">
        <f>_xll.qlInterestRateIndexValueDate(IborIndex,Y2725,Trigger)</f>
        <v>58266</v>
      </c>
      <c r="AA2725" s="172" t="e">
        <v>#N/A</v>
      </c>
      <c r="AB2725" s="169" t="e">
        <v>#N/A</v>
      </c>
    </row>
    <row r="2726" spans="20:28" x14ac:dyDescent="0.2">
      <c r="T2726" s="130"/>
      <c r="U2726" s="151"/>
      <c r="X2726" s="170" t="str">
        <f t="shared" si="51"/>
        <v>1w</v>
      </c>
      <c r="Y2726" s="168">
        <f>_xll.qlCalendarAdvance(LiborCalendar,Y2725,X2726,"f",FALSE)</f>
        <v>58271</v>
      </c>
      <c r="Z2726" s="171">
        <f>_xll.qlInterestRateIndexValueDate(IborIndex,Y2726,Trigger)</f>
        <v>58273</v>
      </c>
      <c r="AA2726" s="172" t="e">
        <v>#N/A</v>
      </c>
      <c r="AB2726" s="169" t="e">
        <v>#N/A</v>
      </c>
    </row>
    <row r="2727" spans="20:28" x14ac:dyDescent="0.2">
      <c r="T2727" s="130"/>
      <c r="U2727" s="151"/>
      <c r="X2727" s="170" t="str">
        <f t="shared" si="51"/>
        <v>1w</v>
      </c>
      <c r="Y2727" s="168">
        <f>_xll.qlCalendarAdvance(LiborCalendar,Y2726,X2727,"f",FALSE)</f>
        <v>58278</v>
      </c>
      <c r="Z2727" s="171">
        <f>_xll.qlInterestRateIndexValueDate(IborIndex,Y2727,Trigger)</f>
        <v>58280</v>
      </c>
      <c r="AA2727" s="172" t="e">
        <v>#N/A</v>
      </c>
      <c r="AB2727" s="169" t="e">
        <v>#N/A</v>
      </c>
    </row>
    <row r="2728" spans="20:28" x14ac:dyDescent="0.2">
      <c r="T2728" s="130"/>
      <c r="U2728" s="151"/>
      <c r="X2728" s="170" t="str">
        <f t="shared" si="51"/>
        <v>1w</v>
      </c>
      <c r="Y2728" s="168">
        <f>_xll.qlCalendarAdvance(LiborCalendar,Y2727,X2728,"f",FALSE)</f>
        <v>58285</v>
      </c>
      <c r="Z2728" s="171">
        <f>_xll.qlInterestRateIndexValueDate(IborIndex,Y2728,Trigger)</f>
        <v>58287</v>
      </c>
      <c r="AA2728" s="172" t="e">
        <v>#N/A</v>
      </c>
      <c r="AB2728" s="169" t="e">
        <v>#N/A</v>
      </c>
    </row>
    <row r="2729" spans="20:28" x14ac:dyDescent="0.2">
      <c r="T2729" s="130"/>
      <c r="U2729" s="151"/>
      <c r="X2729" s="170" t="str">
        <f t="shared" si="51"/>
        <v>1w</v>
      </c>
      <c r="Y2729" s="168">
        <f>_xll.qlCalendarAdvance(LiborCalendar,Y2728,X2729,"f",FALSE)</f>
        <v>58292</v>
      </c>
      <c r="Z2729" s="171">
        <f>_xll.qlInterestRateIndexValueDate(IborIndex,Y2729,Trigger)</f>
        <v>58294</v>
      </c>
      <c r="AA2729" s="172" t="e">
        <v>#N/A</v>
      </c>
      <c r="AB2729" s="169" t="e">
        <v>#N/A</v>
      </c>
    </row>
    <row r="2730" spans="20:28" x14ac:dyDescent="0.2">
      <c r="T2730" s="130"/>
      <c r="U2730" s="151"/>
      <c r="X2730" s="170" t="str">
        <f t="shared" si="51"/>
        <v>1w</v>
      </c>
      <c r="Y2730" s="168">
        <f>_xll.qlCalendarAdvance(LiborCalendar,Y2729,X2730,"f",FALSE)</f>
        <v>58299</v>
      </c>
      <c r="Z2730" s="171">
        <f>_xll.qlInterestRateIndexValueDate(IborIndex,Y2730,Trigger)</f>
        <v>58301</v>
      </c>
      <c r="AA2730" s="172" t="e">
        <v>#N/A</v>
      </c>
      <c r="AB2730" s="169" t="e">
        <v>#N/A</v>
      </c>
    </row>
    <row r="2731" spans="20:28" x14ac:dyDescent="0.2">
      <c r="T2731" s="130"/>
      <c r="U2731" s="151"/>
      <c r="X2731" s="170" t="str">
        <f t="shared" si="51"/>
        <v>1w</v>
      </c>
      <c r="Y2731" s="168">
        <f>_xll.qlCalendarAdvance(LiborCalendar,Y2730,X2731,"f",FALSE)</f>
        <v>58306</v>
      </c>
      <c r="Z2731" s="171">
        <f>_xll.qlInterestRateIndexValueDate(IborIndex,Y2731,Trigger)</f>
        <v>58308</v>
      </c>
      <c r="AA2731" s="172" t="e">
        <v>#N/A</v>
      </c>
      <c r="AB2731" s="169" t="e">
        <v>#N/A</v>
      </c>
    </row>
    <row r="2732" spans="20:28" x14ac:dyDescent="0.2">
      <c r="T2732" s="130"/>
      <c r="U2732" s="151"/>
      <c r="X2732" s="170" t="str">
        <f t="shared" si="51"/>
        <v>1w</v>
      </c>
      <c r="Y2732" s="168">
        <f>_xll.qlCalendarAdvance(LiborCalendar,Y2731,X2732,"f",FALSE)</f>
        <v>58313</v>
      </c>
      <c r="Z2732" s="171">
        <f>_xll.qlInterestRateIndexValueDate(IborIndex,Y2732,Trigger)</f>
        <v>58315</v>
      </c>
      <c r="AA2732" s="172" t="e">
        <v>#N/A</v>
      </c>
      <c r="AB2732" s="169" t="e">
        <v>#N/A</v>
      </c>
    </row>
    <row r="2733" spans="20:28" x14ac:dyDescent="0.2">
      <c r="T2733" s="130"/>
      <c r="U2733" s="151"/>
      <c r="X2733" s="170" t="str">
        <f t="shared" si="51"/>
        <v>1w</v>
      </c>
      <c r="Y2733" s="168">
        <f>_xll.qlCalendarAdvance(LiborCalendar,Y2732,X2733,"f",FALSE)</f>
        <v>58320</v>
      </c>
      <c r="Z2733" s="171">
        <f>_xll.qlInterestRateIndexValueDate(IborIndex,Y2733,Trigger)</f>
        <v>58322</v>
      </c>
      <c r="AA2733" s="172" t="e">
        <v>#N/A</v>
      </c>
      <c r="AB2733" s="169" t="e">
        <v>#N/A</v>
      </c>
    </row>
    <row r="2734" spans="20:28" x14ac:dyDescent="0.2">
      <c r="T2734" s="130"/>
      <c r="U2734" s="151"/>
      <c r="X2734" s="170" t="str">
        <f t="shared" si="51"/>
        <v>1w</v>
      </c>
      <c r="Y2734" s="168">
        <f>_xll.qlCalendarAdvance(LiborCalendar,Y2733,X2734,"f",FALSE)</f>
        <v>58327</v>
      </c>
      <c r="Z2734" s="171">
        <f>_xll.qlInterestRateIndexValueDate(IborIndex,Y2734,Trigger)</f>
        <v>58329</v>
      </c>
      <c r="AA2734" s="172" t="e">
        <v>#N/A</v>
      </c>
      <c r="AB2734" s="169" t="e">
        <v>#N/A</v>
      </c>
    </row>
    <row r="2735" spans="20:28" x14ac:dyDescent="0.2">
      <c r="T2735" s="130"/>
      <c r="U2735" s="151"/>
      <c r="X2735" s="170" t="str">
        <f t="shared" si="51"/>
        <v>1w</v>
      </c>
      <c r="Y2735" s="168">
        <f>_xll.qlCalendarAdvance(LiborCalendar,Y2734,X2735,"f",FALSE)</f>
        <v>58334</v>
      </c>
      <c r="Z2735" s="171">
        <f>_xll.qlInterestRateIndexValueDate(IborIndex,Y2735,Trigger)</f>
        <v>58336</v>
      </c>
      <c r="AA2735" s="172" t="e">
        <v>#N/A</v>
      </c>
      <c r="AB2735" s="169" t="e">
        <v>#N/A</v>
      </c>
    </row>
    <row r="2736" spans="20:28" x14ac:dyDescent="0.2">
      <c r="T2736" s="130"/>
      <c r="U2736" s="151"/>
      <c r="X2736" s="170" t="str">
        <f t="shared" si="51"/>
        <v>1w</v>
      </c>
      <c r="Y2736" s="168">
        <f>_xll.qlCalendarAdvance(LiborCalendar,Y2735,X2736,"f",FALSE)</f>
        <v>58341</v>
      </c>
      <c r="Z2736" s="171">
        <f>_xll.qlInterestRateIndexValueDate(IborIndex,Y2736,Trigger)</f>
        <v>58343</v>
      </c>
      <c r="AA2736" s="172" t="e">
        <v>#N/A</v>
      </c>
      <c r="AB2736" s="169" t="e">
        <v>#N/A</v>
      </c>
    </row>
    <row r="2737" spans="20:28" x14ac:dyDescent="0.2">
      <c r="T2737" s="130"/>
      <c r="U2737" s="151"/>
      <c r="X2737" s="170" t="str">
        <f t="shared" si="51"/>
        <v>1w</v>
      </c>
      <c r="Y2737" s="168">
        <f>_xll.qlCalendarAdvance(LiborCalendar,Y2736,X2737,"f",FALSE)</f>
        <v>58348</v>
      </c>
      <c r="Z2737" s="171">
        <f>_xll.qlInterestRateIndexValueDate(IborIndex,Y2737,Trigger)</f>
        <v>58350</v>
      </c>
      <c r="AA2737" s="172" t="e">
        <v>#N/A</v>
      </c>
      <c r="AB2737" s="169" t="e">
        <v>#N/A</v>
      </c>
    </row>
    <row r="2738" spans="20:28" x14ac:dyDescent="0.2">
      <c r="T2738" s="130"/>
      <c r="U2738" s="151"/>
      <c r="X2738" s="170" t="str">
        <f t="shared" si="51"/>
        <v>1w</v>
      </c>
      <c r="Y2738" s="168">
        <f>_xll.qlCalendarAdvance(LiborCalendar,Y2737,X2738,"f",FALSE)</f>
        <v>58355</v>
      </c>
      <c r="Z2738" s="171">
        <f>_xll.qlInterestRateIndexValueDate(IborIndex,Y2738,Trigger)</f>
        <v>58357</v>
      </c>
      <c r="AA2738" s="172" t="e">
        <v>#N/A</v>
      </c>
      <c r="AB2738" s="169" t="e">
        <v>#N/A</v>
      </c>
    </row>
    <row r="2739" spans="20:28" x14ac:dyDescent="0.2">
      <c r="T2739" s="130"/>
      <c r="U2739" s="151"/>
      <c r="X2739" s="170" t="str">
        <f t="shared" si="51"/>
        <v>1w</v>
      </c>
      <c r="Y2739" s="168">
        <f>_xll.qlCalendarAdvance(LiborCalendar,Y2738,X2739,"f",FALSE)</f>
        <v>58362</v>
      </c>
      <c r="Z2739" s="171">
        <f>_xll.qlInterestRateIndexValueDate(IborIndex,Y2739,Trigger)</f>
        <v>58364</v>
      </c>
      <c r="AA2739" s="172" t="e">
        <v>#N/A</v>
      </c>
      <c r="AB2739" s="169" t="e">
        <v>#N/A</v>
      </c>
    </row>
    <row r="2740" spans="20:28" x14ac:dyDescent="0.2">
      <c r="T2740" s="130"/>
      <c r="U2740" s="151"/>
      <c r="X2740" s="170" t="str">
        <f t="shared" si="51"/>
        <v>1w</v>
      </c>
      <c r="Y2740" s="168">
        <f>_xll.qlCalendarAdvance(LiborCalendar,Y2739,X2740,"f",FALSE)</f>
        <v>58369</v>
      </c>
      <c r="Z2740" s="171">
        <f>_xll.qlInterestRateIndexValueDate(IborIndex,Y2740,Trigger)</f>
        <v>58371</v>
      </c>
      <c r="AA2740" s="172" t="e">
        <v>#N/A</v>
      </c>
      <c r="AB2740" s="169" t="e">
        <v>#N/A</v>
      </c>
    </row>
    <row r="2741" spans="20:28" x14ac:dyDescent="0.2">
      <c r="T2741" s="130"/>
      <c r="U2741" s="151"/>
      <c r="X2741" s="170" t="str">
        <f t="shared" si="51"/>
        <v>1w</v>
      </c>
      <c r="Y2741" s="168">
        <f>_xll.qlCalendarAdvance(LiborCalendar,Y2740,X2741,"f",FALSE)</f>
        <v>58376</v>
      </c>
      <c r="Z2741" s="171">
        <f>_xll.qlInterestRateIndexValueDate(IborIndex,Y2741,Trigger)</f>
        <v>58378</v>
      </c>
      <c r="AA2741" s="172" t="e">
        <v>#N/A</v>
      </c>
      <c r="AB2741" s="169" t="e">
        <v>#N/A</v>
      </c>
    </row>
    <row r="2742" spans="20:28" x14ac:dyDescent="0.2">
      <c r="T2742" s="130"/>
      <c r="U2742" s="151"/>
      <c r="X2742" s="170" t="str">
        <f t="shared" si="51"/>
        <v>1w</v>
      </c>
      <c r="Y2742" s="168">
        <f>_xll.qlCalendarAdvance(LiborCalendar,Y2741,X2742,"f",FALSE)</f>
        <v>58383</v>
      </c>
      <c r="Z2742" s="171">
        <f>_xll.qlInterestRateIndexValueDate(IborIndex,Y2742,Trigger)</f>
        <v>58385</v>
      </c>
      <c r="AA2742" s="172" t="e">
        <v>#N/A</v>
      </c>
      <c r="AB2742" s="169" t="e">
        <v>#N/A</v>
      </c>
    </row>
    <row r="2743" spans="20:28" x14ac:dyDescent="0.2">
      <c r="T2743" s="130"/>
      <c r="U2743" s="151"/>
      <c r="X2743" s="170" t="str">
        <f t="shared" si="51"/>
        <v>1w</v>
      </c>
      <c r="Y2743" s="168">
        <f>_xll.qlCalendarAdvance(LiborCalendar,Y2742,X2743,"f",FALSE)</f>
        <v>58390</v>
      </c>
      <c r="Z2743" s="171">
        <f>_xll.qlInterestRateIndexValueDate(IborIndex,Y2743,Trigger)</f>
        <v>58392</v>
      </c>
      <c r="AA2743" s="172" t="e">
        <v>#N/A</v>
      </c>
      <c r="AB2743" s="169" t="e">
        <v>#N/A</v>
      </c>
    </row>
    <row r="2744" spans="20:28" x14ac:dyDescent="0.2">
      <c r="T2744" s="130"/>
      <c r="U2744" s="151"/>
      <c r="X2744" s="170" t="str">
        <f t="shared" si="51"/>
        <v>1w</v>
      </c>
      <c r="Y2744" s="168">
        <f>_xll.qlCalendarAdvance(LiborCalendar,Y2743,X2744,"f",FALSE)</f>
        <v>58397</v>
      </c>
      <c r="Z2744" s="171">
        <f>_xll.qlInterestRateIndexValueDate(IborIndex,Y2744,Trigger)</f>
        <v>58399</v>
      </c>
      <c r="AA2744" s="172" t="e">
        <v>#N/A</v>
      </c>
      <c r="AB2744" s="169" t="e">
        <v>#N/A</v>
      </c>
    </row>
    <row r="2745" spans="20:28" x14ac:dyDescent="0.2">
      <c r="T2745" s="130"/>
      <c r="U2745" s="151"/>
      <c r="X2745" s="170" t="str">
        <f t="shared" si="51"/>
        <v>1w</v>
      </c>
      <c r="Y2745" s="168">
        <f>_xll.qlCalendarAdvance(LiborCalendar,Y2744,X2745,"f",FALSE)</f>
        <v>58404</v>
      </c>
      <c r="Z2745" s="171">
        <f>_xll.qlInterestRateIndexValueDate(IborIndex,Y2745,Trigger)</f>
        <v>58406</v>
      </c>
      <c r="AA2745" s="172" t="e">
        <v>#N/A</v>
      </c>
      <c r="AB2745" s="169" t="e">
        <v>#N/A</v>
      </c>
    </row>
    <row r="2746" spans="20:28" x14ac:dyDescent="0.2">
      <c r="T2746" s="130"/>
      <c r="U2746" s="151"/>
      <c r="X2746" s="170" t="str">
        <f t="shared" si="51"/>
        <v>1w</v>
      </c>
      <c r="Y2746" s="168">
        <f>_xll.qlCalendarAdvance(LiborCalendar,Y2745,X2746,"f",FALSE)</f>
        <v>58411</v>
      </c>
      <c r="Z2746" s="171">
        <f>_xll.qlInterestRateIndexValueDate(IborIndex,Y2746,Trigger)</f>
        <v>58413</v>
      </c>
      <c r="AA2746" s="172" t="e">
        <v>#N/A</v>
      </c>
      <c r="AB2746" s="169" t="e">
        <v>#N/A</v>
      </c>
    </row>
    <row r="2747" spans="20:28" x14ac:dyDescent="0.2">
      <c r="T2747" s="130"/>
      <c r="U2747" s="151"/>
      <c r="X2747" s="170" t="str">
        <f t="shared" si="51"/>
        <v>1w</v>
      </c>
      <c r="Y2747" s="168">
        <f>_xll.qlCalendarAdvance(LiborCalendar,Y2746,X2747,"f",FALSE)</f>
        <v>58418</v>
      </c>
      <c r="Z2747" s="171">
        <f>_xll.qlInterestRateIndexValueDate(IborIndex,Y2747,Trigger)</f>
        <v>58420</v>
      </c>
      <c r="AA2747" s="172" t="e">
        <v>#N/A</v>
      </c>
      <c r="AB2747" s="169" t="e">
        <v>#N/A</v>
      </c>
    </row>
    <row r="2748" spans="20:28" x14ac:dyDescent="0.2">
      <c r="T2748" s="130"/>
      <c r="U2748" s="151"/>
      <c r="X2748" s="170" t="str">
        <f t="shared" si="51"/>
        <v>1w</v>
      </c>
      <c r="Y2748" s="168">
        <f>_xll.qlCalendarAdvance(LiborCalendar,Y2747,X2748,"f",FALSE)</f>
        <v>58425</v>
      </c>
      <c r="Z2748" s="171">
        <f>_xll.qlInterestRateIndexValueDate(IborIndex,Y2748,Trigger)</f>
        <v>58427</v>
      </c>
      <c r="AA2748" s="172" t="e">
        <v>#N/A</v>
      </c>
      <c r="AB2748" s="169" t="e">
        <v>#N/A</v>
      </c>
    </row>
    <row r="2749" spans="20:28" x14ac:dyDescent="0.2">
      <c r="T2749" s="130"/>
      <c r="U2749" s="151"/>
      <c r="X2749" s="170" t="str">
        <f t="shared" si="51"/>
        <v>1w</v>
      </c>
      <c r="Y2749" s="168">
        <f>_xll.qlCalendarAdvance(LiborCalendar,Y2748,X2749,"f",FALSE)</f>
        <v>58432</v>
      </c>
      <c r="Z2749" s="171">
        <f>_xll.qlInterestRateIndexValueDate(IborIndex,Y2749,Trigger)</f>
        <v>58438</v>
      </c>
      <c r="AA2749" s="172" t="e">
        <v>#N/A</v>
      </c>
      <c r="AB2749" s="169" t="e">
        <v>#N/A</v>
      </c>
    </row>
    <row r="2750" spans="20:28" x14ac:dyDescent="0.2">
      <c r="T2750" s="130"/>
      <c r="U2750" s="151"/>
      <c r="X2750" s="170" t="str">
        <f t="shared" si="51"/>
        <v>1w</v>
      </c>
      <c r="Y2750" s="168">
        <f>_xll.qlCalendarAdvance(LiborCalendar,Y2749,X2750,"f",FALSE)</f>
        <v>58439</v>
      </c>
      <c r="Z2750" s="171">
        <f>_xll.qlInterestRateIndexValueDate(IborIndex,Y2750,Trigger)</f>
        <v>58445</v>
      </c>
      <c r="AA2750" s="172" t="e">
        <v>#N/A</v>
      </c>
      <c r="AB2750" s="169" t="e">
        <v>#N/A</v>
      </c>
    </row>
    <row r="2751" spans="20:28" x14ac:dyDescent="0.2">
      <c r="T2751" s="130"/>
      <c r="U2751" s="151"/>
      <c r="X2751" s="170" t="str">
        <f t="shared" si="51"/>
        <v>1w</v>
      </c>
      <c r="Y2751" s="168">
        <f>_xll.qlCalendarAdvance(LiborCalendar,Y2750,X2751,"f",FALSE)</f>
        <v>58446</v>
      </c>
      <c r="Z2751" s="171">
        <f>_xll.qlInterestRateIndexValueDate(IborIndex,Y2751,Trigger)</f>
        <v>58448</v>
      </c>
      <c r="AA2751" s="172" t="e">
        <v>#N/A</v>
      </c>
      <c r="AB2751" s="169" t="e">
        <v>#N/A</v>
      </c>
    </row>
    <row r="2752" spans="20:28" x14ac:dyDescent="0.2">
      <c r="T2752" s="130"/>
      <c r="U2752" s="151"/>
      <c r="X2752" s="170" t="str">
        <f t="shared" si="51"/>
        <v>1w</v>
      </c>
      <c r="Y2752" s="168">
        <f>_xll.qlCalendarAdvance(LiborCalendar,Y2751,X2752,"f",FALSE)</f>
        <v>58453</v>
      </c>
      <c r="Z2752" s="171">
        <f>_xll.qlInterestRateIndexValueDate(IborIndex,Y2752,Trigger)</f>
        <v>58455</v>
      </c>
      <c r="AA2752" s="172" t="e">
        <v>#N/A</v>
      </c>
      <c r="AB2752" s="169" t="e">
        <v>#N/A</v>
      </c>
    </row>
    <row r="2753" spans="20:28" x14ac:dyDescent="0.2">
      <c r="T2753" s="130"/>
      <c r="U2753" s="151"/>
      <c r="X2753" s="170" t="str">
        <f t="shared" si="51"/>
        <v>1w</v>
      </c>
      <c r="Y2753" s="168">
        <f>_xll.qlCalendarAdvance(LiborCalendar,Y2752,X2753,"f",FALSE)</f>
        <v>58460</v>
      </c>
      <c r="Z2753" s="171">
        <f>_xll.qlInterestRateIndexValueDate(IborIndex,Y2753,Trigger)</f>
        <v>58462</v>
      </c>
      <c r="AA2753" s="172" t="e">
        <v>#N/A</v>
      </c>
      <c r="AB2753" s="169" t="e">
        <v>#N/A</v>
      </c>
    </row>
    <row r="2754" spans="20:28" x14ac:dyDescent="0.2">
      <c r="T2754" s="130"/>
      <c r="U2754" s="151"/>
      <c r="X2754" s="170" t="str">
        <f t="shared" si="51"/>
        <v>1w</v>
      </c>
      <c r="Y2754" s="168">
        <f>_xll.qlCalendarAdvance(LiborCalendar,Y2753,X2754,"f",FALSE)</f>
        <v>58467</v>
      </c>
      <c r="Z2754" s="171">
        <f>_xll.qlInterestRateIndexValueDate(IborIndex,Y2754,Trigger)</f>
        <v>58469</v>
      </c>
      <c r="AA2754" s="172" t="e">
        <v>#N/A</v>
      </c>
      <c r="AB2754" s="169" t="e">
        <v>#N/A</v>
      </c>
    </row>
    <row r="2755" spans="20:28" x14ac:dyDescent="0.2">
      <c r="T2755" s="130"/>
      <c r="U2755" s="151"/>
      <c r="X2755" s="170" t="str">
        <f t="shared" si="51"/>
        <v>1w</v>
      </c>
      <c r="Y2755" s="168">
        <f>_xll.qlCalendarAdvance(LiborCalendar,Y2754,X2755,"f",FALSE)</f>
        <v>58474</v>
      </c>
      <c r="Z2755" s="171">
        <f>_xll.qlInterestRateIndexValueDate(IborIndex,Y2755,Trigger)</f>
        <v>58476</v>
      </c>
      <c r="AA2755" s="172" t="e">
        <v>#N/A</v>
      </c>
      <c r="AB2755" s="169" t="e">
        <v>#N/A</v>
      </c>
    </row>
    <row r="2756" spans="20:28" x14ac:dyDescent="0.2">
      <c r="T2756" s="130"/>
      <c r="U2756" s="151"/>
      <c r="X2756" s="170" t="str">
        <f t="shared" si="51"/>
        <v>1w</v>
      </c>
      <c r="Y2756" s="168">
        <f>_xll.qlCalendarAdvance(LiborCalendar,Y2755,X2756,"f",FALSE)</f>
        <v>58481</v>
      </c>
      <c r="Z2756" s="171">
        <f>_xll.qlInterestRateIndexValueDate(IborIndex,Y2756,Trigger)</f>
        <v>58483</v>
      </c>
      <c r="AA2756" s="172" t="e">
        <v>#N/A</v>
      </c>
      <c r="AB2756" s="169" t="e">
        <v>#N/A</v>
      </c>
    </row>
    <row r="2757" spans="20:28" x14ac:dyDescent="0.2">
      <c r="T2757" s="130"/>
      <c r="U2757" s="151"/>
      <c r="X2757" s="170" t="str">
        <f t="shared" si="51"/>
        <v>1w</v>
      </c>
      <c r="Y2757" s="168">
        <f>_xll.qlCalendarAdvance(LiborCalendar,Y2756,X2757,"f",FALSE)</f>
        <v>58488</v>
      </c>
      <c r="Z2757" s="171">
        <f>_xll.qlInterestRateIndexValueDate(IborIndex,Y2757,Trigger)</f>
        <v>58490</v>
      </c>
      <c r="AA2757" s="172" t="e">
        <v>#N/A</v>
      </c>
      <c r="AB2757" s="169" t="e">
        <v>#N/A</v>
      </c>
    </row>
    <row r="2758" spans="20:28" x14ac:dyDescent="0.2">
      <c r="T2758" s="130"/>
      <c r="U2758" s="151"/>
      <c r="X2758" s="170" t="str">
        <f t="shared" si="51"/>
        <v>1w</v>
      </c>
      <c r="Y2758" s="168">
        <f>_xll.qlCalendarAdvance(LiborCalendar,Y2757,X2758,"f",FALSE)</f>
        <v>58495</v>
      </c>
      <c r="Z2758" s="171">
        <f>_xll.qlInterestRateIndexValueDate(IborIndex,Y2758,Trigger)</f>
        <v>58497</v>
      </c>
      <c r="AA2758" s="172" t="e">
        <v>#N/A</v>
      </c>
      <c r="AB2758" s="169" t="e">
        <v>#N/A</v>
      </c>
    </row>
    <row r="2759" spans="20:28" x14ac:dyDescent="0.2">
      <c r="T2759" s="130"/>
      <c r="U2759" s="151"/>
      <c r="X2759" s="170" t="str">
        <f t="shared" si="51"/>
        <v>1w</v>
      </c>
      <c r="Y2759" s="168">
        <f>_xll.qlCalendarAdvance(LiborCalendar,Y2758,X2759,"f",FALSE)</f>
        <v>58502</v>
      </c>
      <c r="Z2759" s="171">
        <f>_xll.qlInterestRateIndexValueDate(IborIndex,Y2759,Trigger)</f>
        <v>58504</v>
      </c>
      <c r="AA2759" s="172" t="e">
        <v>#N/A</v>
      </c>
      <c r="AB2759" s="169" t="e">
        <v>#N/A</v>
      </c>
    </row>
    <row r="2760" spans="20:28" x14ac:dyDescent="0.2">
      <c r="T2760" s="130"/>
      <c r="U2760" s="151"/>
      <c r="X2760" s="170" t="str">
        <f t="shared" si="51"/>
        <v>1w</v>
      </c>
      <c r="Y2760" s="168">
        <f>_xll.qlCalendarAdvance(LiborCalendar,Y2759,X2760,"f",FALSE)</f>
        <v>58509</v>
      </c>
      <c r="Z2760" s="171">
        <f>_xll.qlInterestRateIndexValueDate(IborIndex,Y2760,Trigger)</f>
        <v>58511</v>
      </c>
      <c r="AA2760" s="172" t="e">
        <v>#N/A</v>
      </c>
      <c r="AB2760" s="169" t="e">
        <v>#N/A</v>
      </c>
    </row>
    <row r="2761" spans="20:28" x14ac:dyDescent="0.2">
      <c r="T2761" s="130"/>
      <c r="U2761" s="151"/>
      <c r="X2761" s="170" t="str">
        <f t="shared" si="51"/>
        <v>1w</v>
      </c>
      <c r="Y2761" s="168">
        <f>_xll.qlCalendarAdvance(LiborCalendar,Y2760,X2761,"f",FALSE)</f>
        <v>58516</v>
      </c>
      <c r="Z2761" s="171">
        <f>_xll.qlInterestRateIndexValueDate(IborIndex,Y2761,Trigger)</f>
        <v>58518</v>
      </c>
      <c r="AA2761" s="172" t="e">
        <v>#N/A</v>
      </c>
      <c r="AB2761" s="169" t="e">
        <v>#N/A</v>
      </c>
    </row>
    <row r="2762" spans="20:28" x14ac:dyDescent="0.2">
      <c r="T2762" s="130"/>
      <c r="U2762" s="151"/>
      <c r="X2762" s="170" t="str">
        <f t="shared" si="51"/>
        <v>1w</v>
      </c>
      <c r="Y2762" s="168">
        <f>_xll.qlCalendarAdvance(LiborCalendar,Y2761,X2762,"f",FALSE)</f>
        <v>58523</v>
      </c>
      <c r="Z2762" s="171">
        <f>_xll.qlInterestRateIndexValueDate(IborIndex,Y2762,Trigger)</f>
        <v>58525</v>
      </c>
      <c r="AA2762" s="172" t="e">
        <v>#N/A</v>
      </c>
      <c r="AB2762" s="169" t="e">
        <v>#N/A</v>
      </c>
    </row>
    <row r="2763" spans="20:28" x14ac:dyDescent="0.2">
      <c r="T2763" s="130"/>
      <c r="U2763" s="151"/>
      <c r="X2763" s="170" t="str">
        <f t="shared" si="51"/>
        <v>1w</v>
      </c>
      <c r="Y2763" s="168">
        <f>_xll.qlCalendarAdvance(LiborCalendar,Y2762,X2763,"f",FALSE)</f>
        <v>58530</v>
      </c>
      <c r="Z2763" s="171">
        <f>_xll.qlInterestRateIndexValueDate(IborIndex,Y2763,Trigger)</f>
        <v>58532</v>
      </c>
      <c r="AA2763" s="172" t="e">
        <v>#N/A</v>
      </c>
      <c r="AB2763" s="169" t="e">
        <v>#N/A</v>
      </c>
    </row>
    <row r="2764" spans="20:28" x14ac:dyDescent="0.2">
      <c r="T2764" s="130"/>
      <c r="U2764" s="151"/>
      <c r="X2764" s="170" t="str">
        <f t="shared" si="51"/>
        <v>1w</v>
      </c>
      <c r="Y2764" s="168">
        <f>_xll.qlCalendarAdvance(LiborCalendar,Y2763,X2764,"f",FALSE)</f>
        <v>58537</v>
      </c>
      <c r="Z2764" s="171">
        <f>_xll.qlInterestRateIndexValueDate(IborIndex,Y2764,Trigger)</f>
        <v>58539</v>
      </c>
      <c r="AA2764" s="172" t="e">
        <v>#N/A</v>
      </c>
      <c r="AB2764" s="169" t="e">
        <v>#N/A</v>
      </c>
    </row>
    <row r="2765" spans="20:28" x14ac:dyDescent="0.2">
      <c r="T2765" s="130"/>
      <c r="U2765" s="151"/>
      <c r="X2765" s="170" t="str">
        <f t="shared" si="51"/>
        <v>1w</v>
      </c>
      <c r="Y2765" s="168">
        <f>_xll.qlCalendarAdvance(LiborCalendar,Y2764,X2765,"f",FALSE)</f>
        <v>58544</v>
      </c>
      <c r="Z2765" s="171">
        <f>_xll.qlInterestRateIndexValueDate(IborIndex,Y2765,Trigger)</f>
        <v>58546</v>
      </c>
      <c r="AA2765" s="172" t="e">
        <v>#N/A</v>
      </c>
      <c r="AB2765" s="169" t="e">
        <v>#N/A</v>
      </c>
    </row>
    <row r="2766" spans="20:28" x14ac:dyDescent="0.2">
      <c r="T2766" s="130"/>
      <c r="U2766" s="151"/>
      <c r="X2766" s="170" t="str">
        <f t="shared" si="51"/>
        <v>1w</v>
      </c>
      <c r="Y2766" s="168">
        <f>_xll.qlCalendarAdvance(LiborCalendar,Y2765,X2766,"f",FALSE)</f>
        <v>58551</v>
      </c>
      <c r="Z2766" s="171">
        <f>_xll.qlInterestRateIndexValueDate(IborIndex,Y2766,Trigger)</f>
        <v>58553</v>
      </c>
      <c r="AA2766" s="172" t="e">
        <v>#N/A</v>
      </c>
      <c r="AB2766" s="169" t="e">
        <v>#N/A</v>
      </c>
    </row>
    <row r="2767" spans="20:28" x14ac:dyDescent="0.2">
      <c r="T2767" s="130"/>
      <c r="U2767" s="151"/>
      <c r="X2767" s="170" t="str">
        <f t="shared" si="51"/>
        <v>1w</v>
      </c>
      <c r="Y2767" s="168">
        <f>_xll.qlCalendarAdvance(LiborCalendar,Y2766,X2767,"f",FALSE)</f>
        <v>58558</v>
      </c>
      <c r="Z2767" s="171">
        <f>_xll.qlInterestRateIndexValueDate(IborIndex,Y2767,Trigger)</f>
        <v>58560</v>
      </c>
      <c r="AA2767" s="172" t="e">
        <v>#N/A</v>
      </c>
      <c r="AB2767" s="169" t="e">
        <v>#N/A</v>
      </c>
    </row>
    <row r="2768" spans="20:28" x14ac:dyDescent="0.2">
      <c r="T2768" s="130"/>
      <c r="U2768" s="151"/>
      <c r="X2768" s="170" t="str">
        <f t="shared" si="51"/>
        <v>1w</v>
      </c>
      <c r="Y2768" s="168">
        <f>_xll.qlCalendarAdvance(LiborCalendar,Y2767,X2768,"f",FALSE)</f>
        <v>58565</v>
      </c>
      <c r="Z2768" s="171">
        <f>_xll.qlInterestRateIndexValueDate(IborIndex,Y2768,Trigger)</f>
        <v>58567</v>
      </c>
      <c r="AA2768" s="172" t="e">
        <v>#N/A</v>
      </c>
      <c r="AB2768" s="169" t="e">
        <v>#N/A</v>
      </c>
    </row>
    <row r="2769" spans="20:28" x14ac:dyDescent="0.2">
      <c r="T2769" s="130"/>
      <c r="U2769" s="151"/>
      <c r="X2769" s="170" t="str">
        <f t="shared" si="51"/>
        <v>1w</v>
      </c>
      <c r="Y2769" s="168">
        <f>_xll.qlCalendarAdvance(LiborCalendar,Y2768,X2769,"f",FALSE)</f>
        <v>58572</v>
      </c>
      <c r="Z2769" s="171">
        <f>_xll.qlInterestRateIndexValueDate(IborIndex,Y2769,Trigger)</f>
        <v>58574</v>
      </c>
      <c r="AA2769" s="172" t="e">
        <v>#N/A</v>
      </c>
      <c r="AB2769" s="169" t="e">
        <v>#N/A</v>
      </c>
    </row>
    <row r="2770" spans="20:28" x14ac:dyDescent="0.2">
      <c r="T2770" s="130"/>
      <c r="U2770" s="151"/>
      <c r="X2770" s="170" t="str">
        <f t="shared" si="51"/>
        <v>1w</v>
      </c>
      <c r="Y2770" s="168">
        <f>_xll.qlCalendarAdvance(LiborCalendar,Y2769,X2770,"f",FALSE)</f>
        <v>58579</v>
      </c>
      <c r="Z2770" s="171">
        <f>_xll.qlInterestRateIndexValueDate(IborIndex,Y2770,Trigger)</f>
        <v>58581</v>
      </c>
      <c r="AA2770" s="172" t="e">
        <v>#N/A</v>
      </c>
      <c r="AB2770" s="169" t="e">
        <v>#N/A</v>
      </c>
    </row>
    <row r="2771" spans="20:28" x14ac:dyDescent="0.2">
      <c r="T2771" s="130"/>
      <c r="U2771" s="151"/>
      <c r="X2771" s="170" t="str">
        <f t="shared" si="51"/>
        <v>1w</v>
      </c>
      <c r="Y2771" s="168">
        <f>_xll.qlCalendarAdvance(LiborCalendar,Y2770,X2771,"f",FALSE)</f>
        <v>58586</v>
      </c>
      <c r="Z2771" s="171">
        <f>_xll.qlInterestRateIndexValueDate(IborIndex,Y2771,Trigger)</f>
        <v>58589</v>
      </c>
      <c r="AA2771" s="172" t="e">
        <v>#N/A</v>
      </c>
      <c r="AB2771" s="169" t="e">
        <v>#N/A</v>
      </c>
    </row>
    <row r="2772" spans="20:28" x14ac:dyDescent="0.2">
      <c r="T2772" s="130"/>
      <c r="U2772" s="151"/>
      <c r="X2772" s="170" t="str">
        <f t="shared" si="51"/>
        <v>1w</v>
      </c>
      <c r="Y2772" s="168">
        <f>_xll.qlCalendarAdvance(LiborCalendar,Y2771,X2772,"f",FALSE)</f>
        <v>58593</v>
      </c>
      <c r="Z2772" s="171">
        <f>_xll.qlInterestRateIndexValueDate(IborIndex,Y2772,Trigger)</f>
        <v>58595</v>
      </c>
      <c r="AA2772" s="172" t="e">
        <v>#N/A</v>
      </c>
      <c r="AB2772" s="169" t="e">
        <v>#N/A</v>
      </c>
    </row>
    <row r="2773" spans="20:28" x14ac:dyDescent="0.2">
      <c r="T2773" s="130"/>
      <c r="U2773" s="151"/>
      <c r="X2773" s="170" t="str">
        <f t="shared" ref="X2773:X2836" si="52">X2772</f>
        <v>1w</v>
      </c>
      <c r="Y2773" s="168">
        <f>_xll.qlCalendarAdvance(LiborCalendar,Y2772,X2773,"f",FALSE)</f>
        <v>58600</v>
      </c>
      <c r="Z2773" s="171">
        <f>_xll.qlInterestRateIndexValueDate(IborIndex,Y2773,Trigger)</f>
        <v>58602</v>
      </c>
      <c r="AA2773" s="172" t="e">
        <v>#N/A</v>
      </c>
      <c r="AB2773" s="169" t="e">
        <v>#N/A</v>
      </c>
    </row>
    <row r="2774" spans="20:28" x14ac:dyDescent="0.2">
      <c r="T2774" s="130"/>
      <c r="U2774" s="151"/>
      <c r="X2774" s="170" t="str">
        <f t="shared" si="52"/>
        <v>1w</v>
      </c>
      <c r="Y2774" s="168">
        <f>_xll.qlCalendarAdvance(LiborCalendar,Y2773,X2774,"f",FALSE)</f>
        <v>58607</v>
      </c>
      <c r="Z2774" s="171">
        <f>_xll.qlInterestRateIndexValueDate(IborIndex,Y2774,Trigger)</f>
        <v>58609</v>
      </c>
      <c r="AA2774" s="172" t="e">
        <v>#N/A</v>
      </c>
      <c r="AB2774" s="169" t="e">
        <v>#N/A</v>
      </c>
    </row>
    <row r="2775" spans="20:28" x14ac:dyDescent="0.2">
      <c r="T2775" s="130"/>
      <c r="U2775" s="151"/>
      <c r="X2775" s="170" t="str">
        <f t="shared" si="52"/>
        <v>1w</v>
      </c>
      <c r="Y2775" s="168">
        <f>_xll.qlCalendarAdvance(LiborCalendar,Y2774,X2775,"f",FALSE)</f>
        <v>58614</v>
      </c>
      <c r="Z2775" s="171">
        <f>_xll.qlInterestRateIndexValueDate(IborIndex,Y2775,Trigger)</f>
        <v>58616</v>
      </c>
      <c r="AA2775" s="172" t="e">
        <v>#N/A</v>
      </c>
      <c r="AB2775" s="169" t="e">
        <v>#N/A</v>
      </c>
    </row>
    <row r="2776" spans="20:28" x14ac:dyDescent="0.2">
      <c r="T2776" s="130"/>
      <c r="U2776" s="151"/>
      <c r="X2776" s="170" t="str">
        <f t="shared" si="52"/>
        <v>1w</v>
      </c>
      <c r="Y2776" s="168">
        <f>_xll.qlCalendarAdvance(LiborCalendar,Y2775,X2776,"f",FALSE)</f>
        <v>58621</v>
      </c>
      <c r="Z2776" s="171">
        <f>_xll.qlInterestRateIndexValueDate(IborIndex,Y2776,Trigger)</f>
        <v>58623</v>
      </c>
      <c r="AA2776" s="172" t="e">
        <v>#N/A</v>
      </c>
      <c r="AB2776" s="169" t="e">
        <v>#N/A</v>
      </c>
    </row>
    <row r="2777" spans="20:28" x14ac:dyDescent="0.2">
      <c r="T2777" s="130"/>
      <c r="U2777" s="151"/>
      <c r="X2777" s="170" t="str">
        <f t="shared" si="52"/>
        <v>1w</v>
      </c>
      <c r="Y2777" s="168">
        <f>_xll.qlCalendarAdvance(LiborCalendar,Y2776,X2777,"f",FALSE)</f>
        <v>58628</v>
      </c>
      <c r="Z2777" s="171">
        <f>_xll.qlInterestRateIndexValueDate(IborIndex,Y2777,Trigger)</f>
        <v>58630</v>
      </c>
      <c r="AA2777" s="172" t="e">
        <v>#N/A</v>
      </c>
      <c r="AB2777" s="169" t="e">
        <v>#N/A</v>
      </c>
    </row>
    <row r="2778" spans="20:28" x14ac:dyDescent="0.2">
      <c r="T2778" s="130"/>
      <c r="U2778" s="151"/>
      <c r="X2778" s="170" t="str">
        <f t="shared" si="52"/>
        <v>1w</v>
      </c>
      <c r="Y2778" s="168">
        <f>_xll.qlCalendarAdvance(LiborCalendar,Y2777,X2778,"f",FALSE)</f>
        <v>58635</v>
      </c>
      <c r="Z2778" s="171">
        <f>_xll.qlInterestRateIndexValueDate(IborIndex,Y2778,Trigger)</f>
        <v>58637</v>
      </c>
      <c r="AA2778" s="172" t="e">
        <v>#N/A</v>
      </c>
      <c r="AB2778" s="169" t="e">
        <v>#N/A</v>
      </c>
    </row>
    <row r="2779" spans="20:28" x14ac:dyDescent="0.2">
      <c r="T2779" s="130"/>
      <c r="U2779" s="151"/>
      <c r="X2779" s="170" t="str">
        <f t="shared" si="52"/>
        <v>1w</v>
      </c>
      <c r="Y2779" s="168">
        <f>_xll.qlCalendarAdvance(LiborCalendar,Y2778,X2779,"f",FALSE)</f>
        <v>58642</v>
      </c>
      <c r="Z2779" s="171">
        <f>_xll.qlInterestRateIndexValueDate(IborIndex,Y2779,Trigger)</f>
        <v>58644</v>
      </c>
      <c r="AA2779" s="172" t="e">
        <v>#N/A</v>
      </c>
      <c r="AB2779" s="169" t="e">
        <v>#N/A</v>
      </c>
    </row>
    <row r="2780" spans="20:28" x14ac:dyDescent="0.2">
      <c r="T2780" s="130"/>
      <c r="U2780" s="151"/>
      <c r="X2780" s="170" t="str">
        <f t="shared" si="52"/>
        <v>1w</v>
      </c>
      <c r="Y2780" s="168">
        <f>_xll.qlCalendarAdvance(LiborCalendar,Y2779,X2780,"f",FALSE)</f>
        <v>58649</v>
      </c>
      <c r="Z2780" s="171">
        <f>_xll.qlInterestRateIndexValueDate(IborIndex,Y2780,Trigger)</f>
        <v>58651</v>
      </c>
      <c r="AA2780" s="172" t="e">
        <v>#N/A</v>
      </c>
      <c r="AB2780" s="169" t="e">
        <v>#N/A</v>
      </c>
    </row>
    <row r="2781" spans="20:28" x14ac:dyDescent="0.2">
      <c r="T2781" s="130"/>
      <c r="U2781" s="151"/>
      <c r="X2781" s="170" t="str">
        <f t="shared" si="52"/>
        <v>1w</v>
      </c>
      <c r="Y2781" s="168">
        <f>_xll.qlCalendarAdvance(LiborCalendar,Y2780,X2781,"f",FALSE)</f>
        <v>58656</v>
      </c>
      <c r="Z2781" s="171">
        <f>_xll.qlInterestRateIndexValueDate(IborIndex,Y2781,Trigger)</f>
        <v>58658</v>
      </c>
      <c r="AA2781" s="172" t="e">
        <v>#N/A</v>
      </c>
      <c r="AB2781" s="169" t="e">
        <v>#N/A</v>
      </c>
    </row>
    <row r="2782" spans="20:28" x14ac:dyDescent="0.2">
      <c r="T2782" s="130"/>
      <c r="U2782" s="151"/>
      <c r="X2782" s="170" t="str">
        <f t="shared" si="52"/>
        <v>1w</v>
      </c>
      <c r="Y2782" s="168">
        <f>_xll.qlCalendarAdvance(LiborCalendar,Y2781,X2782,"f",FALSE)</f>
        <v>58663</v>
      </c>
      <c r="Z2782" s="171">
        <f>_xll.qlInterestRateIndexValueDate(IborIndex,Y2782,Trigger)</f>
        <v>58665</v>
      </c>
      <c r="AA2782" s="172" t="e">
        <v>#N/A</v>
      </c>
      <c r="AB2782" s="169" t="e">
        <v>#N/A</v>
      </c>
    </row>
    <row r="2783" spans="20:28" x14ac:dyDescent="0.2">
      <c r="T2783" s="130"/>
      <c r="U2783" s="151"/>
      <c r="X2783" s="170" t="str">
        <f t="shared" si="52"/>
        <v>1w</v>
      </c>
      <c r="Y2783" s="168">
        <f>_xll.qlCalendarAdvance(LiborCalendar,Y2782,X2783,"f",FALSE)</f>
        <v>58670</v>
      </c>
      <c r="Z2783" s="171">
        <f>_xll.qlInterestRateIndexValueDate(IborIndex,Y2783,Trigger)</f>
        <v>58672</v>
      </c>
      <c r="AA2783" s="172" t="e">
        <v>#N/A</v>
      </c>
      <c r="AB2783" s="169" t="e">
        <v>#N/A</v>
      </c>
    </row>
    <row r="2784" spans="20:28" x14ac:dyDescent="0.2">
      <c r="T2784" s="130"/>
      <c r="U2784" s="151"/>
      <c r="X2784" s="170" t="str">
        <f t="shared" si="52"/>
        <v>1w</v>
      </c>
      <c r="Y2784" s="168">
        <f>_xll.qlCalendarAdvance(LiborCalendar,Y2783,X2784,"f",FALSE)</f>
        <v>58677</v>
      </c>
      <c r="Z2784" s="171">
        <f>_xll.qlInterestRateIndexValueDate(IborIndex,Y2784,Trigger)</f>
        <v>58679</v>
      </c>
      <c r="AA2784" s="172" t="e">
        <v>#N/A</v>
      </c>
      <c r="AB2784" s="169" t="e">
        <v>#N/A</v>
      </c>
    </row>
    <row r="2785" spans="20:28" x14ac:dyDescent="0.2">
      <c r="T2785" s="130"/>
      <c r="U2785" s="151"/>
      <c r="X2785" s="170" t="str">
        <f t="shared" si="52"/>
        <v>1w</v>
      </c>
      <c r="Y2785" s="168">
        <f>_xll.qlCalendarAdvance(LiborCalendar,Y2784,X2785,"f",FALSE)</f>
        <v>58684</v>
      </c>
      <c r="Z2785" s="171">
        <f>_xll.qlInterestRateIndexValueDate(IborIndex,Y2785,Trigger)</f>
        <v>58686</v>
      </c>
      <c r="AA2785" s="172" t="e">
        <v>#N/A</v>
      </c>
      <c r="AB2785" s="169" t="e">
        <v>#N/A</v>
      </c>
    </row>
    <row r="2786" spans="20:28" x14ac:dyDescent="0.2">
      <c r="T2786" s="130"/>
      <c r="U2786" s="151"/>
      <c r="X2786" s="170" t="str">
        <f t="shared" si="52"/>
        <v>1w</v>
      </c>
      <c r="Y2786" s="168">
        <f>_xll.qlCalendarAdvance(LiborCalendar,Y2785,X2786,"f",FALSE)</f>
        <v>58691</v>
      </c>
      <c r="Z2786" s="171">
        <f>_xll.qlInterestRateIndexValueDate(IborIndex,Y2786,Trigger)</f>
        <v>58693</v>
      </c>
      <c r="AA2786" s="172" t="e">
        <v>#N/A</v>
      </c>
      <c r="AB2786" s="169" t="e">
        <v>#N/A</v>
      </c>
    </row>
    <row r="2787" spans="20:28" x14ac:dyDescent="0.2">
      <c r="T2787" s="130"/>
      <c r="U2787" s="151"/>
      <c r="X2787" s="170" t="str">
        <f t="shared" si="52"/>
        <v>1w</v>
      </c>
      <c r="Y2787" s="168">
        <f>_xll.qlCalendarAdvance(LiborCalendar,Y2786,X2787,"f",FALSE)</f>
        <v>58698</v>
      </c>
      <c r="Z2787" s="171">
        <f>_xll.qlInterestRateIndexValueDate(IborIndex,Y2787,Trigger)</f>
        <v>58700</v>
      </c>
      <c r="AA2787" s="172" t="e">
        <v>#N/A</v>
      </c>
      <c r="AB2787" s="169" t="e">
        <v>#N/A</v>
      </c>
    </row>
    <row r="2788" spans="20:28" x14ac:dyDescent="0.2">
      <c r="T2788" s="130"/>
      <c r="U2788" s="151"/>
      <c r="X2788" s="170" t="str">
        <f t="shared" si="52"/>
        <v>1w</v>
      </c>
      <c r="Y2788" s="168">
        <f>_xll.qlCalendarAdvance(LiborCalendar,Y2787,X2788,"f",FALSE)</f>
        <v>58705</v>
      </c>
      <c r="Z2788" s="171">
        <f>_xll.qlInterestRateIndexValueDate(IborIndex,Y2788,Trigger)</f>
        <v>58707</v>
      </c>
      <c r="AA2788" s="172" t="e">
        <v>#N/A</v>
      </c>
      <c r="AB2788" s="169" t="e">
        <v>#N/A</v>
      </c>
    </row>
    <row r="2789" spans="20:28" x14ac:dyDescent="0.2">
      <c r="T2789" s="130"/>
      <c r="U2789" s="151"/>
      <c r="X2789" s="170" t="str">
        <f t="shared" si="52"/>
        <v>1w</v>
      </c>
      <c r="Y2789" s="168">
        <f>_xll.qlCalendarAdvance(LiborCalendar,Y2788,X2789,"f",FALSE)</f>
        <v>58712</v>
      </c>
      <c r="Z2789" s="171">
        <f>_xll.qlInterestRateIndexValueDate(IborIndex,Y2789,Trigger)</f>
        <v>58714</v>
      </c>
      <c r="AA2789" s="172" t="e">
        <v>#N/A</v>
      </c>
      <c r="AB2789" s="169" t="e">
        <v>#N/A</v>
      </c>
    </row>
    <row r="2790" spans="20:28" x14ac:dyDescent="0.2">
      <c r="T2790" s="130"/>
      <c r="U2790" s="151"/>
      <c r="X2790" s="170" t="str">
        <f t="shared" si="52"/>
        <v>1w</v>
      </c>
      <c r="Y2790" s="168">
        <f>_xll.qlCalendarAdvance(LiborCalendar,Y2789,X2790,"f",FALSE)</f>
        <v>58719</v>
      </c>
      <c r="Z2790" s="171">
        <f>_xll.qlInterestRateIndexValueDate(IborIndex,Y2790,Trigger)</f>
        <v>58721</v>
      </c>
      <c r="AA2790" s="172" t="e">
        <v>#N/A</v>
      </c>
      <c r="AB2790" s="169" t="e">
        <v>#N/A</v>
      </c>
    </row>
    <row r="2791" spans="20:28" x14ac:dyDescent="0.2">
      <c r="T2791" s="130"/>
      <c r="U2791" s="151"/>
      <c r="X2791" s="170" t="str">
        <f t="shared" si="52"/>
        <v>1w</v>
      </c>
      <c r="Y2791" s="168">
        <f>_xll.qlCalendarAdvance(LiborCalendar,Y2790,X2791,"f",FALSE)</f>
        <v>58726</v>
      </c>
      <c r="Z2791" s="171">
        <f>_xll.qlInterestRateIndexValueDate(IborIndex,Y2791,Trigger)</f>
        <v>58728</v>
      </c>
      <c r="AA2791" s="172" t="e">
        <v>#N/A</v>
      </c>
      <c r="AB2791" s="169" t="e">
        <v>#N/A</v>
      </c>
    </row>
    <row r="2792" spans="20:28" x14ac:dyDescent="0.2">
      <c r="T2792" s="130"/>
      <c r="U2792" s="151"/>
      <c r="X2792" s="170" t="str">
        <f t="shared" si="52"/>
        <v>1w</v>
      </c>
      <c r="Y2792" s="168">
        <f>_xll.qlCalendarAdvance(LiborCalendar,Y2791,X2792,"f",FALSE)</f>
        <v>58733</v>
      </c>
      <c r="Z2792" s="171">
        <f>_xll.qlInterestRateIndexValueDate(IborIndex,Y2792,Trigger)</f>
        <v>58735</v>
      </c>
      <c r="AA2792" s="172" t="e">
        <v>#N/A</v>
      </c>
      <c r="AB2792" s="169" t="e">
        <v>#N/A</v>
      </c>
    </row>
    <row r="2793" spans="20:28" x14ac:dyDescent="0.2">
      <c r="T2793" s="130"/>
      <c r="U2793" s="151"/>
      <c r="X2793" s="170" t="str">
        <f t="shared" si="52"/>
        <v>1w</v>
      </c>
      <c r="Y2793" s="168">
        <f>_xll.qlCalendarAdvance(LiborCalendar,Y2792,X2793,"f",FALSE)</f>
        <v>58740</v>
      </c>
      <c r="Z2793" s="171">
        <f>_xll.qlInterestRateIndexValueDate(IborIndex,Y2793,Trigger)</f>
        <v>58742</v>
      </c>
      <c r="AA2793" s="172" t="e">
        <v>#N/A</v>
      </c>
      <c r="AB2793" s="169" t="e">
        <v>#N/A</v>
      </c>
    </row>
    <row r="2794" spans="20:28" x14ac:dyDescent="0.2">
      <c r="T2794" s="130"/>
      <c r="U2794" s="151"/>
      <c r="X2794" s="170" t="str">
        <f t="shared" si="52"/>
        <v>1w</v>
      </c>
      <c r="Y2794" s="168">
        <f>_xll.qlCalendarAdvance(LiborCalendar,Y2793,X2794,"f",FALSE)</f>
        <v>58747</v>
      </c>
      <c r="Z2794" s="171">
        <f>_xll.qlInterestRateIndexValueDate(IborIndex,Y2794,Trigger)</f>
        <v>58749</v>
      </c>
      <c r="AA2794" s="172" t="e">
        <v>#N/A</v>
      </c>
      <c r="AB2794" s="169" t="e">
        <v>#N/A</v>
      </c>
    </row>
    <row r="2795" spans="20:28" x14ac:dyDescent="0.2">
      <c r="T2795" s="130"/>
      <c r="U2795" s="151"/>
      <c r="X2795" s="170" t="str">
        <f t="shared" si="52"/>
        <v>1w</v>
      </c>
      <c r="Y2795" s="168">
        <f>_xll.qlCalendarAdvance(LiborCalendar,Y2794,X2795,"f",FALSE)</f>
        <v>58754</v>
      </c>
      <c r="Z2795" s="171">
        <f>_xll.qlInterestRateIndexValueDate(IborIndex,Y2795,Trigger)</f>
        <v>58756</v>
      </c>
      <c r="AA2795" s="172" t="e">
        <v>#N/A</v>
      </c>
      <c r="AB2795" s="169" t="e">
        <v>#N/A</v>
      </c>
    </row>
    <row r="2796" spans="20:28" x14ac:dyDescent="0.2">
      <c r="T2796" s="130"/>
      <c r="U2796" s="151"/>
      <c r="X2796" s="170" t="str">
        <f t="shared" si="52"/>
        <v>1w</v>
      </c>
      <c r="Y2796" s="168">
        <f>_xll.qlCalendarAdvance(LiborCalendar,Y2795,X2796,"f",FALSE)</f>
        <v>58761</v>
      </c>
      <c r="Z2796" s="171">
        <f>_xll.qlInterestRateIndexValueDate(IborIndex,Y2796,Trigger)</f>
        <v>58763</v>
      </c>
      <c r="AA2796" s="172" t="e">
        <v>#N/A</v>
      </c>
      <c r="AB2796" s="169" t="e">
        <v>#N/A</v>
      </c>
    </row>
    <row r="2797" spans="20:28" x14ac:dyDescent="0.2">
      <c r="T2797" s="130"/>
      <c r="U2797" s="151"/>
      <c r="X2797" s="170" t="str">
        <f t="shared" si="52"/>
        <v>1w</v>
      </c>
      <c r="Y2797" s="168">
        <f>_xll.qlCalendarAdvance(LiborCalendar,Y2796,X2797,"f",FALSE)</f>
        <v>58768</v>
      </c>
      <c r="Z2797" s="171">
        <f>_xll.qlInterestRateIndexValueDate(IborIndex,Y2797,Trigger)</f>
        <v>58770</v>
      </c>
      <c r="AA2797" s="172" t="e">
        <v>#N/A</v>
      </c>
      <c r="AB2797" s="169" t="e">
        <v>#N/A</v>
      </c>
    </row>
    <row r="2798" spans="20:28" x14ac:dyDescent="0.2">
      <c r="T2798" s="130"/>
      <c r="U2798" s="151"/>
      <c r="X2798" s="170" t="str">
        <f t="shared" si="52"/>
        <v>1w</v>
      </c>
      <c r="Y2798" s="168">
        <f>_xll.qlCalendarAdvance(LiborCalendar,Y2797,X2798,"f",FALSE)</f>
        <v>58775</v>
      </c>
      <c r="Z2798" s="171">
        <f>_xll.qlInterestRateIndexValueDate(IborIndex,Y2798,Trigger)</f>
        <v>58777</v>
      </c>
      <c r="AA2798" s="172" t="e">
        <v>#N/A</v>
      </c>
      <c r="AB2798" s="169" t="e">
        <v>#N/A</v>
      </c>
    </row>
    <row r="2799" spans="20:28" x14ac:dyDescent="0.2">
      <c r="T2799" s="130"/>
      <c r="U2799" s="151"/>
      <c r="X2799" s="170" t="str">
        <f t="shared" si="52"/>
        <v>1w</v>
      </c>
      <c r="Y2799" s="168">
        <f>_xll.qlCalendarAdvance(LiborCalendar,Y2798,X2799,"f",FALSE)</f>
        <v>58782</v>
      </c>
      <c r="Z2799" s="171">
        <f>_xll.qlInterestRateIndexValueDate(IborIndex,Y2799,Trigger)</f>
        <v>58784</v>
      </c>
      <c r="AA2799" s="172" t="e">
        <v>#N/A</v>
      </c>
      <c r="AB2799" s="169" t="e">
        <v>#N/A</v>
      </c>
    </row>
    <row r="2800" spans="20:28" x14ac:dyDescent="0.2">
      <c r="T2800" s="130"/>
      <c r="U2800" s="151"/>
      <c r="X2800" s="170" t="str">
        <f t="shared" si="52"/>
        <v>1w</v>
      </c>
      <c r="Y2800" s="168">
        <f>_xll.qlCalendarAdvance(LiborCalendar,Y2799,X2800,"f",FALSE)</f>
        <v>58789</v>
      </c>
      <c r="Z2800" s="171">
        <f>_xll.qlInterestRateIndexValueDate(IborIndex,Y2800,Trigger)</f>
        <v>58791</v>
      </c>
      <c r="AA2800" s="172" t="e">
        <v>#N/A</v>
      </c>
      <c r="AB2800" s="169" t="e">
        <v>#N/A</v>
      </c>
    </row>
    <row r="2801" spans="20:28" x14ac:dyDescent="0.2">
      <c r="T2801" s="130"/>
      <c r="U2801" s="151"/>
      <c r="X2801" s="170" t="str">
        <f t="shared" si="52"/>
        <v>1w</v>
      </c>
      <c r="Y2801" s="168">
        <f>_xll.qlCalendarAdvance(LiborCalendar,Y2800,X2801,"f",FALSE)</f>
        <v>58796</v>
      </c>
      <c r="Z2801" s="171">
        <f>_xll.qlInterestRateIndexValueDate(IborIndex,Y2801,Trigger)</f>
        <v>58798</v>
      </c>
      <c r="AA2801" s="172" t="e">
        <v>#N/A</v>
      </c>
      <c r="AB2801" s="169" t="e">
        <v>#N/A</v>
      </c>
    </row>
    <row r="2802" spans="20:28" x14ac:dyDescent="0.2">
      <c r="T2802" s="130"/>
      <c r="U2802" s="151"/>
      <c r="X2802" s="170" t="str">
        <f t="shared" si="52"/>
        <v>1w</v>
      </c>
      <c r="Y2802" s="168">
        <f>_xll.qlCalendarAdvance(LiborCalendar,Y2801,X2802,"f",FALSE)</f>
        <v>58804</v>
      </c>
      <c r="Z2802" s="171">
        <f>_xll.qlInterestRateIndexValueDate(IborIndex,Y2802,Trigger)</f>
        <v>58806</v>
      </c>
      <c r="AA2802" s="172" t="e">
        <v>#N/A</v>
      </c>
      <c r="AB2802" s="169" t="e">
        <v>#N/A</v>
      </c>
    </row>
    <row r="2803" spans="20:28" x14ac:dyDescent="0.2">
      <c r="T2803" s="130"/>
      <c r="U2803" s="151"/>
      <c r="X2803" s="170" t="str">
        <f t="shared" si="52"/>
        <v>1w</v>
      </c>
      <c r="Y2803" s="168">
        <f>_xll.qlCalendarAdvance(LiborCalendar,Y2802,X2803,"f",FALSE)</f>
        <v>58811</v>
      </c>
      <c r="Z2803" s="171">
        <f>_xll.qlInterestRateIndexValueDate(IborIndex,Y2803,Trigger)</f>
        <v>58813</v>
      </c>
      <c r="AA2803" s="172" t="e">
        <v>#N/A</v>
      </c>
      <c r="AB2803" s="169" t="e">
        <v>#N/A</v>
      </c>
    </row>
    <row r="2804" spans="20:28" x14ac:dyDescent="0.2">
      <c r="T2804" s="130"/>
      <c r="U2804" s="151"/>
      <c r="X2804" s="170" t="str">
        <f t="shared" si="52"/>
        <v>1w</v>
      </c>
      <c r="Y2804" s="168">
        <f>_xll.qlCalendarAdvance(LiborCalendar,Y2803,X2804,"f",FALSE)</f>
        <v>58818</v>
      </c>
      <c r="Z2804" s="171">
        <f>_xll.qlInterestRateIndexValueDate(IborIndex,Y2804,Trigger)</f>
        <v>58820</v>
      </c>
      <c r="AA2804" s="172" t="e">
        <v>#N/A</v>
      </c>
      <c r="AB2804" s="169" t="e">
        <v>#N/A</v>
      </c>
    </row>
    <row r="2805" spans="20:28" x14ac:dyDescent="0.2">
      <c r="T2805" s="130"/>
      <c r="U2805" s="151"/>
      <c r="X2805" s="170" t="str">
        <f t="shared" si="52"/>
        <v>1w</v>
      </c>
      <c r="Y2805" s="168">
        <f>_xll.qlCalendarAdvance(LiborCalendar,Y2804,X2805,"f",FALSE)</f>
        <v>58825</v>
      </c>
      <c r="Z2805" s="171">
        <f>_xll.qlInterestRateIndexValueDate(IborIndex,Y2805,Trigger)</f>
        <v>58827</v>
      </c>
      <c r="AA2805" s="172" t="e">
        <v>#N/A</v>
      </c>
      <c r="AB2805" s="169" t="e">
        <v>#N/A</v>
      </c>
    </row>
    <row r="2806" spans="20:28" x14ac:dyDescent="0.2">
      <c r="T2806" s="130"/>
      <c r="U2806" s="151"/>
      <c r="X2806" s="170" t="str">
        <f t="shared" si="52"/>
        <v>1w</v>
      </c>
      <c r="Y2806" s="168">
        <f>_xll.qlCalendarAdvance(LiborCalendar,Y2805,X2806,"f",FALSE)</f>
        <v>58832</v>
      </c>
      <c r="Z2806" s="171">
        <f>_xll.qlInterestRateIndexValueDate(IborIndex,Y2806,Trigger)</f>
        <v>58834</v>
      </c>
      <c r="AA2806" s="172" t="e">
        <v>#N/A</v>
      </c>
      <c r="AB2806" s="169" t="e">
        <v>#N/A</v>
      </c>
    </row>
    <row r="2807" spans="20:28" x14ac:dyDescent="0.2">
      <c r="T2807" s="130"/>
      <c r="U2807" s="151"/>
      <c r="X2807" s="170" t="str">
        <f t="shared" si="52"/>
        <v>1w</v>
      </c>
      <c r="Y2807" s="168">
        <f>_xll.qlCalendarAdvance(LiborCalendar,Y2806,X2807,"f",FALSE)</f>
        <v>58839</v>
      </c>
      <c r="Z2807" s="171">
        <f>_xll.qlInterestRateIndexValueDate(IborIndex,Y2807,Trigger)</f>
        <v>58841</v>
      </c>
      <c r="AA2807" s="172" t="e">
        <v>#N/A</v>
      </c>
      <c r="AB2807" s="169" t="e">
        <v>#N/A</v>
      </c>
    </row>
    <row r="2808" spans="20:28" x14ac:dyDescent="0.2">
      <c r="T2808" s="130"/>
      <c r="U2808" s="151"/>
      <c r="X2808" s="170" t="str">
        <f t="shared" si="52"/>
        <v>1w</v>
      </c>
      <c r="Y2808" s="168">
        <f>_xll.qlCalendarAdvance(LiborCalendar,Y2807,X2808,"f",FALSE)</f>
        <v>58846</v>
      </c>
      <c r="Z2808" s="171">
        <f>_xll.qlInterestRateIndexValueDate(IborIndex,Y2808,Trigger)</f>
        <v>58848</v>
      </c>
      <c r="AA2808" s="172" t="e">
        <v>#N/A</v>
      </c>
      <c r="AB2808" s="169" t="e">
        <v>#N/A</v>
      </c>
    </row>
    <row r="2809" spans="20:28" x14ac:dyDescent="0.2">
      <c r="T2809" s="130"/>
      <c r="U2809" s="151"/>
      <c r="X2809" s="170" t="str">
        <f t="shared" si="52"/>
        <v>1w</v>
      </c>
      <c r="Y2809" s="168">
        <f>_xll.qlCalendarAdvance(LiborCalendar,Y2808,X2809,"f",FALSE)</f>
        <v>58853</v>
      </c>
      <c r="Z2809" s="171">
        <f>_xll.qlInterestRateIndexValueDate(IborIndex,Y2809,Trigger)</f>
        <v>58855</v>
      </c>
      <c r="AA2809" s="172" t="e">
        <v>#N/A</v>
      </c>
      <c r="AB2809" s="169" t="e">
        <v>#N/A</v>
      </c>
    </row>
    <row r="2810" spans="20:28" x14ac:dyDescent="0.2">
      <c r="T2810" s="130"/>
      <c r="U2810" s="151"/>
      <c r="X2810" s="170" t="str">
        <f t="shared" si="52"/>
        <v>1w</v>
      </c>
      <c r="Y2810" s="168">
        <f>_xll.qlCalendarAdvance(LiborCalendar,Y2809,X2810,"f",FALSE)</f>
        <v>58860</v>
      </c>
      <c r="Z2810" s="171">
        <f>_xll.qlInterestRateIndexValueDate(IborIndex,Y2810,Trigger)</f>
        <v>58862</v>
      </c>
      <c r="AA2810" s="172" t="e">
        <v>#N/A</v>
      </c>
      <c r="AB2810" s="169" t="e">
        <v>#N/A</v>
      </c>
    </row>
    <row r="2811" spans="20:28" x14ac:dyDescent="0.2">
      <c r="T2811" s="130"/>
      <c r="U2811" s="151"/>
      <c r="X2811" s="170" t="str">
        <f t="shared" si="52"/>
        <v>1w</v>
      </c>
      <c r="Y2811" s="168">
        <f>_xll.qlCalendarAdvance(LiborCalendar,Y2810,X2811,"f",FALSE)</f>
        <v>58867</v>
      </c>
      <c r="Z2811" s="171">
        <f>_xll.qlInterestRateIndexValueDate(IborIndex,Y2811,Trigger)</f>
        <v>58869</v>
      </c>
      <c r="AA2811" s="172" t="e">
        <v>#N/A</v>
      </c>
      <c r="AB2811" s="169" t="e">
        <v>#N/A</v>
      </c>
    </row>
    <row r="2812" spans="20:28" x14ac:dyDescent="0.2">
      <c r="T2812" s="130"/>
      <c r="U2812" s="151"/>
      <c r="X2812" s="170" t="str">
        <f t="shared" si="52"/>
        <v>1w</v>
      </c>
      <c r="Y2812" s="168">
        <f>_xll.qlCalendarAdvance(LiborCalendar,Y2811,X2812,"f",FALSE)</f>
        <v>58874</v>
      </c>
      <c r="Z2812" s="171">
        <f>_xll.qlInterestRateIndexValueDate(IborIndex,Y2812,Trigger)</f>
        <v>58876</v>
      </c>
      <c r="AA2812" s="172" t="e">
        <v>#N/A</v>
      </c>
      <c r="AB2812" s="169" t="e">
        <v>#N/A</v>
      </c>
    </row>
    <row r="2813" spans="20:28" x14ac:dyDescent="0.2">
      <c r="T2813" s="130"/>
      <c r="U2813" s="151"/>
      <c r="X2813" s="170" t="str">
        <f t="shared" si="52"/>
        <v>1w</v>
      </c>
      <c r="Y2813" s="168">
        <f>_xll.qlCalendarAdvance(LiborCalendar,Y2812,X2813,"f",FALSE)</f>
        <v>58881</v>
      </c>
      <c r="Z2813" s="171">
        <f>_xll.qlInterestRateIndexValueDate(IborIndex,Y2813,Trigger)</f>
        <v>58883</v>
      </c>
      <c r="AA2813" s="172" t="e">
        <v>#N/A</v>
      </c>
      <c r="AB2813" s="169" t="e">
        <v>#N/A</v>
      </c>
    </row>
    <row r="2814" spans="20:28" x14ac:dyDescent="0.2">
      <c r="T2814" s="130"/>
      <c r="U2814" s="151"/>
      <c r="X2814" s="170" t="str">
        <f t="shared" si="52"/>
        <v>1w</v>
      </c>
      <c r="Y2814" s="168">
        <f>_xll.qlCalendarAdvance(LiborCalendar,Y2813,X2814,"f",FALSE)</f>
        <v>58888</v>
      </c>
      <c r="Z2814" s="171">
        <f>_xll.qlInterestRateIndexValueDate(IborIndex,Y2814,Trigger)</f>
        <v>58890</v>
      </c>
      <c r="AA2814" s="172" t="e">
        <v>#N/A</v>
      </c>
      <c r="AB2814" s="169" t="e">
        <v>#N/A</v>
      </c>
    </row>
    <row r="2815" spans="20:28" x14ac:dyDescent="0.2">
      <c r="T2815" s="130"/>
      <c r="U2815" s="151"/>
      <c r="X2815" s="170" t="str">
        <f t="shared" si="52"/>
        <v>1w</v>
      </c>
      <c r="Y2815" s="168">
        <f>_xll.qlCalendarAdvance(LiborCalendar,Y2814,X2815,"f",FALSE)</f>
        <v>58895</v>
      </c>
      <c r="Z2815" s="171">
        <f>_xll.qlInterestRateIndexValueDate(IborIndex,Y2815,Trigger)</f>
        <v>58897</v>
      </c>
      <c r="AA2815" s="172" t="e">
        <v>#N/A</v>
      </c>
      <c r="AB2815" s="169" t="e">
        <v>#N/A</v>
      </c>
    </row>
    <row r="2816" spans="20:28" x14ac:dyDescent="0.2">
      <c r="T2816" s="130"/>
      <c r="U2816" s="151"/>
      <c r="X2816" s="170" t="str">
        <f t="shared" si="52"/>
        <v>1w</v>
      </c>
      <c r="Y2816" s="168">
        <f>_xll.qlCalendarAdvance(LiborCalendar,Y2815,X2816,"f",FALSE)</f>
        <v>58902</v>
      </c>
      <c r="Z2816" s="171">
        <f>_xll.qlInterestRateIndexValueDate(IborIndex,Y2816,Trigger)</f>
        <v>58908</v>
      </c>
      <c r="AA2816" s="172" t="e">
        <v>#N/A</v>
      </c>
      <c r="AB2816" s="169" t="e">
        <v>#N/A</v>
      </c>
    </row>
    <row r="2817" spans="20:28" x14ac:dyDescent="0.2">
      <c r="T2817" s="130"/>
      <c r="U2817" s="151"/>
      <c r="X2817" s="170" t="str">
        <f t="shared" si="52"/>
        <v>1w</v>
      </c>
      <c r="Y2817" s="168">
        <f>_xll.qlCalendarAdvance(LiborCalendar,Y2816,X2817,"f",FALSE)</f>
        <v>58909</v>
      </c>
      <c r="Z2817" s="171">
        <f>_xll.qlInterestRateIndexValueDate(IborIndex,Y2817,Trigger)</f>
        <v>58911</v>
      </c>
      <c r="AA2817" s="172" t="e">
        <v>#N/A</v>
      </c>
      <c r="AB2817" s="169" t="e">
        <v>#N/A</v>
      </c>
    </row>
    <row r="2818" spans="20:28" x14ac:dyDescent="0.2">
      <c r="T2818" s="130"/>
      <c r="U2818" s="151"/>
      <c r="X2818" s="170" t="str">
        <f t="shared" si="52"/>
        <v>1w</v>
      </c>
      <c r="Y2818" s="168">
        <f>_xll.qlCalendarAdvance(LiborCalendar,Y2817,X2818,"f",FALSE)</f>
        <v>58916</v>
      </c>
      <c r="Z2818" s="171">
        <f>_xll.qlInterestRateIndexValueDate(IborIndex,Y2818,Trigger)</f>
        <v>58918</v>
      </c>
      <c r="AA2818" s="172" t="e">
        <v>#N/A</v>
      </c>
      <c r="AB2818" s="169" t="e">
        <v>#N/A</v>
      </c>
    </row>
    <row r="2819" spans="20:28" x14ac:dyDescent="0.2">
      <c r="T2819" s="130"/>
      <c r="U2819" s="151"/>
      <c r="X2819" s="170" t="str">
        <f t="shared" si="52"/>
        <v>1w</v>
      </c>
      <c r="Y2819" s="168">
        <f>_xll.qlCalendarAdvance(LiborCalendar,Y2818,X2819,"f",FALSE)</f>
        <v>58923</v>
      </c>
      <c r="Z2819" s="171">
        <f>_xll.qlInterestRateIndexValueDate(IborIndex,Y2819,Trigger)</f>
        <v>58925</v>
      </c>
      <c r="AA2819" s="172" t="e">
        <v>#N/A</v>
      </c>
      <c r="AB2819" s="169" t="e">
        <v>#N/A</v>
      </c>
    </row>
    <row r="2820" spans="20:28" x14ac:dyDescent="0.2">
      <c r="T2820" s="130"/>
      <c r="U2820" s="151"/>
      <c r="X2820" s="170" t="str">
        <f t="shared" si="52"/>
        <v>1w</v>
      </c>
      <c r="Y2820" s="168">
        <f>_xll.qlCalendarAdvance(LiborCalendar,Y2819,X2820,"f",FALSE)</f>
        <v>58930</v>
      </c>
      <c r="Z2820" s="171">
        <f>_xll.qlInterestRateIndexValueDate(IborIndex,Y2820,Trigger)</f>
        <v>58932</v>
      </c>
      <c r="AA2820" s="172" t="e">
        <v>#N/A</v>
      </c>
      <c r="AB2820" s="169" t="e">
        <v>#N/A</v>
      </c>
    </row>
    <row r="2821" spans="20:28" x14ac:dyDescent="0.2">
      <c r="T2821" s="130"/>
      <c r="U2821" s="151"/>
      <c r="X2821" s="170" t="str">
        <f t="shared" si="52"/>
        <v>1w</v>
      </c>
      <c r="Y2821" s="168">
        <f>_xll.qlCalendarAdvance(LiborCalendar,Y2820,X2821,"f",FALSE)</f>
        <v>58937</v>
      </c>
      <c r="Z2821" s="171">
        <f>_xll.qlInterestRateIndexValueDate(IborIndex,Y2821,Trigger)</f>
        <v>58939</v>
      </c>
      <c r="AA2821" s="172" t="e">
        <v>#N/A</v>
      </c>
      <c r="AB2821" s="169" t="e">
        <v>#N/A</v>
      </c>
    </row>
    <row r="2822" spans="20:28" x14ac:dyDescent="0.2">
      <c r="T2822" s="130"/>
      <c r="U2822" s="151"/>
      <c r="X2822" s="170" t="str">
        <f t="shared" si="52"/>
        <v>1w</v>
      </c>
      <c r="Y2822" s="168">
        <f>_xll.qlCalendarAdvance(LiborCalendar,Y2821,X2822,"f",FALSE)</f>
        <v>58944</v>
      </c>
      <c r="Z2822" s="171">
        <f>_xll.qlInterestRateIndexValueDate(IborIndex,Y2822,Trigger)</f>
        <v>58946</v>
      </c>
      <c r="AA2822" s="172" t="e">
        <v>#N/A</v>
      </c>
      <c r="AB2822" s="169" t="e">
        <v>#N/A</v>
      </c>
    </row>
    <row r="2823" spans="20:28" x14ac:dyDescent="0.2">
      <c r="T2823" s="130"/>
      <c r="U2823" s="151"/>
      <c r="X2823" s="170" t="str">
        <f t="shared" si="52"/>
        <v>1w</v>
      </c>
      <c r="Y2823" s="168">
        <f>_xll.qlCalendarAdvance(LiborCalendar,Y2822,X2823,"f",FALSE)</f>
        <v>58951</v>
      </c>
      <c r="Z2823" s="171">
        <f>_xll.qlInterestRateIndexValueDate(IborIndex,Y2823,Trigger)</f>
        <v>58953</v>
      </c>
      <c r="AA2823" s="172" t="e">
        <v>#N/A</v>
      </c>
      <c r="AB2823" s="169" t="e">
        <v>#N/A</v>
      </c>
    </row>
    <row r="2824" spans="20:28" x14ac:dyDescent="0.2">
      <c r="T2824" s="130"/>
      <c r="U2824" s="151"/>
      <c r="X2824" s="170" t="str">
        <f t="shared" si="52"/>
        <v>1w</v>
      </c>
      <c r="Y2824" s="168">
        <f>_xll.qlCalendarAdvance(LiborCalendar,Y2823,X2824,"f",FALSE)</f>
        <v>58958</v>
      </c>
      <c r="Z2824" s="171">
        <f>_xll.qlInterestRateIndexValueDate(IborIndex,Y2824,Trigger)</f>
        <v>58960</v>
      </c>
      <c r="AA2824" s="172" t="e">
        <v>#N/A</v>
      </c>
      <c r="AB2824" s="169" t="e">
        <v>#N/A</v>
      </c>
    </row>
    <row r="2825" spans="20:28" x14ac:dyDescent="0.2">
      <c r="T2825" s="130"/>
      <c r="U2825" s="151"/>
      <c r="X2825" s="170" t="str">
        <f t="shared" si="52"/>
        <v>1w</v>
      </c>
      <c r="Y2825" s="168">
        <f>_xll.qlCalendarAdvance(LiborCalendar,Y2824,X2825,"f",FALSE)</f>
        <v>58965</v>
      </c>
      <c r="Z2825" s="171">
        <f>_xll.qlInterestRateIndexValueDate(IborIndex,Y2825,Trigger)</f>
        <v>58967</v>
      </c>
      <c r="AA2825" s="172" t="e">
        <v>#N/A</v>
      </c>
      <c r="AB2825" s="169" t="e">
        <v>#N/A</v>
      </c>
    </row>
    <row r="2826" spans="20:28" x14ac:dyDescent="0.2">
      <c r="T2826" s="130"/>
      <c r="U2826" s="151"/>
      <c r="X2826" s="170" t="str">
        <f t="shared" si="52"/>
        <v>1w</v>
      </c>
      <c r="Y2826" s="168">
        <f>_xll.qlCalendarAdvance(LiborCalendar,Y2825,X2826,"f",FALSE)</f>
        <v>58972</v>
      </c>
      <c r="Z2826" s="171">
        <f>_xll.qlInterestRateIndexValueDate(IborIndex,Y2826,Trigger)</f>
        <v>58974</v>
      </c>
      <c r="AA2826" s="172" t="e">
        <v>#N/A</v>
      </c>
      <c r="AB2826" s="169" t="e">
        <v>#N/A</v>
      </c>
    </row>
    <row r="2827" spans="20:28" x14ac:dyDescent="0.2">
      <c r="T2827" s="130"/>
      <c r="U2827" s="151"/>
      <c r="X2827" s="170" t="str">
        <f t="shared" si="52"/>
        <v>1w</v>
      </c>
      <c r="Y2827" s="168">
        <f>_xll.qlCalendarAdvance(LiborCalendar,Y2826,X2827,"f",FALSE)</f>
        <v>58979</v>
      </c>
      <c r="Z2827" s="171">
        <f>_xll.qlInterestRateIndexValueDate(IborIndex,Y2827,Trigger)</f>
        <v>58981</v>
      </c>
      <c r="AA2827" s="172" t="e">
        <v>#N/A</v>
      </c>
      <c r="AB2827" s="169" t="e">
        <v>#N/A</v>
      </c>
    </row>
    <row r="2828" spans="20:28" x14ac:dyDescent="0.2">
      <c r="T2828" s="130"/>
      <c r="U2828" s="151"/>
      <c r="X2828" s="170" t="str">
        <f t="shared" si="52"/>
        <v>1w</v>
      </c>
      <c r="Y2828" s="168">
        <f>_xll.qlCalendarAdvance(LiborCalendar,Y2827,X2828,"f",FALSE)</f>
        <v>58986</v>
      </c>
      <c r="Z2828" s="171">
        <f>_xll.qlInterestRateIndexValueDate(IborIndex,Y2828,Trigger)</f>
        <v>58988</v>
      </c>
      <c r="AA2828" s="172" t="e">
        <v>#N/A</v>
      </c>
      <c r="AB2828" s="169" t="e">
        <v>#N/A</v>
      </c>
    </row>
    <row r="2829" spans="20:28" x14ac:dyDescent="0.2">
      <c r="T2829" s="130"/>
      <c r="U2829" s="151"/>
      <c r="X2829" s="170" t="str">
        <f t="shared" si="52"/>
        <v>1w</v>
      </c>
      <c r="Y2829" s="168">
        <f>_xll.qlCalendarAdvance(LiborCalendar,Y2828,X2829,"f",FALSE)</f>
        <v>58993</v>
      </c>
      <c r="Z2829" s="171">
        <f>_xll.qlInterestRateIndexValueDate(IborIndex,Y2829,Trigger)</f>
        <v>58995</v>
      </c>
      <c r="AA2829" s="172" t="e">
        <v>#N/A</v>
      </c>
      <c r="AB2829" s="169" t="e">
        <v>#N/A</v>
      </c>
    </row>
    <row r="2830" spans="20:28" x14ac:dyDescent="0.2">
      <c r="T2830" s="130"/>
      <c r="U2830" s="151"/>
      <c r="X2830" s="170" t="str">
        <f t="shared" si="52"/>
        <v>1w</v>
      </c>
      <c r="Y2830" s="168">
        <f>_xll.qlCalendarAdvance(LiborCalendar,Y2829,X2830,"f",FALSE)</f>
        <v>59000</v>
      </c>
      <c r="Z2830" s="171">
        <f>_xll.qlInterestRateIndexValueDate(IborIndex,Y2830,Trigger)</f>
        <v>59002</v>
      </c>
      <c r="AA2830" s="172" t="e">
        <v>#N/A</v>
      </c>
      <c r="AB2830" s="169" t="e">
        <v>#N/A</v>
      </c>
    </row>
    <row r="2831" spans="20:28" x14ac:dyDescent="0.2">
      <c r="T2831" s="130"/>
      <c r="U2831" s="151"/>
      <c r="X2831" s="170" t="str">
        <f t="shared" si="52"/>
        <v>1w</v>
      </c>
      <c r="Y2831" s="168">
        <f>_xll.qlCalendarAdvance(LiborCalendar,Y2830,X2831,"f",FALSE)</f>
        <v>59007</v>
      </c>
      <c r="Z2831" s="171">
        <f>_xll.qlInterestRateIndexValueDate(IborIndex,Y2831,Trigger)</f>
        <v>59009</v>
      </c>
      <c r="AA2831" s="172" t="e">
        <v>#N/A</v>
      </c>
      <c r="AB2831" s="169" t="e">
        <v>#N/A</v>
      </c>
    </row>
    <row r="2832" spans="20:28" x14ac:dyDescent="0.2">
      <c r="T2832" s="130"/>
      <c r="U2832" s="151"/>
      <c r="X2832" s="170" t="str">
        <f t="shared" si="52"/>
        <v>1w</v>
      </c>
      <c r="Y2832" s="168">
        <f>_xll.qlCalendarAdvance(LiborCalendar,Y2831,X2832,"f",FALSE)</f>
        <v>59014</v>
      </c>
      <c r="Z2832" s="171">
        <f>_xll.qlInterestRateIndexValueDate(IborIndex,Y2832,Trigger)</f>
        <v>59016</v>
      </c>
      <c r="AA2832" s="172" t="e">
        <v>#N/A</v>
      </c>
      <c r="AB2832" s="169" t="e">
        <v>#N/A</v>
      </c>
    </row>
    <row r="2833" spans="20:28" x14ac:dyDescent="0.2">
      <c r="T2833" s="130"/>
      <c r="U2833" s="151"/>
      <c r="X2833" s="170" t="str">
        <f t="shared" si="52"/>
        <v>1w</v>
      </c>
      <c r="Y2833" s="168">
        <f>_xll.qlCalendarAdvance(LiborCalendar,Y2832,X2833,"f",FALSE)</f>
        <v>59021</v>
      </c>
      <c r="Z2833" s="171">
        <f>_xll.qlInterestRateIndexValueDate(IborIndex,Y2833,Trigger)</f>
        <v>59023</v>
      </c>
      <c r="AA2833" s="172" t="e">
        <v>#N/A</v>
      </c>
      <c r="AB2833" s="169" t="e">
        <v>#N/A</v>
      </c>
    </row>
    <row r="2834" spans="20:28" x14ac:dyDescent="0.2">
      <c r="T2834" s="130"/>
      <c r="U2834" s="151"/>
      <c r="X2834" s="170" t="str">
        <f t="shared" si="52"/>
        <v>1w</v>
      </c>
      <c r="Y2834" s="168">
        <f>_xll.qlCalendarAdvance(LiborCalendar,Y2833,X2834,"f",FALSE)</f>
        <v>59028</v>
      </c>
      <c r="Z2834" s="171">
        <f>_xll.qlInterestRateIndexValueDate(IborIndex,Y2834,Trigger)</f>
        <v>59030</v>
      </c>
      <c r="AA2834" s="172" t="e">
        <v>#N/A</v>
      </c>
      <c r="AB2834" s="169" t="e">
        <v>#N/A</v>
      </c>
    </row>
    <row r="2835" spans="20:28" x14ac:dyDescent="0.2">
      <c r="T2835" s="130"/>
      <c r="U2835" s="151"/>
      <c r="X2835" s="170" t="str">
        <f t="shared" si="52"/>
        <v>1w</v>
      </c>
      <c r="Y2835" s="168">
        <f>_xll.qlCalendarAdvance(LiborCalendar,Y2834,X2835,"f",FALSE)</f>
        <v>59035</v>
      </c>
      <c r="Z2835" s="171">
        <f>_xll.qlInterestRateIndexValueDate(IborIndex,Y2835,Trigger)</f>
        <v>59037</v>
      </c>
      <c r="AA2835" s="172" t="e">
        <v>#N/A</v>
      </c>
      <c r="AB2835" s="169" t="e">
        <v>#N/A</v>
      </c>
    </row>
    <row r="2836" spans="20:28" x14ac:dyDescent="0.2">
      <c r="T2836" s="130"/>
      <c r="U2836" s="151"/>
      <c r="X2836" s="170" t="str">
        <f t="shared" si="52"/>
        <v>1w</v>
      </c>
      <c r="Y2836" s="168">
        <f>_xll.qlCalendarAdvance(LiborCalendar,Y2835,X2836,"f",FALSE)</f>
        <v>59042</v>
      </c>
      <c r="Z2836" s="171">
        <f>_xll.qlInterestRateIndexValueDate(IborIndex,Y2836,Trigger)</f>
        <v>59044</v>
      </c>
      <c r="AA2836" s="172" t="e">
        <v>#N/A</v>
      </c>
      <c r="AB2836" s="169" t="e">
        <v>#N/A</v>
      </c>
    </row>
    <row r="2837" spans="20:28" x14ac:dyDescent="0.2">
      <c r="T2837" s="130"/>
      <c r="U2837" s="151"/>
      <c r="X2837" s="170" t="str">
        <f t="shared" ref="X2837:X2900" si="53">X2836</f>
        <v>1w</v>
      </c>
      <c r="Y2837" s="168">
        <f>_xll.qlCalendarAdvance(LiborCalendar,Y2836,X2837,"f",FALSE)</f>
        <v>59049</v>
      </c>
      <c r="Z2837" s="171">
        <f>_xll.qlInterestRateIndexValueDate(IborIndex,Y2837,Trigger)</f>
        <v>59051</v>
      </c>
      <c r="AA2837" s="172" t="e">
        <v>#N/A</v>
      </c>
      <c r="AB2837" s="169" t="e">
        <v>#N/A</v>
      </c>
    </row>
    <row r="2838" spans="20:28" x14ac:dyDescent="0.2">
      <c r="T2838" s="130"/>
      <c r="U2838" s="151"/>
      <c r="X2838" s="170" t="str">
        <f t="shared" si="53"/>
        <v>1w</v>
      </c>
      <c r="Y2838" s="168">
        <f>_xll.qlCalendarAdvance(LiborCalendar,Y2837,X2838,"f",FALSE)</f>
        <v>59056</v>
      </c>
      <c r="Z2838" s="171">
        <f>_xll.qlInterestRateIndexValueDate(IborIndex,Y2838,Trigger)</f>
        <v>59058</v>
      </c>
      <c r="AA2838" s="172" t="e">
        <v>#N/A</v>
      </c>
      <c r="AB2838" s="169" t="e">
        <v>#N/A</v>
      </c>
    </row>
    <row r="2839" spans="20:28" x14ac:dyDescent="0.2">
      <c r="T2839" s="130"/>
      <c r="U2839" s="151"/>
      <c r="X2839" s="170" t="str">
        <f t="shared" si="53"/>
        <v>1w</v>
      </c>
      <c r="Y2839" s="168">
        <f>_xll.qlCalendarAdvance(LiborCalendar,Y2838,X2839,"f",FALSE)</f>
        <v>59063</v>
      </c>
      <c r="Z2839" s="171">
        <f>_xll.qlInterestRateIndexValueDate(IborIndex,Y2839,Trigger)</f>
        <v>59065</v>
      </c>
      <c r="AA2839" s="172" t="e">
        <v>#N/A</v>
      </c>
      <c r="AB2839" s="169" t="e">
        <v>#N/A</v>
      </c>
    </row>
    <row r="2840" spans="20:28" x14ac:dyDescent="0.2">
      <c r="T2840" s="130"/>
      <c r="U2840" s="151"/>
      <c r="X2840" s="170" t="str">
        <f t="shared" si="53"/>
        <v>1w</v>
      </c>
      <c r="Y2840" s="168">
        <f>_xll.qlCalendarAdvance(LiborCalendar,Y2839,X2840,"f",FALSE)</f>
        <v>59070</v>
      </c>
      <c r="Z2840" s="171">
        <f>_xll.qlInterestRateIndexValueDate(IborIndex,Y2840,Trigger)</f>
        <v>59072</v>
      </c>
      <c r="AA2840" s="172" t="e">
        <v>#N/A</v>
      </c>
      <c r="AB2840" s="169" t="e">
        <v>#N/A</v>
      </c>
    </row>
    <row r="2841" spans="20:28" x14ac:dyDescent="0.2">
      <c r="T2841" s="130"/>
      <c r="U2841" s="151"/>
      <c r="X2841" s="170" t="str">
        <f t="shared" si="53"/>
        <v>1w</v>
      </c>
      <c r="Y2841" s="168">
        <f>_xll.qlCalendarAdvance(LiborCalendar,Y2840,X2841,"f",FALSE)</f>
        <v>59077</v>
      </c>
      <c r="Z2841" s="171">
        <f>_xll.qlInterestRateIndexValueDate(IborIndex,Y2841,Trigger)</f>
        <v>59079</v>
      </c>
      <c r="AA2841" s="172" t="e">
        <v>#N/A</v>
      </c>
      <c r="AB2841" s="169" t="e">
        <v>#N/A</v>
      </c>
    </row>
    <row r="2842" spans="20:28" x14ac:dyDescent="0.2">
      <c r="T2842" s="130"/>
      <c r="U2842" s="151"/>
      <c r="X2842" s="170" t="str">
        <f t="shared" si="53"/>
        <v>1w</v>
      </c>
      <c r="Y2842" s="168">
        <f>_xll.qlCalendarAdvance(LiborCalendar,Y2841,X2842,"f",FALSE)</f>
        <v>59084</v>
      </c>
      <c r="Z2842" s="171">
        <f>_xll.qlInterestRateIndexValueDate(IborIndex,Y2842,Trigger)</f>
        <v>59086</v>
      </c>
      <c r="AA2842" s="172" t="e">
        <v>#N/A</v>
      </c>
      <c r="AB2842" s="169" t="e">
        <v>#N/A</v>
      </c>
    </row>
    <row r="2843" spans="20:28" x14ac:dyDescent="0.2">
      <c r="T2843" s="130"/>
      <c r="U2843" s="151"/>
      <c r="X2843" s="170" t="str">
        <f t="shared" si="53"/>
        <v>1w</v>
      </c>
      <c r="Y2843" s="168">
        <f>_xll.qlCalendarAdvance(LiborCalendar,Y2842,X2843,"f",FALSE)</f>
        <v>59091</v>
      </c>
      <c r="Z2843" s="171">
        <f>_xll.qlInterestRateIndexValueDate(IborIndex,Y2843,Trigger)</f>
        <v>59093</v>
      </c>
      <c r="AA2843" s="172" t="e">
        <v>#N/A</v>
      </c>
      <c r="AB2843" s="169" t="e">
        <v>#N/A</v>
      </c>
    </row>
    <row r="2844" spans="20:28" x14ac:dyDescent="0.2">
      <c r="T2844" s="130"/>
      <c r="U2844" s="151"/>
      <c r="X2844" s="170" t="str">
        <f t="shared" si="53"/>
        <v>1w</v>
      </c>
      <c r="Y2844" s="168">
        <f>_xll.qlCalendarAdvance(LiborCalendar,Y2843,X2844,"f",FALSE)</f>
        <v>59098</v>
      </c>
      <c r="Z2844" s="171">
        <f>_xll.qlInterestRateIndexValueDate(IborIndex,Y2844,Trigger)</f>
        <v>59100</v>
      </c>
      <c r="AA2844" s="172" t="e">
        <v>#N/A</v>
      </c>
      <c r="AB2844" s="169" t="e">
        <v>#N/A</v>
      </c>
    </row>
    <row r="2845" spans="20:28" x14ac:dyDescent="0.2">
      <c r="T2845" s="130"/>
      <c r="U2845" s="151"/>
      <c r="X2845" s="170" t="str">
        <f t="shared" si="53"/>
        <v>1w</v>
      </c>
      <c r="Y2845" s="168">
        <f>_xll.qlCalendarAdvance(LiborCalendar,Y2844,X2845,"f",FALSE)</f>
        <v>59105</v>
      </c>
      <c r="Z2845" s="171">
        <f>_xll.qlInterestRateIndexValueDate(IborIndex,Y2845,Trigger)</f>
        <v>59107</v>
      </c>
      <c r="AA2845" s="172" t="e">
        <v>#N/A</v>
      </c>
      <c r="AB2845" s="169" t="e">
        <v>#N/A</v>
      </c>
    </row>
    <row r="2846" spans="20:28" x14ac:dyDescent="0.2">
      <c r="T2846" s="130"/>
      <c r="U2846" s="151"/>
      <c r="X2846" s="170" t="str">
        <f t="shared" si="53"/>
        <v>1w</v>
      </c>
      <c r="Y2846" s="168">
        <f>_xll.qlCalendarAdvance(LiborCalendar,Y2845,X2846,"f",FALSE)</f>
        <v>59112</v>
      </c>
      <c r="Z2846" s="171">
        <f>_xll.qlInterestRateIndexValueDate(IborIndex,Y2846,Trigger)</f>
        <v>59114</v>
      </c>
      <c r="AA2846" s="172" t="e">
        <v>#N/A</v>
      </c>
      <c r="AB2846" s="169" t="e">
        <v>#N/A</v>
      </c>
    </row>
    <row r="2847" spans="20:28" x14ac:dyDescent="0.2">
      <c r="T2847" s="130"/>
      <c r="U2847" s="151"/>
      <c r="X2847" s="170" t="str">
        <f t="shared" si="53"/>
        <v>1w</v>
      </c>
      <c r="Y2847" s="168">
        <f>_xll.qlCalendarAdvance(LiborCalendar,Y2846,X2847,"f",FALSE)</f>
        <v>59119</v>
      </c>
      <c r="Z2847" s="171">
        <f>_xll.qlInterestRateIndexValueDate(IborIndex,Y2847,Trigger)</f>
        <v>59121</v>
      </c>
      <c r="AA2847" s="172" t="e">
        <v>#N/A</v>
      </c>
      <c r="AB2847" s="169" t="e">
        <v>#N/A</v>
      </c>
    </row>
    <row r="2848" spans="20:28" x14ac:dyDescent="0.2">
      <c r="T2848" s="130"/>
      <c r="U2848" s="151"/>
      <c r="X2848" s="170" t="str">
        <f t="shared" si="53"/>
        <v>1w</v>
      </c>
      <c r="Y2848" s="168">
        <f>_xll.qlCalendarAdvance(LiborCalendar,Y2847,X2848,"f",FALSE)</f>
        <v>59126</v>
      </c>
      <c r="Z2848" s="171">
        <f>_xll.qlInterestRateIndexValueDate(IborIndex,Y2848,Trigger)</f>
        <v>59128</v>
      </c>
      <c r="AA2848" s="172" t="e">
        <v>#N/A</v>
      </c>
      <c r="AB2848" s="169" t="e">
        <v>#N/A</v>
      </c>
    </row>
    <row r="2849" spans="20:28" x14ac:dyDescent="0.2">
      <c r="T2849" s="130"/>
      <c r="U2849" s="151"/>
      <c r="X2849" s="170" t="str">
        <f t="shared" si="53"/>
        <v>1w</v>
      </c>
      <c r="Y2849" s="168">
        <f>_xll.qlCalendarAdvance(LiborCalendar,Y2848,X2849,"f",FALSE)</f>
        <v>59133</v>
      </c>
      <c r="Z2849" s="171">
        <f>_xll.qlInterestRateIndexValueDate(IborIndex,Y2849,Trigger)</f>
        <v>59135</v>
      </c>
      <c r="AA2849" s="172" t="e">
        <v>#N/A</v>
      </c>
      <c r="AB2849" s="169" t="e">
        <v>#N/A</v>
      </c>
    </row>
    <row r="2850" spans="20:28" x14ac:dyDescent="0.2">
      <c r="T2850" s="130"/>
      <c r="U2850" s="151"/>
      <c r="X2850" s="170" t="str">
        <f t="shared" si="53"/>
        <v>1w</v>
      </c>
      <c r="Y2850" s="168">
        <f>_xll.qlCalendarAdvance(LiborCalendar,Y2849,X2850,"f",FALSE)</f>
        <v>59140</v>
      </c>
      <c r="Z2850" s="171">
        <f>_xll.qlInterestRateIndexValueDate(IborIndex,Y2850,Trigger)</f>
        <v>59142</v>
      </c>
      <c r="AA2850" s="172" t="e">
        <v>#N/A</v>
      </c>
      <c r="AB2850" s="169" t="e">
        <v>#N/A</v>
      </c>
    </row>
    <row r="2851" spans="20:28" x14ac:dyDescent="0.2">
      <c r="T2851" s="130"/>
      <c r="U2851" s="151"/>
      <c r="X2851" s="170" t="str">
        <f t="shared" si="53"/>
        <v>1w</v>
      </c>
      <c r="Y2851" s="168">
        <f>_xll.qlCalendarAdvance(LiborCalendar,Y2850,X2851,"f",FALSE)</f>
        <v>59147</v>
      </c>
      <c r="Z2851" s="171">
        <f>_xll.qlInterestRateIndexValueDate(IborIndex,Y2851,Trigger)</f>
        <v>59149</v>
      </c>
      <c r="AA2851" s="172" t="e">
        <v>#N/A</v>
      </c>
      <c r="AB2851" s="169" t="e">
        <v>#N/A</v>
      </c>
    </row>
    <row r="2852" spans="20:28" x14ac:dyDescent="0.2">
      <c r="T2852" s="130"/>
      <c r="U2852" s="151"/>
      <c r="X2852" s="170" t="str">
        <f t="shared" si="53"/>
        <v>1w</v>
      </c>
      <c r="Y2852" s="168">
        <f>_xll.qlCalendarAdvance(LiborCalendar,Y2851,X2852,"f",FALSE)</f>
        <v>59154</v>
      </c>
      <c r="Z2852" s="171">
        <f>_xll.qlInterestRateIndexValueDate(IborIndex,Y2852,Trigger)</f>
        <v>59156</v>
      </c>
      <c r="AA2852" s="172" t="e">
        <v>#N/A</v>
      </c>
      <c r="AB2852" s="169" t="e">
        <v>#N/A</v>
      </c>
    </row>
    <row r="2853" spans="20:28" x14ac:dyDescent="0.2">
      <c r="T2853" s="130"/>
      <c r="U2853" s="151"/>
      <c r="X2853" s="170" t="str">
        <f t="shared" si="53"/>
        <v>1w</v>
      </c>
      <c r="Y2853" s="168">
        <f>_xll.qlCalendarAdvance(LiborCalendar,Y2852,X2853,"f",FALSE)</f>
        <v>59161</v>
      </c>
      <c r="Z2853" s="171">
        <f>_xll.qlInterestRateIndexValueDate(IborIndex,Y2853,Trigger)</f>
        <v>59163</v>
      </c>
      <c r="AA2853" s="172" t="e">
        <v>#N/A</v>
      </c>
      <c r="AB2853" s="169" t="e">
        <v>#N/A</v>
      </c>
    </row>
    <row r="2854" spans="20:28" x14ac:dyDescent="0.2">
      <c r="T2854" s="130"/>
      <c r="U2854" s="151"/>
      <c r="X2854" s="170" t="str">
        <f t="shared" si="53"/>
        <v>1w</v>
      </c>
      <c r="Y2854" s="168">
        <f>_xll.qlCalendarAdvance(LiborCalendar,Y2853,X2854,"f",FALSE)</f>
        <v>59168</v>
      </c>
      <c r="Z2854" s="171">
        <f>_xll.qlInterestRateIndexValueDate(IborIndex,Y2854,Trigger)</f>
        <v>59170</v>
      </c>
      <c r="AA2854" s="172" t="e">
        <v>#N/A</v>
      </c>
      <c r="AB2854" s="169" t="e">
        <v>#N/A</v>
      </c>
    </row>
    <row r="2855" spans="20:28" x14ac:dyDescent="0.2">
      <c r="T2855" s="130"/>
      <c r="U2855" s="151"/>
      <c r="X2855" s="170" t="str">
        <f t="shared" si="53"/>
        <v>1w</v>
      </c>
      <c r="Y2855" s="168">
        <f>_xll.qlCalendarAdvance(LiborCalendar,Y2854,X2855,"f",FALSE)</f>
        <v>59175</v>
      </c>
      <c r="Z2855" s="171">
        <f>_xll.qlInterestRateIndexValueDate(IborIndex,Y2855,Trigger)</f>
        <v>59177</v>
      </c>
      <c r="AA2855" s="172" t="e">
        <v>#N/A</v>
      </c>
      <c r="AB2855" s="169" t="e">
        <v>#N/A</v>
      </c>
    </row>
    <row r="2856" spans="20:28" x14ac:dyDescent="0.2">
      <c r="T2856" s="130"/>
      <c r="U2856" s="151"/>
      <c r="X2856" s="170" t="str">
        <f t="shared" si="53"/>
        <v>1w</v>
      </c>
      <c r="Y2856" s="168">
        <f>_xll.qlCalendarAdvance(LiborCalendar,Y2855,X2856,"f",FALSE)</f>
        <v>59182</v>
      </c>
      <c r="Z2856" s="171">
        <f>_xll.qlInterestRateIndexValueDate(IborIndex,Y2856,Trigger)</f>
        <v>59184</v>
      </c>
      <c r="AA2856" s="172" t="e">
        <v>#N/A</v>
      </c>
      <c r="AB2856" s="169" t="e">
        <v>#N/A</v>
      </c>
    </row>
    <row r="2857" spans="20:28" x14ac:dyDescent="0.2">
      <c r="T2857" s="130"/>
      <c r="U2857" s="151"/>
      <c r="X2857" s="170" t="str">
        <f t="shared" si="53"/>
        <v>1w</v>
      </c>
      <c r="Y2857" s="168">
        <f>_xll.qlCalendarAdvance(LiborCalendar,Y2856,X2857,"f",FALSE)</f>
        <v>59189</v>
      </c>
      <c r="Z2857" s="171">
        <f>_xll.qlInterestRateIndexValueDate(IborIndex,Y2857,Trigger)</f>
        <v>59191</v>
      </c>
      <c r="AA2857" s="172" t="e">
        <v>#N/A</v>
      </c>
      <c r="AB2857" s="169" t="e">
        <v>#N/A</v>
      </c>
    </row>
    <row r="2858" spans="20:28" x14ac:dyDescent="0.2">
      <c r="T2858" s="130"/>
      <c r="U2858" s="151"/>
      <c r="X2858" s="170" t="str">
        <f t="shared" si="53"/>
        <v>1w</v>
      </c>
      <c r="Y2858" s="168">
        <f>_xll.qlCalendarAdvance(LiborCalendar,Y2857,X2858,"f",FALSE)</f>
        <v>59196</v>
      </c>
      <c r="Z2858" s="171">
        <f>_xll.qlInterestRateIndexValueDate(IborIndex,Y2858,Trigger)</f>
        <v>59198</v>
      </c>
      <c r="AA2858" s="172" t="e">
        <v>#N/A</v>
      </c>
      <c r="AB2858" s="169" t="e">
        <v>#N/A</v>
      </c>
    </row>
    <row r="2859" spans="20:28" x14ac:dyDescent="0.2">
      <c r="T2859" s="130"/>
      <c r="U2859" s="151"/>
      <c r="X2859" s="170" t="str">
        <f t="shared" si="53"/>
        <v>1w</v>
      </c>
      <c r="Y2859" s="168">
        <f>_xll.qlCalendarAdvance(LiborCalendar,Y2858,X2859,"f",FALSE)</f>
        <v>59203</v>
      </c>
      <c r="Z2859" s="171">
        <f>_xll.qlInterestRateIndexValueDate(IborIndex,Y2859,Trigger)</f>
        <v>59205</v>
      </c>
      <c r="AA2859" s="172" t="e">
        <v>#N/A</v>
      </c>
      <c r="AB2859" s="169" t="e">
        <v>#N/A</v>
      </c>
    </row>
    <row r="2860" spans="20:28" x14ac:dyDescent="0.2">
      <c r="T2860" s="130"/>
      <c r="U2860" s="151"/>
      <c r="X2860" s="170" t="str">
        <f t="shared" si="53"/>
        <v>1w</v>
      </c>
      <c r="Y2860" s="168">
        <f>_xll.qlCalendarAdvance(LiborCalendar,Y2859,X2860,"f",FALSE)</f>
        <v>59210</v>
      </c>
      <c r="Z2860" s="171">
        <f>_xll.qlInterestRateIndexValueDate(IborIndex,Y2860,Trigger)</f>
        <v>59212</v>
      </c>
      <c r="AA2860" s="172" t="e">
        <v>#N/A</v>
      </c>
      <c r="AB2860" s="169" t="e">
        <v>#N/A</v>
      </c>
    </row>
    <row r="2861" spans="20:28" x14ac:dyDescent="0.2">
      <c r="T2861" s="130"/>
      <c r="U2861" s="151"/>
      <c r="X2861" s="170" t="str">
        <f t="shared" si="53"/>
        <v>1w</v>
      </c>
      <c r="Y2861" s="168">
        <f>_xll.qlCalendarAdvance(LiborCalendar,Y2860,X2861,"f",FALSE)</f>
        <v>59217</v>
      </c>
      <c r="Z2861" s="171">
        <f>_xll.qlInterestRateIndexValueDate(IborIndex,Y2861,Trigger)</f>
        <v>59219</v>
      </c>
      <c r="AA2861" s="172" t="e">
        <v>#N/A</v>
      </c>
      <c r="AB2861" s="169" t="e">
        <v>#N/A</v>
      </c>
    </row>
    <row r="2862" spans="20:28" x14ac:dyDescent="0.2">
      <c r="T2862" s="130"/>
      <c r="U2862" s="151"/>
      <c r="X2862" s="170" t="str">
        <f t="shared" si="53"/>
        <v>1w</v>
      </c>
      <c r="Y2862" s="168">
        <f>_xll.qlCalendarAdvance(LiborCalendar,Y2861,X2862,"f",FALSE)</f>
        <v>59224</v>
      </c>
      <c r="Z2862" s="171">
        <f>_xll.qlInterestRateIndexValueDate(IborIndex,Y2862,Trigger)</f>
        <v>59226</v>
      </c>
      <c r="AA2862" s="172" t="e">
        <v>#N/A</v>
      </c>
      <c r="AB2862" s="169" t="e">
        <v>#N/A</v>
      </c>
    </row>
    <row r="2863" spans="20:28" x14ac:dyDescent="0.2">
      <c r="T2863" s="130"/>
      <c r="U2863" s="151"/>
      <c r="X2863" s="170" t="str">
        <f t="shared" si="53"/>
        <v>1w</v>
      </c>
      <c r="Y2863" s="168">
        <f>_xll.qlCalendarAdvance(LiborCalendar,Y2862,X2863,"f",FALSE)</f>
        <v>59231</v>
      </c>
      <c r="Z2863" s="171">
        <f>_xll.qlInterestRateIndexValueDate(IborIndex,Y2863,Trigger)</f>
        <v>59233</v>
      </c>
      <c r="AA2863" s="172" t="e">
        <v>#N/A</v>
      </c>
      <c r="AB2863" s="169" t="e">
        <v>#N/A</v>
      </c>
    </row>
    <row r="2864" spans="20:28" x14ac:dyDescent="0.2">
      <c r="T2864" s="130"/>
      <c r="U2864" s="151"/>
      <c r="X2864" s="170" t="str">
        <f t="shared" si="53"/>
        <v>1w</v>
      </c>
      <c r="Y2864" s="168">
        <f>_xll.qlCalendarAdvance(LiborCalendar,Y2863,X2864,"f",FALSE)</f>
        <v>59238</v>
      </c>
      <c r="Z2864" s="171">
        <f>_xll.qlInterestRateIndexValueDate(IborIndex,Y2864,Trigger)</f>
        <v>59240</v>
      </c>
      <c r="AA2864" s="172" t="e">
        <v>#N/A</v>
      </c>
      <c r="AB2864" s="169" t="e">
        <v>#N/A</v>
      </c>
    </row>
    <row r="2865" spans="20:28" x14ac:dyDescent="0.2">
      <c r="T2865" s="130"/>
      <c r="U2865" s="151"/>
      <c r="X2865" s="170" t="str">
        <f t="shared" si="53"/>
        <v>1w</v>
      </c>
      <c r="Y2865" s="168">
        <f>_xll.qlCalendarAdvance(LiborCalendar,Y2864,X2865,"f",FALSE)</f>
        <v>59245</v>
      </c>
      <c r="Z2865" s="171">
        <f>_xll.qlInterestRateIndexValueDate(IborIndex,Y2865,Trigger)</f>
        <v>59247</v>
      </c>
      <c r="AA2865" s="172" t="e">
        <v>#N/A</v>
      </c>
      <c r="AB2865" s="169" t="e">
        <v>#N/A</v>
      </c>
    </row>
    <row r="2866" spans="20:28" x14ac:dyDescent="0.2">
      <c r="T2866" s="130"/>
      <c r="U2866" s="151"/>
      <c r="X2866" s="170" t="str">
        <f t="shared" si="53"/>
        <v>1w</v>
      </c>
      <c r="Y2866" s="168">
        <f>_xll.qlCalendarAdvance(LiborCalendar,Y2865,X2866,"f",FALSE)</f>
        <v>59252</v>
      </c>
      <c r="Z2866" s="171">
        <f>_xll.qlInterestRateIndexValueDate(IborIndex,Y2866,Trigger)</f>
        <v>59258</v>
      </c>
      <c r="AA2866" s="172" t="e">
        <v>#N/A</v>
      </c>
      <c r="AB2866" s="169" t="e">
        <v>#N/A</v>
      </c>
    </row>
    <row r="2867" spans="20:28" x14ac:dyDescent="0.2">
      <c r="T2867" s="130"/>
      <c r="U2867" s="151"/>
      <c r="X2867" s="170" t="str">
        <f t="shared" si="53"/>
        <v>1w</v>
      </c>
      <c r="Y2867" s="168">
        <f>_xll.qlCalendarAdvance(LiborCalendar,Y2866,X2867,"f",FALSE)</f>
        <v>59259</v>
      </c>
      <c r="Z2867" s="171">
        <f>_xll.qlInterestRateIndexValueDate(IborIndex,Y2867,Trigger)</f>
        <v>59261</v>
      </c>
      <c r="AA2867" s="172" t="e">
        <v>#N/A</v>
      </c>
      <c r="AB2867" s="169" t="e">
        <v>#N/A</v>
      </c>
    </row>
    <row r="2868" spans="20:28" x14ac:dyDescent="0.2">
      <c r="T2868" s="130"/>
      <c r="U2868" s="151"/>
      <c r="X2868" s="170" t="str">
        <f t="shared" si="53"/>
        <v>1w</v>
      </c>
      <c r="Y2868" s="168">
        <f>_xll.qlCalendarAdvance(LiborCalendar,Y2867,X2868,"f",FALSE)</f>
        <v>59266</v>
      </c>
      <c r="Z2868" s="171">
        <f>_xll.qlInterestRateIndexValueDate(IborIndex,Y2868,Trigger)</f>
        <v>59268</v>
      </c>
      <c r="AA2868" s="172" t="e">
        <v>#N/A</v>
      </c>
      <c r="AB2868" s="169" t="e">
        <v>#N/A</v>
      </c>
    </row>
    <row r="2869" spans="20:28" x14ac:dyDescent="0.2">
      <c r="T2869" s="130"/>
      <c r="U2869" s="151"/>
      <c r="X2869" s="170" t="str">
        <f t="shared" si="53"/>
        <v>1w</v>
      </c>
      <c r="Y2869" s="168">
        <f>_xll.qlCalendarAdvance(LiborCalendar,Y2868,X2869,"f",FALSE)</f>
        <v>59273</v>
      </c>
      <c r="Z2869" s="171">
        <f>_xll.qlInterestRateIndexValueDate(IborIndex,Y2869,Trigger)</f>
        <v>59275</v>
      </c>
      <c r="AA2869" s="172" t="e">
        <v>#N/A</v>
      </c>
      <c r="AB2869" s="169" t="e">
        <v>#N/A</v>
      </c>
    </row>
    <row r="2870" spans="20:28" x14ac:dyDescent="0.2">
      <c r="T2870" s="130"/>
      <c r="U2870" s="151"/>
      <c r="X2870" s="170" t="str">
        <f t="shared" si="53"/>
        <v>1w</v>
      </c>
      <c r="Y2870" s="168">
        <f>_xll.qlCalendarAdvance(LiborCalendar,Y2869,X2870,"f",FALSE)</f>
        <v>59280</v>
      </c>
      <c r="Z2870" s="171">
        <f>_xll.qlInterestRateIndexValueDate(IborIndex,Y2870,Trigger)</f>
        <v>59282</v>
      </c>
      <c r="AA2870" s="172" t="e">
        <v>#N/A</v>
      </c>
      <c r="AB2870" s="169" t="e">
        <v>#N/A</v>
      </c>
    </row>
    <row r="2871" spans="20:28" x14ac:dyDescent="0.2">
      <c r="T2871" s="130"/>
      <c r="U2871" s="151"/>
      <c r="X2871" s="170" t="str">
        <f t="shared" si="53"/>
        <v>1w</v>
      </c>
      <c r="Y2871" s="168">
        <f>_xll.qlCalendarAdvance(LiborCalendar,Y2870,X2871,"f",FALSE)</f>
        <v>59287</v>
      </c>
      <c r="Z2871" s="171">
        <f>_xll.qlInterestRateIndexValueDate(IborIndex,Y2871,Trigger)</f>
        <v>59289</v>
      </c>
      <c r="AA2871" s="172" t="e">
        <v>#N/A</v>
      </c>
      <c r="AB2871" s="169" t="e">
        <v>#N/A</v>
      </c>
    </row>
    <row r="2872" spans="20:28" x14ac:dyDescent="0.2">
      <c r="T2872" s="130"/>
      <c r="U2872" s="151"/>
      <c r="X2872" s="170" t="str">
        <f t="shared" si="53"/>
        <v>1w</v>
      </c>
      <c r="Y2872" s="168">
        <f>_xll.qlCalendarAdvance(LiborCalendar,Y2871,X2872,"f",FALSE)</f>
        <v>59294</v>
      </c>
      <c r="Z2872" s="171">
        <f>_xll.qlInterestRateIndexValueDate(IborIndex,Y2872,Trigger)</f>
        <v>59296</v>
      </c>
      <c r="AA2872" s="172" t="e">
        <v>#N/A</v>
      </c>
      <c r="AB2872" s="169" t="e">
        <v>#N/A</v>
      </c>
    </row>
    <row r="2873" spans="20:28" x14ac:dyDescent="0.2">
      <c r="T2873" s="130"/>
      <c r="U2873" s="151"/>
      <c r="X2873" s="170" t="str">
        <f t="shared" si="53"/>
        <v>1w</v>
      </c>
      <c r="Y2873" s="168">
        <f>_xll.qlCalendarAdvance(LiborCalendar,Y2872,X2873,"f",FALSE)</f>
        <v>59301</v>
      </c>
      <c r="Z2873" s="171">
        <f>_xll.qlInterestRateIndexValueDate(IborIndex,Y2873,Trigger)</f>
        <v>59303</v>
      </c>
      <c r="AA2873" s="172" t="e">
        <v>#N/A</v>
      </c>
      <c r="AB2873" s="169" t="e">
        <v>#N/A</v>
      </c>
    </row>
    <row r="2874" spans="20:28" x14ac:dyDescent="0.2">
      <c r="T2874" s="130"/>
      <c r="U2874" s="151"/>
      <c r="X2874" s="170" t="str">
        <f t="shared" si="53"/>
        <v>1w</v>
      </c>
      <c r="Y2874" s="168">
        <f>_xll.qlCalendarAdvance(LiborCalendar,Y2873,X2874,"f",FALSE)</f>
        <v>59308</v>
      </c>
      <c r="Z2874" s="171">
        <f>_xll.qlInterestRateIndexValueDate(IborIndex,Y2874,Trigger)</f>
        <v>59310</v>
      </c>
      <c r="AA2874" s="172" t="e">
        <v>#N/A</v>
      </c>
      <c r="AB2874" s="169" t="e">
        <v>#N/A</v>
      </c>
    </row>
    <row r="2875" spans="20:28" x14ac:dyDescent="0.2">
      <c r="T2875" s="130"/>
      <c r="U2875" s="151"/>
      <c r="X2875" s="170" t="str">
        <f t="shared" si="53"/>
        <v>1w</v>
      </c>
      <c r="Y2875" s="168">
        <f>_xll.qlCalendarAdvance(LiborCalendar,Y2874,X2875,"f",FALSE)</f>
        <v>59315</v>
      </c>
      <c r="Z2875" s="171">
        <f>_xll.qlInterestRateIndexValueDate(IborIndex,Y2875,Trigger)</f>
        <v>59317</v>
      </c>
      <c r="AA2875" s="172" t="e">
        <v>#N/A</v>
      </c>
      <c r="AB2875" s="169" t="e">
        <v>#N/A</v>
      </c>
    </row>
    <row r="2876" spans="20:28" x14ac:dyDescent="0.2">
      <c r="T2876" s="130"/>
      <c r="U2876" s="151"/>
      <c r="X2876" s="170" t="str">
        <f t="shared" si="53"/>
        <v>1w</v>
      </c>
      <c r="Y2876" s="168">
        <f>_xll.qlCalendarAdvance(LiborCalendar,Y2875,X2876,"f",FALSE)</f>
        <v>59322</v>
      </c>
      <c r="Z2876" s="171">
        <f>_xll.qlInterestRateIndexValueDate(IborIndex,Y2876,Trigger)</f>
        <v>59324</v>
      </c>
      <c r="AA2876" s="172" t="e">
        <v>#N/A</v>
      </c>
      <c r="AB2876" s="169" t="e">
        <v>#N/A</v>
      </c>
    </row>
    <row r="2877" spans="20:28" x14ac:dyDescent="0.2">
      <c r="T2877" s="130"/>
      <c r="U2877" s="151"/>
      <c r="X2877" s="170" t="str">
        <f t="shared" si="53"/>
        <v>1w</v>
      </c>
      <c r="Y2877" s="168">
        <f>_xll.qlCalendarAdvance(LiborCalendar,Y2876,X2877,"f",FALSE)</f>
        <v>59329</v>
      </c>
      <c r="Z2877" s="171">
        <f>_xll.qlInterestRateIndexValueDate(IborIndex,Y2877,Trigger)</f>
        <v>59331</v>
      </c>
      <c r="AA2877" s="172" t="e">
        <v>#N/A</v>
      </c>
      <c r="AB2877" s="169" t="e">
        <v>#N/A</v>
      </c>
    </row>
    <row r="2878" spans="20:28" x14ac:dyDescent="0.2">
      <c r="T2878" s="130"/>
      <c r="U2878" s="151"/>
      <c r="X2878" s="170" t="str">
        <f t="shared" si="53"/>
        <v>1w</v>
      </c>
      <c r="Y2878" s="168">
        <f>_xll.qlCalendarAdvance(LiborCalendar,Y2877,X2878,"f",FALSE)</f>
        <v>59336</v>
      </c>
      <c r="Z2878" s="171">
        <f>_xll.qlInterestRateIndexValueDate(IborIndex,Y2878,Trigger)</f>
        <v>59338</v>
      </c>
      <c r="AA2878" s="172" t="e">
        <v>#N/A</v>
      </c>
      <c r="AB2878" s="169" t="e">
        <v>#N/A</v>
      </c>
    </row>
    <row r="2879" spans="20:28" x14ac:dyDescent="0.2">
      <c r="T2879" s="130"/>
      <c r="U2879" s="151"/>
      <c r="X2879" s="170" t="str">
        <f t="shared" si="53"/>
        <v>1w</v>
      </c>
      <c r="Y2879" s="168">
        <f>_xll.qlCalendarAdvance(LiborCalendar,Y2878,X2879,"f",FALSE)</f>
        <v>59343</v>
      </c>
      <c r="Z2879" s="171">
        <f>_xll.qlInterestRateIndexValueDate(IborIndex,Y2879,Trigger)</f>
        <v>59345</v>
      </c>
      <c r="AA2879" s="172" t="e">
        <v>#N/A</v>
      </c>
      <c r="AB2879" s="169" t="e">
        <v>#N/A</v>
      </c>
    </row>
    <row r="2880" spans="20:28" x14ac:dyDescent="0.2">
      <c r="T2880" s="130"/>
      <c r="U2880" s="151"/>
      <c r="X2880" s="170" t="str">
        <f t="shared" si="53"/>
        <v>1w</v>
      </c>
      <c r="Y2880" s="168">
        <f>_xll.qlCalendarAdvance(LiborCalendar,Y2879,X2880,"f",FALSE)</f>
        <v>59350</v>
      </c>
      <c r="Z2880" s="171">
        <f>_xll.qlInterestRateIndexValueDate(IborIndex,Y2880,Trigger)</f>
        <v>59352</v>
      </c>
      <c r="AA2880" s="172" t="e">
        <v>#N/A</v>
      </c>
      <c r="AB2880" s="169" t="e">
        <v>#N/A</v>
      </c>
    </row>
    <row r="2881" spans="20:28" x14ac:dyDescent="0.2">
      <c r="T2881" s="130"/>
      <c r="U2881" s="151"/>
      <c r="X2881" s="170" t="str">
        <f t="shared" si="53"/>
        <v>1w</v>
      </c>
      <c r="Y2881" s="168">
        <f>_xll.qlCalendarAdvance(LiborCalendar,Y2880,X2881,"f",FALSE)</f>
        <v>59357</v>
      </c>
      <c r="Z2881" s="171">
        <f>_xll.qlInterestRateIndexValueDate(IborIndex,Y2881,Trigger)</f>
        <v>59359</v>
      </c>
      <c r="AA2881" s="172" t="e">
        <v>#N/A</v>
      </c>
      <c r="AB2881" s="169" t="e">
        <v>#N/A</v>
      </c>
    </row>
    <row r="2882" spans="20:28" x14ac:dyDescent="0.2">
      <c r="T2882" s="130"/>
      <c r="U2882" s="151"/>
      <c r="X2882" s="170" t="str">
        <f t="shared" si="53"/>
        <v>1w</v>
      </c>
      <c r="Y2882" s="168">
        <f>_xll.qlCalendarAdvance(LiborCalendar,Y2881,X2882,"f",FALSE)</f>
        <v>59364</v>
      </c>
      <c r="Z2882" s="171">
        <f>_xll.qlInterestRateIndexValueDate(IborIndex,Y2882,Trigger)</f>
        <v>59366</v>
      </c>
      <c r="AA2882" s="172" t="e">
        <v>#N/A</v>
      </c>
      <c r="AB2882" s="169" t="e">
        <v>#N/A</v>
      </c>
    </row>
    <row r="2883" spans="20:28" x14ac:dyDescent="0.2">
      <c r="T2883" s="130"/>
      <c r="U2883" s="151"/>
      <c r="X2883" s="170" t="str">
        <f t="shared" si="53"/>
        <v>1w</v>
      </c>
      <c r="Y2883" s="168">
        <f>_xll.qlCalendarAdvance(LiborCalendar,Y2882,X2883,"f",FALSE)</f>
        <v>59371</v>
      </c>
      <c r="Z2883" s="171">
        <f>_xll.qlInterestRateIndexValueDate(IborIndex,Y2883,Trigger)</f>
        <v>59373</v>
      </c>
      <c r="AA2883" s="172" t="e">
        <v>#N/A</v>
      </c>
      <c r="AB2883" s="169" t="e">
        <v>#N/A</v>
      </c>
    </row>
    <row r="2884" spans="20:28" x14ac:dyDescent="0.2">
      <c r="T2884" s="130"/>
      <c r="U2884" s="151"/>
      <c r="X2884" s="170" t="str">
        <f t="shared" si="53"/>
        <v>1w</v>
      </c>
      <c r="Y2884" s="168">
        <f>_xll.qlCalendarAdvance(LiborCalendar,Y2883,X2884,"f",FALSE)</f>
        <v>59378</v>
      </c>
      <c r="Z2884" s="171">
        <f>_xll.qlInterestRateIndexValueDate(IborIndex,Y2884,Trigger)</f>
        <v>59380</v>
      </c>
      <c r="AA2884" s="172" t="e">
        <v>#N/A</v>
      </c>
      <c r="AB2884" s="169" t="e">
        <v>#N/A</v>
      </c>
    </row>
    <row r="2885" spans="20:28" x14ac:dyDescent="0.2">
      <c r="T2885" s="130"/>
      <c r="U2885" s="151"/>
      <c r="X2885" s="170" t="str">
        <f t="shared" si="53"/>
        <v>1w</v>
      </c>
      <c r="Y2885" s="168">
        <f>_xll.qlCalendarAdvance(LiborCalendar,Y2884,X2885,"f",FALSE)</f>
        <v>59385</v>
      </c>
      <c r="Z2885" s="171">
        <f>_xll.qlInterestRateIndexValueDate(IborIndex,Y2885,Trigger)</f>
        <v>59387</v>
      </c>
      <c r="AA2885" s="172" t="e">
        <v>#N/A</v>
      </c>
      <c r="AB2885" s="169" t="e">
        <v>#N/A</v>
      </c>
    </row>
    <row r="2886" spans="20:28" x14ac:dyDescent="0.2">
      <c r="T2886" s="130"/>
      <c r="U2886" s="151"/>
      <c r="X2886" s="170" t="str">
        <f t="shared" si="53"/>
        <v>1w</v>
      </c>
      <c r="Y2886" s="168">
        <f>_xll.qlCalendarAdvance(LiborCalendar,Y2885,X2886,"f",FALSE)</f>
        <v>59392</v>
      </c>
      <c r="Z2886" s="171">
        <f>_xll.qlInterestRateIndexValueDate(IborIndex,Y2886,Trigger)</f>
        <v>59394</v>
      </c>
      <c r="AA2886" s="172" t="e">
        <v>#N/A</v>
      </c>
      <c r="AB2886" s="169" t="e">
        <v>#N/A</v>
      </c>
    </row>
    <row r="2887" spans="20:28" x14ac:dyDescent="0.2">
      <c r="T2887" s="130"/>
      <c r="U2887" s="151"/>
      <c r="X2887" s="170" t="str">
        <f t="shared" si="53"/>
        <v>1w</v>
      </c>
      <c r="Y2887" s="168">
        <f>_xll.qlCalendarAdvance(LiborCalendar,Y2886,X2887,"f",FALSE)</f>
        <v>59399</v>
      </c>
      <c r="Z2887" s="171">
        <f>_xll.qlInterestRateIndexValueDate(IborIndex,Y2887,Trigger)</f>
        <v>59401</v>
      </c>
      <c r="AA2887" s="172" t="e">
        <v>#N/A</v>
      </c>
      <c r="AB2887" s="169" t="e">
        <v>#N/A</v>
      </c>
    </row>
    <row r="2888" spans="20:28" x14ac:dyDescent="0.2">
      <c r="T2888" s="130"/>
      <c r="U2888" s="151"/>
      <c r="X2888" s="170" t="str">
        <f t="shared" si="53"/>
        <v>1w</v>
      </c>
      <c r="Y2888" s="168">
        <f>_xll.qlCalendarAdvance(LiborCalendar,Y2887,X2888,"f",FALSE)</f>
        <v>59406</v>
      </c>
      <c r="Z2888" s="171">
        <f>_xll.qlInterestRateIndexValueDate(IborIndex,Y2888,Trigger)</f>
        <v>59408</v>
      </c>
      <c r="AA2888" s="172" t="e">
        <v>#N/A</v>
      </c>
      <c r="AB2888" s="169" t="e">
        <v>#N/A</v>
      </c>
    </row>
    <row r="2889" spans="20:28" x14ac:dyDescent="0.2">
      <c r="T2889" s="130"/>
      <c r="U2889" s="151"/>
      <c r="X2889" s="170" t="str">
        <f t="shared" si="53"/>
        <v>1w</v>
      </c>
      <c r="Y2889" s="168">
        <f>_xll.qlCalendarAdvance(LiborCalendar,Y2888,X2889,"f",FALSE)</f>
        <v>59413</v>
      </c>
      <c r="Z2889" s="171">
        <f>_xll.qlInterestRateIndexValueDate(IborIndex,Y2889,Trigger)</f>
        <v>59415</v>
      </c>
      <c r="AA2889" s="172" t="e">
        <v>#N/A</v>
      </c>
      <c r="AB2889" s="169" t="e">
        <v>#N/A</v>
      </c>
    </row>
    <row r="2890" spans="20:28" x14ac:dyDescent="0.2">
      <c r="T2890" s="130"/>
      <c r="U2890" s="151"/>
      <c r="X2890" s="170" t="str">
        <f t="shared" si="53"/>
        <v>1w</v>
      </c>
      <c r="Y2890" s="168">
        <f>_xll.qlCalendarAdvance(LiborCalendar,Y2889,X2890,"f",FALSE)</f>
        <v>59420</v>
      </c>
      <c r="Z2890" s="171">
        <f>_xll.qlInterestRateIndexValueDate(IborIndex,Y2890,Trigger)</f>
        <v>59422</v>
      </c>
      <c r="AA2890" s="172" t="e">
        <v>#N/A</v>
      </c>
      <c r="AB2890" s="169" t="e">
        <v>#N/A</v>
      </c>
    </row>
    <row r="2891" spans="20:28" x14ac:dyDescent="0.2">
      <c r="T2891" s="130"/>
      <c r="U2891" s="151"/>
      <c r="X2891" s="170" t="str">
        <f t="shared" si="53"/>
        <v>1w</v>
      </c>
      <c r="Y2891" s="168">
        <f>_xll.qlCalendarAdvance(LiborCalendar,Y2890,X2891,"f",FALSE)</f>
        <v>59427</v>
      </c>
      <c r="Z2891" s="171">
        <f>_xll.qlInterestRateIndexValueDate(IborIndex,Y2891,Trigger)</f>
        <v>59429</v>
      </c>
      <c r="AA2891" s="172" t="e">
        <v>#N/A</v>
      </c>
      <c r="AB2891" s="169" t="e">
        <v>#N/A</v>
      </c>
    </row>
    <row r="2892" spans="20:28" x14ac:dyDescent="0.2">
      <c r="T2892" s="130"/>
      <c r="U2892" s="151"/>
      <c r="X2892" s="170" t="str">
        <f t="shared" si="53"/>
        <v>1w</v>
      </c>
      <c r="Y2892" s="168">
        <f>_xll.qlCalendarAdvance(LiborCalendar,Y2891,X2892,"f",FALSE)</f>
        <v>59434</v>
      </c>
      <c r="Z2892" s="171">
        <f>_xll.qlInterestRateIndexValueDate(IborIndex,Y2892,Trigger)</f>
        <v>59436</v>
      </c>
      <c r="AA2892" s="172" t="e">
        <v>#N/A</v>
      </c>
      <c r="AB2892" s="169" t="e">
        <v>#N/A</v>
      </c>
    </row>
    <row r="2893" spans="20:28" x14ac:dyDescent="0.2">
      <c r="T2893" s="130"/>
      <c r="U2893" s="151"/>
      <c r="X2893" s="170" t="str">
        <f t="shared" si="53"/>
        <v>1w</v>
      </c>
      <c r="Y2893" s="168">
        <f>_xll.qlCalendarAdvance(LiborCalendar,Y2892,X2893,"f",FALSE)</f>
        <v>59441</v>
      </c>
      <c r="Z2893" s="171">
        <f>_xll.qlInterestRateIndexValueDate(IborIndex,Y2893,Trigger)</f>
        <v>59443</v>
      </c>
      <c r="AA2893" s="172" t="e">
        <v>#N/A</v>
      </c>
      <c r="AB2893" s="169" t="e">
        <v>#N/A</v>
      </c>
    </row>
    <row r="2894" spans="20:28" x14ac:dyDescent="0.2">
      <c r="T2894" s="130"/>
      <c r="U2894" s="151"/>
      <c r="X2894" s="170" t="str">
        <f t="shared" si="53"/>
        <v>1w</v>
      </c>
      <c r="Y2894" s="168">
        <f>_xll.qlCalendarAdvance(LiborCalendar,Y2893,X2894,"f",FALSE)</f>
        <v>59448</v>
      </c>
      <c r="Z2894" s="171">
        <f>_xll.qlInterestRateIndexValueDate(IborIndex,Y2894,Trigger)</f>
        <v>59450</v>
      </c>
      <c r="AA2894" s="172" t="e">
        <v>#N/A</v>
      </c>
      <c r="AB2894" s="169" t="e">
        <v>#N/A</v>
      </c>
    </row>
    <row r="2895" spans="20:28" x14ac:dyDescent="0.2">
      <c r="T2895" s="130"/>
      <c r="U2895" s="151"/>
      <c r="X2895" s="170" t="str">
        <f t="shared" si="53"/>
        <v>1w</v>
      </c>
      <c r="Y2895" s="168">
        <f>_xll.qlCalendarAdvance(LiborCalendar,Y2894,X2895,"f",FALSE)</f>
        <v>59455</v>
      </c>
      <c r="Z2895" s="171">
        <f>_xll.qlInterestRateIndexValueDate(IborIndex,Y2895,Trigger)</f>
        <v>59457</v>
      </c>
      <c r="AA2895" s="172" t="e">
        <v>#N/A</v>
      </c>
      <c r="AB2895" s="169" t="e">
        <v>#N/A</v>
      </c>
    </row>
    <row r="2896" spans="20:28" x14ac:dyDescent="0.2">
      <c r="T2896" s="130"/>
      <c r="U2896" s="151"/>
      <c r="X2896" s="170" t="str">
        <f t="shared" si="53"/>
        <v>1w</v>
      </c>
      <c r="Y2896" s="168">
        <f>_xll.qlCalendarAdvance(LiborCalendar,Y2895,X2896,"f",FALSE)</f>
        <v>59462</v>
      </c>
      <c r="Z2896" s="171">
        <f>_xll.qlInterestRateIndexValueDate(IborIndex,Y2896,Trigger)</f>
        <v>59464</v>
      </c>
      <c r="AA2896" s="172" t="e">
        <v>#N/A</v>
      </c>
      <c r="AB2896" s="169" t="e">
        <v>#N/A</v>
      </c>
    </row>
    <row r="2897" spans="20:28" x14ac:dyDescent="0.2">
      <c r="T2897" s="130"/>
      <c r="U2897" s="151"/>
      <c r="X2897" s="170" t="str">
        <f t="shared" si="53"/>
        <v>1w</v>
      </c>
      <c r="Y2897" s="168">
        <f>_xll.qlCalendarAdvance(LiborCalendar,Y2896,X2897,"f",FALSE)</f>
        <v>59469</v>
      </c>
      <c r="Z2897" s="171">
        <f>_xll.qlInterestRateIndexValueDate(IborIndex,Y2897,Trigger)</f>
        <v>59471</v>
      </c>
      <c r="AA2897" s="172" t="e">
        <v>#N/A</v>
      </c>
      <c r="AB2897" s="169" t="e">
        <v>#N/A</v>
      </c>
    </row>
    <row r="2898" spans="20:28" x14ac:dyDescent="0.2">
      <c r="T2898" s="130"/>
      <c r="U2898" s="151"/>
      <c r="X2898" s="170" t="str">
        <f t="shared" si="53"/>
        <v>1w</v>
      </c>
      <c r="Y2898" s="168">
        <f>_xll.qlCalendarAdvance(LiborCalendar,Y2897,X2898,"f",FALSE)</f>
        <v>59476</v>
      </c>
      <c r="Z2898" s="171">
        <f>_xll.qlInterestRateIndexValueDate(IborIndex,Y2898,Trigger)</f>
        <v>59478</v>
      </c>
      <c r="AA2898" s="172" t="e">
        <v>#N/A</v>
      </c>
      <c r="AB2898" s="169" t="e">
        <v>#N/A</v>
      </c>
    </row>
    <row r="2899" spans="20:28" x14ac:dyDescent="0.2">
      <c r="T2899" s="130"/>
      <c r="U2899" s="151"/>
      <c r="X2899" s="170" t="str">
        <f t="shared" si="53"/>
        <v>1w</v>
      </c>
      <c r="Y2899" s="168">
        <f>_xll.qlCalendarAdvance(LiborCalendar,Y2898,X2899,"f",FALSE)</f>
        <v>59483</v>
      </c>
      <c r="Z2899" s="171">
        <f>_xll.qlInterestRateIndexValueDate(IborIndex,Y2899,Trigger)</f>
        <v>59485</v>
      </c>
      <c r="AA2899" s="172" t="e">
        <v>#N/A</v>
      </c>
      <c r="AB2899" s="169" t="e">
        <v>#N/A</v>
      </c>
    </row>
    <row r="2900" spans="20:28" x14ac:dyDescent="0.2">
      <c r="T2900" s="130"/>
      <c r="U2900" s="151"/>
      <c r="X2900" s="170" t="str">
        <f t="shared" si="53"/>
        <v>1w</v>
      </c>
      <c r="Y2900" s="168">
        <f>_xll.qlCalendarAdvance(LiborCalendar,Y2899,X2900,"f",FALSE)</f>
        <v>59490</v>
      </c>
      <c r="Z2900" s="171">
        <f>_xll.qlInterestRateIndexValueDate(IborIndex,Y2900,Trigger)</f>
        <v>59492</v>
      </c>
      <c r="AA2900" s="172" t="e">
        <v>#N/A</v>
      </c>
      <c r="AB2900" s="169" t="e">
        <v>#N/A</v>
      </c>
    </row>
    <row r="2901" spans="20:28" x14ac:dyDescent="0.2">
      <c r="T2901" s="130"/>
      <c r="U2901" s="151"/>
      <c r="X2901" s="170" t="str">
        <f t="shared" ref="X2901:X2964" si="54">X2900</f>
        <v>1w</v>
      </c>
      <c r="Y2901" s="168">
        <f>_xll.qlCalendarAdvance(LiborCalendar,Y2900,X2901,"f",FALSE)</f>
        <v>59497</v>
      </c>
      <c r="Z2901" s="171">
        <f>_xll.qlInterestRateIndexValueDate(IborIndex,Y2901,Trigger)</f>
        <v>59499</v>
      </c>
      <c r="AA2901" s="172" t="e">
        <v>#N/A</v>
      </c>
      <c r="AB2901" s="169" t="e">
        <v>#N/A</v>
      </c>
    </row>
    <row r="2902" spans="20:28" x14ac:dyDescent="0.2">
      <c r="T2902" s="130"/>
      <c r="U2902" s="151"/>
      <c r="X2902" s="170" t="str">
        <f t="shared" si="54"/>
        <v>1w</v>
      </c>
      <c r="Y2902" s="168">
        <f>_xll.qlCalendarAdvance(LiborCalendar,Y2901,X2902,"f",FALSE)</f>
        <v>59504</v>
      </c>
      <c r="Z2902" s="171">
        <f>_xll.qlInterestRateIndexValueDate(IborIndex,Y2902,Trigger)</f>
        <v>59506</v>
      </c>
      <c r="AA2902" s="172" t="e">
        <v>#N/A</v>
      </c>
      <c r="AB2902" s="169" t="e">
        <v>#N/A</v>
      </c>
    </row>
    <row r="2903" spans="20:28" x14ac:dyDescent="0.2">
      <c r="T2903" s="130"/>
      <c r="U2903" s="151"/>
      <c r="X2903" s="170" t="str">
        <f t="shared" si="54"/>
        <v>1w</v>
      </c>
      <c r="Y2903" s="168">
        <f>_xll.qlCalendarAdvance(LiborCalendar,Y2902,X2903,"f",FALSE)</f>
        <v>59511</v>
      </c>
      <c r="Z2903" s="171">
        <f>_xll.qlInterestRateIndexValueDate(IborIndex,Y2903,Trigger)</f>
        <v>59513</v>
      </c>
      <c r="AA2903" s="172" t="e">
        <v>#N/A</v>
      </c>
      <c r="AB2903" s="169" t="e">
        <v>#N/A</v>
      </c>
    </row>
    <row r="2904" spans="20:28" x14ac:dyDescent="0.2">
      <c r="T2904" s="130"/>
      <c r="U2904" s="151"/>
      <c r="X2904" s="170" t="str">
        <f t="shared" si="54"/>
        <v>1w</v>
      </c>
      <c r="Y2904" s="168">
        <f>_xll.qlCalendarAdvance(LiborCalendar,Y2903,X2904,"f",FALSE)</f>
        <v>59518</v>
      </c>
      <c r="Z2904" s="171">
        <f>_xll.qlInterestRateIndexValueDate(IborIndex,Y2904,Trigger)</f>
        <v>59520</v>
      </c>
      <c r="AA2904" s="172" t="e">
        <v>#N/A</v>
      </c>
      <c r="AB2904" s="169" t="e">
        <v>#N/A</v>
      </c>
    </row>
    <row r="2905" spans="20:28" x14ac:dyDescent="0.2">
      <c r="T2905" s="130"/>
      <c r="U2905" s="151"/>
      <c r="X2905" s="170" t="str">
        <f t="shared" si="54"/>
        <v>1w</v>
      </c>
      <c r="Y2905" s="168">
        <f>_xll.qlCalendarAdvance(LiborCalendar,Y2904,X2905,"f",FALSE)</f>
        <v>59525</v>
      </c>
      <c r="Z2905" s="171">
        <f>_xll.qlInterestRateIndexValueDate(IborIndex,Y2905,Trigger)</f>
        <v>59527</v>
      </c>
      <c r="AA2905" s="172" t="e">
        <v>#N/A</v>
      </c>
      <c r="AB2905" s="169" t="e">
        <v>#N/A</v>
      </c>
    </row>
    <row r="2906" spans="20:28" x14ac:dyDescent="0.2">
      <c r="T2906" s="130"/>
      <c r="U2906" s="151"/>
      <c r="X2906" s="170" t="str">
        <f t="shared" si="54"/>
        <v>1w</v>
      </c>
      <c r="Y2906" s="168">
        <f>_xll.qlCalendarAdvance(LiborCalendar,Y2905,X2906,"f",FALSE)</f>
        <v>59532</v>
      </c>
      <c r="Z2906" s="171">
        <f>_xll.qlInterestRateIndexValueDate(IborIndex,Y2906,Trigger)</f>
        <v>59534</v>
      </c>
      <c r="AA2906" s="172" t="e">
        <v>#N/A</v>
      </c>
      <c r="AB2906" s="169" t="e">
        <v>#N/A</v>
      </c>
    </row>
    <row r="2907" spans="20:28" x14ac:dyDescent="0.2">
      <c r="T2907" s="130"/>
      <c r="U2907" s="151"/>
      <c r="X2907" s="170" t="str">
        <f t="shared" si="54"/>
        <v>1w</v>
      </c>
      <c r="Y2907" s="168">
        <f>_xll.qlCalendarAdvance(LiborCalendar,Y2906,X2907,"f",FALSE)</f>
        <v>59539</v>
      </c>
      <c r="Z2907" s="171">
        <f>_xll.qlInterestRateIndexValueDate(IborIndex,Y2907,Trigger)</f>
        <v>59541</v>
      </c>
      <c r="AA2907" s="172" t="e">
        <v>#N/A</v>
      </c>
      <c r="AB2907" s="169" t="e">
        <v>#N/A</v>
      </c>
    </row>
    <row r="2908" spans="20:28" x14ac:dyDescent="0.2">
      <c r="T2908" s="130"/>
      <c r="U2908" s="151"/>
      <c r="X2908" s="170" t="str">
        <f t="shared" si="54"/>
        <v>1w</v>
      </c>
      <c r="Y2908" s="168">
        <f>_xll.qlCalendarAdvance(LiborCalendar,Y2907,X2908,"f",FALSE)</f>
        <v>59546</v>
      </c>
      <c r="Z2908" s="171">
        <f>_xll.qlInterestRateIndexValueDate(IborIndex,Y2908,Trigger)</f>
        <v>59548</v>
      </c>
      <c r="AA2908" s="172" t="e">
        <v>#N/A</v>
      </c>
      <c r="AB2908" s="169" t="e">
        <v>#N/A</v>
      </c>
    </row>
    <row r="2909" spans="20:28" x14ac:dyDescent="0.2">
      <c r="T2909" s="130"/>
      <c r="U2909" s="151"/>
      <c r="X2909" s="170" t="str">
        <f t="shared" si="54"/>
        <v>1w</v>
      </c>
      <c r="Y2909" s="168">
        <f>_xll.qlCalendarAdvance(LiborCalendar,Y2908,X2909,"f",FALSE)</f>
        <v>59553</v>
      </c>
      <c r="Z2909" s="171">
        <f>_xll.qlInterestRateIndexValueDate(IborIndex,Y2909,Trigger)</f>
        <v>59555</v>
      </c>
      <c r="AA2909" s="172" t="e">
        <v>#N/A</v>
      </c>
      <c r="AB2909" s="169" t="e">
        <v>#N/A</v>
      </c>
    </row>
    <row r="2910" spans="20:28" x14ac:dyDescent="0.2">
      <c r="T2910" s="130"/>
      <c r="U2910" s="151"/>
      <c r="X2910" s="170" t="str">
        <f t="shared" si="54"/>
        <v>1w</v>
      </c>
      <c r="Y2910" s="168">
        <f>_xll.qlCalendarAdvance(LiborCalendar,Y2909,X2910,"f",FALSE)</f>
        <v>59560</v>
      </c>
      <c r="Z2910" s="171">
        <f>_xll.qlInterestRateIndexValueDate(IborIndex,Y2910,Trigger)</f>
        <v>59562</v>
      </c>
      <c r="AA2910" s="172" t="e">
        <v>#N/A</v>
      </c>
      <c r="AB2910" s="169" t="e">
        <v>#N/A</v>
      </c>
    </row>
    <row r="2911" spans="20:28" x14ac:dyDescent="0.2">
      <c r="T2911" s="130"/>
      <c r="U2911" s="151"/>
      <c r="X2911" s="170" t="str">
        <f t="shared" si="54"/>
        <v>1w</v>
      </c>
      <c r="Y2911" s="168">
        <f>_xll.qlCalendarAdvance(LiborCalendar,Y2910,X2911,"f",FALSE)</f>
        <v>59567</v>
      </c>
      <c r="Z2911" s="171">
        <f>_xll.qlInterestRateIndexValueDate(IborIndex,Y2911,Trigger)</f>
        <v>59569</v>
      </c>
      <c r="AA2911" s="172" t="e">
        <v>#N/A</v>
      </c>
      <c r="AB2911" s="169" t="e">
        <v>#N/A</v>
      </c>
    </row>
    <row r="2912" spans="20:28" x14ac:dyDescent="0.2">
      <c r="T2912" s="130"/>
      <c r="U2912" s="151"/>
      <c r="X2912" s="170" t="str">
        <f t="shared" si="54"/>
        <v>1w</v>
      </c>
      <c r="Y2912" s="168">
        <f>_xll.qlCalendarAdvance(LiborCalendar,Y2911,X2912,"f",FALSE)</f>
        <v>59574</v>
      </c>
      <c r="Z2912" s="171">
        <f>_xll.qlInterestRateIndexValueDate(IborIndex,Y2912,Trigger)</f>
        <v>59576</v>
      </c>
      <c r="AA2912" s="172" t="e">
        <v>#N/A</v>
      </c>
      <c r="AB2912" s="169" t="e">
        <v>#N/A</v>
      </c>
    </row>
    <row r="2913" spans="20:28" x14ac:dyDescent="0.2">
      <c r="T2913" s="130"/>
      <c r="U2913" s="151"/>
      <c r="X2913" s="170" t="str">
        <f t="shared" si="54"/>
        <v>1w</v>
      </c>
      <c r="Y2913" s="168">
        <f>_xll.qlCalendarAdvance(LiborCalendar,Y2912,X2913,"f",FALSE)</f>
        <v>59581</v>
      </c>
      <c r="Z2913" s="171">
        <f>_xll.qlInterestRateIndexValueDate(IborIndex,Y2913,Trigger)</f>
        <v>59583</v>
      </c>
      <c r="AA2913" s="172" t="e">
        <v>#N/A</v>
      </c>
      <c r="AB2913" s="169" t="e">
        <v>#N/A</v>
      </c>
    </row>
    <row r="2914" spans="20:28" x14ac:dyDescent="0.2">
      <c r="T2914" s="130"/>
      <c r="U2914" s="151"/>
      <c r="X2914" s="170" t="str">
        <f t="shared" si="54"/>
        <v>1w</v>
      </c>
      <c r="Y2914" s="168">
        <f>_xll.qlCalendarAdvance(LiborCalendar,Y2913,X2914,"f",FALSE)</f>
        <v>59588</v>
      </c>
      <c r="Z2914" s="171">
        <f>_xll.qlInterestRateIndexValueDate(IborIndex,Y2914,Trigger)</f>
        <v>59590</v>
      </c>
      <c r="AA2914" s="172" t="e">
        <v>#N/A</v>
      </c>
      <c r="AB2914" s="169" t="e">
        <v>#N/A</v>
      </c>
    </row>
    <row r="2915" spans="20:28" x14ac:dyDescent="0.2">
      <c r="T2915" s="130"/>
      <c r="U2915" s="151"/>
      <c r="X2915" s="170" t="str">
        <f t="shared" si="54"/>
        <v>1w</v>
      </c>
      <c r="Y2915" s="168">
        <f>_xll.qlCalendarAdvance(LiborCalendar,Y2914,X2915,"f",FALSE)</f>
        <v>59595</v>
      </c>
      <c r="Z2915" s="171">
        <f>_xll.qlInterestRateIndexValueDate(IborIndex,Y2915,Trigger)</f>
        <v>59597</v>
      </c>
      <c r="AA2915" s="172" t="e">
        <v>#N/A</v>
      </c>
      <c r="AB2915" s="169" t="e">
        <v>#N/A</v>
      </c>
    </row>
    <row r="2916" spans="20:28" x14ac:dyDescent="0.2">
      <c r="T2916" s="130"/>
      <c r="U2916" s="151"/>
      <c r="X2916" s="170" t="str">
        <f t="shared" si="54"/>
        <v>1w</v>
      </c>
      <c r="Y2916" s="168">
        <f>_xll.qlCalendarAdvance(LiborCalendar,Y2915,X2916,"f",FALSE)</f>
        <v>59602</v>
      </c>
      <c r="Z2916" s="171">
        <f>_xll.qlInterestRateIndexValueDate(IborIndex,Y2916,Trigger)</f>
        <v>59604</v>
      </c>
      <c r="AA2916" s="172" t="e">
        <v>#N/A</v>
      </c>
      <c r="AB2916" s="169" t="e">
        <v>#N/A</v>
      </c>
    </row>
    <row r="2917" spans="20:28" x14ac:dyDescent="0.2">
      <c r="T2917" s="130"/>
      <c r="U2917" s="151"/>
      <c r="X2917" s="170" t="str">
        <f t="shared" si="54"/>
        <v>1w</v>
      </c>
      <c r="Y2917" s="168">
        <f>_xll.qlCalendarAdvance(LiborCalendar,Y2916,X2917,"f",FALSE)</f>
        <v>59609</v>
      </c>
      <c r="Z2917" s="171">
        <f>_xll.qlInterestRateIndexValueDate(IborIndex,Y2917,Trigger)</f>
        <v>59611</v>
      </c>
      <c r="AA2917" s="172" t="e">
        <v>#N/A</v>
      </c>
      <c r="AB2917" s="169" t="e">
        <v>#N/A</v>
      </c>
    </row>
    <row r="2918" spans="20:28" x14ac:dyDescent="0.2">
      <c r="T2918" s="130"/>
      <c r="U2918" s="151"/>
      <c r="X2918" s="170" t="str">
        <f t="shared" si="54"/>
        <v>1w</v>
      </c>
      <c r="Y2918" s="168">
        <f>_xll.qlCalendarAdvance(LiborCalendar,Y2917,X2918,"f",FALSE)</f>
        <v>59616</v>
      </c>
      <c r="Z2918" s="171">
        <f>_xll.qlInterestRateIndexValueDate(IborIndex,Y2918,Trigger)</f>
        <v>59618</v>
      </c>
      <c r="AA2918" s="172" t="e">
        <v>#N/A</v>
      </c>
      <c r="AB2918" s="169" t="e">
        <v>#N/A</v>
      </c>
    </row>
    <row r="2919" spans="20:28" x14ac:dyDescent="0.2">
      <c r="T2919" s="130"/>
      <c r="U2919" s="151"/>
      <c r="X2919" s="170" t="str">
        <f t="shared" si="54"/>
        <v>1w</v>
      </c>
      <c r="Y2919" s="168">
        <f>_xll.qlCalendarAdvance(LiborCalendar,Y2918,X2919,"f",FALSE)</f>
        <v>59623</v>
      </c>
      <c r="Z2919" s="171">
        <f>_xll.qlInterestRateIndexValueDate(IborIndex,Y2919,Trigger)</f>
        <v>59625</v>
      </c>
      <c r="AA2919" s="172" t="e">
        <v>#N/A</v>
      </c>
      <c r="AB2919" s="169" t="e">
        <v>#N/A</v>
      </c>
    </row>
    <row r="2920" spans="20:28" x14ac:dyDescent="0.2">
      <c r="T2920" s="130"/>
      <c r="U2920" s="151"/>
      <c r="X2920" s="170" t="str">
        <f t="shared" si="54"/>
        <v>1w</v>
      </c>
      <c r="Y2920" s="168">
        <f>_xll.qlCalendarAdvance(LiborCalendar,Y2919,X2920,"f",FALSE)</f>
        <v>59630</v>
      </c>
      <c r="Z2920" s="171">
        <f>_xll.qlInterestRateIndexValueDate(IborIndex,Y2920,Trigger)</f>
        <v>59632</v>
      </c>
      <c r="AA2920" s="172" t="e">
        <v>#N/A</v>
      </c>
      <c r="AB2920" s="169" t="e">
        <v>#N/A</v>
      </c>
    </row>
    <row r="2921" spans="20:28" x14ac:dyDescent="0.2">
      <c r="T2921" s="130"/>
      <c r="U2921" s="151"/>
      <c r="X2921" s="170" t="str">
        <f t="shared" si="54"/>
        <v>1w</v>
      </c>
      <c r="Y2921" s="168">
        <f>_xll.qlCalendarAdvance(LiborCalendar,Y2920,X2921,"f",FALSE)</f>
        <v>59637</v>
      </c>
      <c r="Z2921" s="171">
        <f>_xll.qlInterestRateIndexValueDate(IborIndex,Y2921,Trigger)</f>
        <v>59643</v>
      </c>
      <c r="AA2921" s="172" t="e">
        <v>#N/A</v>
      </c>
      <c r="AB2921" s="169" t="e">
        <v>#N/A</v>
      </c>
    </row>
    <row r="2922" spans="20:28" x14ac:dyDescent="0.2">
      <c r="T2922" s="130"/>
      <c r="U2922" s="151"/>
      <c r="X2922" s="170" t="str">
        <f t="shared" si="54"/>
        <v>1w</v>
      </c>
      <c r="Y2922" s="168">
        <f>_xll.qlCalendarAdvance(LiborCalendar,Y2921,X2922,"f",FALSE)</f>
        <v>59644</v>
      </c>
      <c r="Z2922" s="171">
        <f>_xll.qlInterestRateIndexValueDate(IborIndex,Y2922,Trigger)</f>
        <v>59646</v>
      </c>
      <c r="AA2922" s="172" t="e">
        <v>#N/A</v>
      </c>
      <c r="AB2922" s="169" t="e">
        <v>#N/A</v>
      </c>
    </row>
    <row r="2923" spans="20:28" x14ac:dyDescent="0.2">
      <c r="T2923" s="130"/>
      <c r="U2923" s="151"/>
      <c r="X2923" s="170" t="str">
        <f t="shared" si="54"/>
        <v>1w</v>
      </c>
      <c r="Y2923" s="168">
        <f>_xll.qlCalendarAdvance(LiborCalendar,Y2922,X2923,"f",FALSE)</f>
        <v>59651</v>
      </c>
      <c r="Z2923" s="171">
        <f>_xll.qlInterestRateIndexValueDate(IborIndex,Y2923,Trigger)</f>
        <v>59653</v>
      </c>
      <c r="AA2923" s="172" t="e">
        <v>#N/A</v>
      </c>
      <c r="AB2923" s="169" t="e">
        <v>#N/A</v>
      </c>
    </row>
    <row r="2924" spans="20:28" x14ac:dyDescent="0.2">
      <c r="T2924" s="130"/>
      <c r="U2924" s="151"/>
      <c r="X2924" s="170" t="str">
        <f t="shared" si="54"/>
        <v>1w</v>
      </c>
      <c r="Y2924" s="168">
        <f>_xll.qlCalendarAdvance(LiborCalendar,Y2923,X2924,"f",FALSE)</f>
        <v>59658</v>
      </c>
      <c r="Z2924" s="171">
        <f>_xll.qlInterestRateIndexValueDate(IborIndex,Y2924,Trigger)</f>
        <v>59660</v>
      </c>
      <c r="AA2924" s="172" t="e">
        <v>#N/A</v>
      </c>
      <c r="AB2924" s="169" t="e">
        <v>#N/A</v>
      </c>
    </row>
    <row r="2925" spans="20:28" x14ac:dyDescent="0.2">
      <c r="T2925" s="130"/>
      <c r="U2925" s="151"/>
      <c r="X2925" s="170" t="str">
        <f t="shared" si="54"/>
        <v>1w</v>
      </c>
      <c r="Y2925" s="168">
        <f>_xll.qlCalendarAdvance(LiborCalendar,Y2924,X2925,"f",FALSE)</f>
        <v>59665</v>
      </c>
      <c r="Z2925" s="171">
        <f>_xll.qlInterestRateIndexValueDate(IborIndex,Y2925,Trigger)</f>
        <v>59667</v>
      </c>
      <c r="AA2925" s="172" t="e">
        <v>#N/A</v>
      </c>
      <c r="AB2925" s="169" t="e">
        <v>#N/A</v>
      </c>
    </row>
    <row r="2926" spans="20:28" x14ac:dyDescent="0.2">
      <c r="T2926" s="130"/>
      <c r="U2926" s="151"/>
      <c r="X2926" s="170" t="str">
        <f t="shared" si="54"/>
        <v>1w</v>
      </c>
      <c r="Y2926" s="168">
        <f>_xll.qlCalendarAdvance(LiborCalendar,Y2925,X2926,"f",FALSE)</f>
        <v>59672</v>
      </c>
      <c r="Z2926" s="171">
        <f>_xll.qlInterestRateIndexValueDate(IborIndex,Y2926,Trigger)</f>
        <v>59674</v>
      </c>
      <c r="AA2926" s="172" t="e">
        <v>#N/A</v>
      </c>
      <c r="AB2926" s="169" t="e">
        <v>#N/A</v>
      </c>
    </row>
    <row r="2927" spans="20:28" x14ac:dyDescent="0.2">
      <c r="T2927" s="130"/>
      <c r="U2927" s="151"/>
      <c r="X2927" s="170" t="str">
        <f t="shared" si="54"/>
        <v>1w</v>
      </c>
      <c r="Y2927" s="168">
        <f>_xll.qlCalendarAdvance(LiborCalendar,Y2926,X2927,"f",FALSE)</f>
        <v>59679</v>
      </c>
      <c r="Z2927" s="171">
        <f>_xll.qlInterestRateIndexValueDate(IborIndex,Y2927,Trigger)</f>
        <v>59681</v>
      </c>
      <c r="AA2927" s="172" t="e">
        <v>#N/A</v>
      </c>
      <c r="AB2927" s="169" t="e">
        <v>#N/A</v>
      </c>
    </row>
    <row r="2928" spans="20:28" x14ac:dyDescent="0.2">
      <c r="T2928" s="130"/>
      <c r="U2928" s="151"/>
      <c r="X2928" s="170" t="str">
        <f t="shared" si="54"/>
        <v>1w</v>
      </c>
      <c r="Y2928" s="168">
        <f>_xll.qlCalendarAdvance(LiborCalendar,Y2927,X2928,"f",FALSE)</f>
        <v>59686</v>
      </c>
      <c r="Z2928" s="171">
        <f>_xll.qlInterestRateIndexValueDate(IborIndex,Y2928,Trigger)</f>
        <v>59688</v>
      </c>
      <c r="AA2928" s="172" t="e">
        <v>#N/A</v>
      </c>
      <c r="AB2928" s="169" t="e">
        <v>#N/A</v>
      </c>
    </row>
    <row r="2929" spans="20:28" x14ac:dyDescent="0.2">
      <c r="T2929" s="130"/>
      <c r="U2929" s="151"/>
      <c r="X2929" s="170" t="str">
        <f t="shared" si="54"/>
        <v>1w</v>
      </c>
      <c r="Y2929" s="168">
        <f>_xll.qlCalendarAdvance(LiborCalendar,Y2928,X2929,"f",FALSE)</f>
        <v>59693</v>
      </c>
      <c r="Z2929" s="171">
        <f>_xll.qlInterestRateIndexValueDate(IborIndex,Y2929,Trigger)</f>
        <v>59695</v>
      </c>
      <c r="AA2929" s="172" t="e">
        <v>#N/A</v>
      </c>
      <c r="AB2929" s="169" t="e">
        <v>#N/A</v>
      </c>
    </row>
    <row r="2930" spans="20:28" x14ac:dyDescent="0.2">
      <c r="T2930" s="130"/>
      <c r="U2930" s="151"/>
      <c r="X2930" s="170" t="str">
        <f t="shared" si="54"/>
        <v>1w</v>
      </c>
      <c r="Y2930" s="168">
        <f>_xll.qlCalendarAdvance(LiborCalendar,Y2929,X2930,"f",FALSE)</f>
        <v>59700</v>
      </c>
      <c r="Z2930" s="171">
        <f>_xll.qlInterestRateIndexValueDate(IborIndex,Y2930,Trigger)</f>
        <v>59702</v>
      </c>
      <c r="AA2930" s="172" t="e">
        <v>#N/A</v>
      </c>
      <c r="AB2930" s="169" t="e">
        <v>#N/A</v>
      </c>
    </row>
    <row r="2931" spans="20:28" x14ac:dyDescent="0.2">
      <c r="T2931" s="130"/>
      <c r="U2931" s="151"/>
      <c r="X2931" s="170" t="str">
        <f t="shared" si="54"/>
        <v>1w</v>
      </c>
      <c r="Y2931" s="168">
        <f>_xll.qlCalendarAdvance(LiborCalendar,Y2930,X2931,"f",FALSE)</f>
        <v>59707</v>
      </c>
      <c r="Z2931" s="171">
        <f>_xll.qlInterestRateIndexValueDate(IborIndex,Y2931,Trigger)</f>
        <v>59709</v>
      </c>
      <c r="AA2931" s="172" t="e">
        <v>#N/A</v>
      </c>
      <c r="AB2931" s="169" t="e">
        <v>#N/A</v>
      </c>
    </row>
    <row r="2932" spans="20:28" x14ac:dyDescent="0.2">
      <c r="T2932" s="130"/>
      <c r="U2932" s="151"/>
      <c r="X2932" s="170" t="str">
        <f t="shared" si="54"/>
        <v>1w</v>
      </c>
      <c r="Y2932" s="168">
        <f>_xll.qlCalendarAdvance(LiborCalendar,Y2931,X2932,"f",FALSE)</f>
        <v>59714</v>
      </c>
      <c r="Z2932" s="171">
        <f>_xll.qlInterestRateIndexValueDate(IborIndex,Y2932,Trigger)</f>
        <v>59716</v>
      </c>
      <c r="AA2932" s="172" t="e">
        <v>#N/A</v>
      </c>
      <c r="AB2932" s="169" t="e">
        <v>#N/A</v>
      </c>
    </row>
    <row r="2933" spans="20:28" x14ac:dyDescent="0.2">
      <c r="T2933" s="130"/>
      <c r="U2933" s="151"/>
      <c r="X2933" s="170" t="str">
        <f t="shared" si="54"/>
        <v>1w</v>
      </c>
      <c r="Y2933" s="168">
        <f>_xll.qlCalendarAdvance(LiborCalendar,Y2932,X2933,"f",FALSE)</f>
        <v>59721</v>
      </c>
      <c r="Z2933" s="171">
        <f>_xll.qlInterestRateIndexValueDate(IborIndex,Y2933,Trigger)</f>
        <v>59723</v>
      </c>
      <c r="AA2933" s="172" t="e">
        <v>#N/A</v>
      </c>
      <c r="AB2933" s="169" t="e">
        <v>#N/A</v>
      </c>
    </row>
    <row r="2934" spans="20:28" x14ac:dyDescent="0.2">
      <c r="T2934" s="130"/>
      <c r="U2934" s="151"/>
      <c r="X2934" s="170" t="str">
        <f t="shared" si="54"/>
        <v>1w</v>
      </c>
      <c r="Y2934" s="168">
        <f>_xll.qlCalendarAdvance(LiborCalendar,Y2933,X2934,"f",FALSE)</f>
        <v>59728</v>
      </c>
      <c r="Z2934" s="171">
        <f>_xll.qlInterestRateIndexValueDate(IborIndex,Y2934,Trigger)</f>
        <v>59730</v>
      </c>
      <c r="AA2934" s="172" t="e">
        <v>#N/A</v>
      </c>
      <c r="AB2934" s="169" t="e">
        <v>#N/A</v>
      </c>
    </row>
    <row r="2935" spans="20:28" x14ac:dyDescent="0.2">
      <c r="T2935" s="130"/>
      <c r="U2935" s="151"/>
      <c r="X2935" s="170" t="str">
        <f t="shared" si="54"/>
        <v>1w</v>
      </c>
      <c r="Y2935" s="168">
        <f>_xll.qlCalendarAdvance(LiborCalendar,Y2934,X2935,"f",FALSE)</f>
        <v>59735</v>
      </c>
      <c r="Z2935" s="171">
        <f>_xll.qlInterestRateIndexValueDate(IborIndex,Y2935,Trigger)</f>
        <v>59737</v>
      </c>
      <c r="AA2935" s="172" t="e">
        <v>#N/A</v>
      </c>
      <c r="AB2935" s="169" t="e">
        <v>#N/A</v>
      </c>
    </row>
    <row r="2936" spans="20:28" x14ac:dyDescent="0.2">
      <c r="T2936" s="130"/>
      <c r="U2936" s="151"/>
      <c r="X2936" s="170" t="str">
        <f t="shared" si="54"/>
        <v>1w</v>
      </c>
      <c r="Y2936" s="168">
        <f>_xll.qlCalendarAdvance(LiborCalendar,Y2935,X2936,"f",FALSE)</f>
        <v>59742</v>
      </c>
      <c r="Z2936" s="171">
        <f>_xll.qlInterestRateIndexValueDate(IborIndex,Y2936,Trigger)</f>
        <v>59744</v>
      </c>
      <c r="AA2936" s="172" t="e">
        <v>#N/A</v>
      </c>
      <c r="AB2936" s="169" t="e">
        <v>#N/A</v>
      </c>
    </row>
    <row r="2937" spans="20:28" x14ac:dyDescent="0.2">
      <c r="T2937" s="130"/>
      <c r="U2937" s="151"/>
      <c r="X2937" s="170" t="str">
        <f t="shared" si="54"/>
        <v>1w</v>
      </c>
      <c r="Y2937" s="168">
        <f>_xll.qlCalendarAdvance(LiborCalendar,Y2936,X2937,"f",FALSE)</f>
        <v>59749</v>
      </c>
      <c r="Z2937" s="171">
        <f>_xll.qlInterestRateIndexValueDate(IborIndex,Y2937,Trigger)</f>
        <v>59751</v>
      </c>
      <c r="AA2937" s="172" t="e">
        <v>#N/A</v>
      </c>
      <c r="AB2937" s="169" t="e">
        <v>#N/A</v>
      </c>
    </row>
    <row r="2938" spans="20:28" x14ac:dyDescent="0.2">
      <c r="T2938" s="130"/>
      <c r="U2938" s="151"/>
      <c r="X2938" s="170" t="str">
        <f t="shared" si="54"/>
        <v>1w</v>
      </c>
      <c r="Y2938" s="168">
        <f>_xll.qlCalendarAdvance(LiborCalendar,Y2937,X2938,"f",FALSE)</f>
        <v>59756</v>
      </c>
      <c r="Z2938" s="171">
        <f>_xll.qlInterestRateIndexValueDate(IborIndex,Y2938,Trigger)</f>
        <v>59758</v>
      </c>
      <c r="AA2938" s="172" t="e">
        <v>#N/A</v>
      </c>
      <c r="AB2938" s="169" t="e">
        <v>#N/A</v>
      </c>
    </row>
    <row r="2939" spans="20:28" x14ac:dyDescent="0.2">
      <c r="T2939" s="130"/>
      <c r="U2939" s="151"/>
      <c r="X2939" s="170" t="str">
        <f t="shared" si="54"/>
        <v>1w</v>
      </c>
      <c r="Y2939" s="168">
        <f>_xll.qlCalendarAdvance(LiborCalendar,Y2938,X2939,"f",FALSE)</f>
        <v>59763</v>
      </c>
      <c r="Z2939" s="171">
        <f>_xll.qlInterestRateIndexValueDate(IborIndex,Y2939,Trigger)</f>
        <v>59765</v>
      </c>
      <c r="AA2939" s="172" t="e">
        <v>#N/A</v>
      </c>
      <c r="AB2939" s="169" t="e">
        <v>#N/A</v>
      </c>
    </row>
    <row r="2940" spans="20:28" x14ac:dyDescent="0.2">
      <c r="T2940" s="130"/>
      <c r="U2940" s="151"/>
      <c r="X2940" s="170" t="str">
        <f t="shared" si="54"/>
        <v>1w</v>
      </c>
      <c r="Y2940" s="168">
        <f>_xll.qlCalendarAdvance(LiborCalendar,Y2939,X2940,"f",FALSE)</f>
        <v>59770</v>
      </c>
      <c r="Z2940" s="171">
        <f>_xll.qlInterestRateIndexValueDate(IborIndex,Y2940,Trigger)</f>
        <v>59772</v>
      </c>
      <c r="AA2940" s="172" t="e">
        <v>#N/A</v>
      </c>
      <c r="AB2940" s="169" t="e">
        <v>#N/A</v>
      </c>
    </row>
    <row r="2941" spans="20:28" x14ac:dyDescent="0.2">
      <c r="T2941" s="130"/>
      <c r="U2941" s="151"/>
      <c r="X2941" s="170" t="str">
        <f t="shared" si="54"/>
        <v>1w</v>
      </c>
      <c r="Y2941" s="168">
        <f>_xll.qlCalendarAdvance(LiborCalendar,Y2940,X2941,"f",FALSE)</f>
        <v>59777</v>
      </c>
      <c r="Z2941" s="171">
        <f>_xll.qlInterestRateIndexValueDate(IborIndex,Y2941,Trigger)</f>
        <v>59779</v>
      </c>
      <c r="AA2941" s="172" t="e">
        <v>#N/A</v>
      </c>
      <c r="AB2941" s="169" t="e">
        <v>#N/A</v>
      </c>
    </row>
    <row r="2942" spans="20:28" x14ac:dyDescent="0.2">
      <c r="T2942" s="130"/>
      <c r="U2942" s="151"/>
      <c r="X2942" s="170" t="str">
        <f t="shared" si="54"/>
        <v>1w</v>
      </c>
      <c r="Y2942" s="168">
        <f>_xll.qlCalendarAdvance(LiborCalendar,Y2941,X2942,"f",FALSE)</f>
        <v>59784</v>
      </c>
      <c r="Z2942" s="171">
        <f>_xll.qlInterestRateIndexValueDate(IborIndex,Y2942,Trigger)</f>
        <v>59786</v>
      </c>
      <c r="AA2942" s="172" t="e">
        <v>#N/A</v>
      </c>
      <c r="AB2942" s="169" t="e">
        <v>#N/A</v>
      </c>
    </row>
    <row r="2943" spans="20:28" x14ac:dyDescent="0.2">
      <c r="T2943" s="130"/>
      <c r="U2943" s="151"/>
      <c r="X2943" s="170" t="str">
        <f t="shared" si="54"/>
        <v>1w</v>
      </c>
      <c r="Y2943" s="168">
        <f>_xll.qlCalendarAdvance(LiborCalendar,Y2942,X2943,"f",FALSE)</f>
        <v>59791</v>
      </c>
      <c r="Z2943" s="171">
        <f>_xll.qlInterestRateIndexValueDate(IborIndex,Y2943,Trigger)</f>
        <v>59793</v>
      </c>
      <c r="AA2943" s="172" t="e">
        <v>#N/A</v>
      </c>
      <c r="AB2943" s="169" t="e">
        <v>#N/A</v>
      </c>
    </row>
    <row r="2944" spans="20:28" x14ac:dyDescent="0.2">
      <c r="T2944" s="130"/>
      <c r="U2944" s="151"/>
      <c r="X2944" s="170" t="str">
        <f t="shared" si="54"/>
        <v>1w</v>
      </c>
      <c r="Y2944" s="168">
        <f>_xll.qlCalendarAdvance(LiborCalendar,Y2943,X2944,"f",FALSE)</f>
        <v>59798</v>
      </c>
      <c r="Z2944" s="171">
        <f>_xll.qlInterestRateIndexValueDate(IborIndex,Y2944,Trigger)</f>
        <v>59800</v>
      </c>
      <c r="AA2944" s="172" t="e">
        <v>#N/A</v>
      </c>
      <c r="AB2944" s="169" t="e">
        <v>#N/A</v>
      </c>
    </row>
    <row r="2945" spans="20:28" x14ac:dyDescent="0.2">
      <c r="T2945" s="130"/>
      <c r="U2945" s="151"/>
      <c r="X2945" s="170" t="str">
        <f t="shared" si="54"/>
        <v>1w</v>
      </c>
      <c r="Y2945" s="168">
        <f>_xll.qlCalendarAdvance(LiborCalendar,Y2944,X2945,"f",FALSE)</f>
        <v>59805</v>
      </c>
      <c r="Z2945" s="171">
        <f>_xll.qlInterestRateIndexValueDate(IborIndex,Y2945,Trigger)</f>
        <v>59807</v>
      </c>
      <c r="AA2945" s="172" t="e">
        <v>#N/A</v>
      </c>
      <c r="AB2945" s="169" t="e">
        <v>#N/A</v>
      </c>
    </row>
    <row r="2946" spans="20:28" x14ac:dyDescent="0.2">
      <c r="T2946" s="130"/>
      <c r="U2946" s="151"/>
      <c r="X2946" s="170" t="str">
        <f t="shared" si="54"/>
        <v>1w</v>
      </c>
      <c r="Y2946" s="168">
        <f>_xll.qlCalendarAdvance(LiborCalendar,Y2945,X2946,"f",FALSE)</f>
        <v>59812</v>
      </c>
      <c r="Z2946" s="171">
        <f>_xll.qlInterestRateIndexValueDate(IborIndex,Y2946,Trigger)</f>
        <v>59814</v>
      </c>
      <c r="AA2946" s="172" t="e">
        <v>#N/A</v>
      </c>
      <c r="AB2946" s="169" t="e">
        <v>#N/A</v>
      </c>
    </row>
    <row r="2947" spans="20:28" x14ac:dyDescent="0.2">
      <c r="T2947" s="130"/>
      <c r="U2947" s="151"/>
      <c r="X2947" s="170" t="str">
        <f t="shared" si="54"/>
        <v>1w</v>
      </c>
      <c r="Y2947" s="168">
        <f>_xll.qlCalendarAdvance(LiborCalendar,Y2946,X2947,"f",FALSE)</f>
        <v>59819</v>
      </c>
      <c r="Z2947" s="171">
        <f>_xll.qlInterestRateIndexValueDate(IborIndex,Y2947,Trigger)</f>
        <v>59821</v>
      </c>
      <c r="AA2947" s="172" t="e">
        <v>#N/A</v>
      </c>
      <c r="AB2947" s="169" t="e">
        <v>#N/A</v>
      </c>
    </row>
    <row r="2948" spans="20:28" x14ac:dyDescent="0.2">
      <c r="T2948" s="130"/>
      <c r="U2948" s="151"/>
      <c r="X2948" s="170" t="str">
        <f t="shared" si="54"/>
        <v>1w</v>
      </c>
      <c r="Y2948" s="168">
        <f>_xll.qlCalendarAdvance(LiborCalendar,Y2947,X2948,"f",FALSE)</f>
        <v>59826</v>
      </c>
      <c r="Z2948" s="171">
        <f>_xll.qlInterestRateIndexValueDate(IborIndex,Y2948,Trigger)</f>
        <v>59828</v>
      </c>
      <c r="AA2948" s="172" t="e">
        <v>#N/A</v>
      </c>
      <c r="AB2948" s="169" t="e">
        <v>#N/A</v>
      </c>
    </row>
    <row r="2949" spans="20:28" x14ac:dyDescent="0.2">
      <c r="T2949" s="130"/>
      <c r="U2949" s="151"/>
      <c r="X2949" s="170" t="str">
        <f t="shared" si="54"/>
        <v>1w</v>
      </c>
      <c r="Y2949" s="168">
        <f>_xll.qlCalendarAdvance(LiborCalendar,Y2948,X2949,"f",FALSE)</f>
        <v>59833</v>
      </c>
      <c r="Z2949" s="171">
        <f>_xll.qlInterestRateIndexValueDate(IborIndex,Y2949,Trigger)</f>
        <v>59835</v>
      </c>
      <c r="AA2949" s="172" t="e">
        <v>#N/A</v>
      </c>
      <c r="AB2949" s="169" t="e">
        <v>#N/A</v>
      </c>
    </row>
    <row r="2950" spans="20:28" x14ac:dyDescent="0.2">
      <c r="T2950" s="130"/>
      <c r="U2950" s="151"/>
      <c r="X2950" s="170" t="str">
        <f t="shared" si="54"/>
        <v>1w</v>
      </c>
      <c r="Y2950" s="168">
        <f>_xll.qlCalendarAdvance(LiborCalendar,Y2949,X2950,"f",FALSE)</f>
        <v>59840</v>
      </c>
      <c r="Z2950" s="171">
        <f>_xll.qlInterestRateIndexValueDate(IborIndex,Y2950,Trigger)</f>
        <v>59842</v>
      </c>
      <c r="AA2950" s="172" t="e">
        <v>#N/A</v>
      </c>
      <c r="AB2950" s="169" t="e">
        <v>#N/A</v>
      </c>
    </row>
    <row r="2951" spans="20:28" x14ac:dyDescent="0.2">
      <c r="T2951" s="130"/>
      <c r="U2951" s="151"/>
      <c r="X2951" s="170" t="str">
        <f t="shared" si="54"/>
        <v>1w</v>
      </c>
      <c r="Y2951" s="168">
        <f>_xll.qlCalendarAdvance(LiborCalendar,Y2950,X2951,"f",FALSE)</f>
        <v>59847</v>
      </c>
      <c r="Z2951" s="171">
        <f>_xll.qlInterestRateIndexValueDate(IborIndex,Y2951,Trigger)</f>
        <v>59849</v>
      </c>
      <c r="AA2951" s="172" t="e">
        <v>#N/A</v>
      </c>
      <c r="AB2951" s="169" t="e">
        <v>#N/A</v>
      </c>
    </row>
    <row r="2952" spans="20:28" x14ac:dyDescent="0.2">
      <c r="T2952" s="130"/>
      <c r="U2952" s="151"/>
      <c r="X2952" s="170" t="str">
        <f t="shared" si="54"/>
        <v>1w</v>
      </c>
      <c r="Y2952" s="168">
        <f>_xll.qlCalendarAdvance(LiborCalendar,Y2951,X2952,"f",FALSE)</f>
        <v>59854</v>
      </c>
      <c r="Z2952" s="171">
        <f>_xll.qlInterestRateIndexValueDate(IborIndex,Y2952,Trigger)</f>
        <v>59856</v>
      </c>
      <c r="AA2952" s="172" t="e">
        <v>#N/A</v>
      </c>
      <c r="AB2952" s="169" t="e">
        <v>#N/A</v>
      </c>
    </row>
    <row r="2953" spans="20:28" x14ac:dyDescent="0.2">
      <c r="T2953" s="130"/>
      <c r="U2953" s="151"/>
      <c r="X2953" s="170" t="str">
        <f t="shared" si="54"/>
        <v>1w</v>
      </c>
      <c r="Y2953" s="168">
        <f>_xll.qlCalendarAdvance(LiborCalendar,Y2952,X2953,"f",FALSE)</f>
        <v>59861</v>
      </c>
      <c r="Z2953" s="171">
        <f>_xll.qlInterestRateIndexValueDate(IborIndex,Y2953,Trigger)</f>
        <v>59863</v>
      </c>
      <c r="AA2953" s="172" t="e">
        <v>#N/A</v>
      </c>
      <c r="AB2953" s="169" t="e">
        <v>#N/A</v>
      </c>
    </row>
    <row r="2954" spans="20:28" x14ac:dyDescent="0.2">
      <c r="T2954" s="130"/>
      <c r="U2954" s="151"/>
      <c r="X2954" s="170" t="str">
        <f t="shared" si="54"/>
        <v>1w</v>
      </c>
      <c r="Y2954" s="168">
        <f>_xll.qlCalendarAdvance(LiborCalendar,Y2953,X2954,"f",FALSE)</f>
        <v>59868</v>
      </c>
      <c r="Z2954" s="171">
        <f>_xll.qlInterestRateIndexValueDate(IborIndex,Y2954,Trigger)</f>
        <v>59870</v>
      </c>
      <c r="AA2954" s="172" t="e">
        <v>#N/A</v>
      </c>
      <c r="AB2954" s="169" t="e">
        <v>#N/A</v>
      </c>
    </row>
    <row r="2955" spans="20:28" x14ac:dyDescent="0.2">
      <c r="T2955" s="130"/>
      <c r="U2955" s="151"/>
      <c r="X2955" s="170" t="str">
        <f t="shared" si="54"/>
        <v>1w</v>
      </c>
      <c r="Y2955" s="168">
        <f>_xll.qlCalendarAdvance(LiborCalendar,Y2954,X2955,"f",FALSE)</f>
        <v>59875</v>
      </c>
      <c r="Z2955" s="171">
        <f>_xll.qlInterestRateIndexValueDate(IborIndex,Y2955,Trigger)</f>
        <v>59877</v>
      </c>
      <c r="AA2955" s="172" t="e">
        <v>#N/A</v>
      </c>
      <c r="AB2955" s="169" t="e">
        <v>#N/A</v>
      </c>
    </row>
    <row r="2956" spans="20:28" x14ac:dyDescent="0.2">
      <c r="T2956" s="130"/>
      <c r="U2956" s="151"/>
      <c r="X2956" s="170" t="str">
        <f t="shared" si="54"/>
        <v>1w</v>
      </c>
      <c r="Y2956" s="168">
        <f>_xll.qlCalendarAdvance(LiborCalendar,Y2955,X2956,"f",FALSE)</f>
        <v>59882</v>
      </c>
      <c r="Z2956" s="171">
        <f>_xll.qlInterestRateIndexValueDate(IborIndex,Y2956,Trigger)</f>
        <v>59884</v>
      </c>
      <c r="AA2956" s="172" t="e">
        <v>#N/A</v>
      </c>
      <c r="AB2956" s="169" t="e">
        <v>#N/A</v>
      </c>
    </row>
    <row r="2957" spans="20:28" x14ac:dyDescent="0.2">
      <c r="T2957" s="130"/>
      <c r="U2957" s="151"/>
      <c r="X2957" s="170" t="str">
        <f t="shared" si="54"/>
        <v>1w</v>
      </c>
      <c r="Y2957" s="168">
        <f>_xll.qlCalendarAdvance(LiborCalendar,Y2956,X2957,"f",FALSE)</f>
        <v>59889</v>
      </c>
      <c r="Z2957" s="171">
        <f>_xll.qlInterestRateIndexValueDate(IborIndex,Y2957,Trigger)</f>
        <v>59891</v>
      </c>
      <c r="AA2957" s="172" t="e">
        <v>#N/A</v>
      </c>
      <c r="AB2957" s="169" t="e">
        <v>#N/A</v>
      </c>
    </row>
    <row r="2958" spans="20:28" x14ac:dyDescent="0.2">
      <c r="T2958" s="130"/>
      <c r="U2958" s="151"/>
      <c r="X2958" s="170" t="str">
        <f t="shared" si="54"/>
        <v>1w</v>
      </c>
      <c r="Y2958" s="168">
        <f>_xll.qlCalendarAdvance(LiborCalendar,Y2957,X2958,"f",FALSE)</f>
        <v>59897</v>
      </c>
      <c r="Z2958" s="171">
        <f>_xll.qlInterestRateIndexValueDate(IborIndex,Y2958,Trigger)</f>
        <v>59901</v>
      </c>
      <c r="AA2958" s="172" t="e">
        <v>#N/A</v>
      </c>
      <c r="AB2958" s="169" t="e">
        <v>#N/A</v>
      </c>
    </row>
    <row r="2959" spans="20:28" x14ac:dyDescent="0.2">
      <c r="T2959" s="130"/>
      <c r="U2959" s="151"/>
      <c r="X2959" s="170" t="str">
        <f t="shared" si="54"/>
        <v>1w</v>
      </c>
      <c r="Y2959" s="168">
        <f>_xll.qlCalendarAdvance(LiborCalendar,Y2958,X2959,"f",FALSE)</f>
        <v>59904</v>
      </c>
      <c r="Z2959" s="171">
        <f>_xll.qlInterestRateIndexValueDate(IborIndex,Y2959,Trigger)</f>
        <v>59908</v>
      </c>
      <c r="AA2959" s="172" t="e">
        <v>#N/A</v>
      </c>
      <c r="AB2959" s="169" t="e">
        <v>#N/A</v>
      </c>
    </row>
    <row r="2960" spans="20:28" x14ac:dyDescent="0.2">
      <c r="T2960" s="130"/>
      <c r="U2960" s="151"/>
      <c r="X2960" s="170" t="str">
        <f t="shared" si="54"/>
        <v>1w</v>
      </c>
      <c r="Y2960" s="168">
        <f>_xll.qlCalendarAdvance(LiborCalendar,Y2959,X2960,"f",FALSE)</f>
        <v>59911</v>
      </c>
      <c r="Z2960" s="171">
        <f>_xll.qlInterestRateIndexValueDate(IborIndex,Y2960,Trigger)</f>
        <v>59915</v>
      </c>
      <c r="AA2960" s="172" t="e">
        <v>#N/A</v>
      </c>
      <c r="AB2960" s="169" t="e">
        <v>#N/A</v>
      </c>
    </row>
    <row r="2961" spans="20:28" x14ac:dyDescent="0.2">
      <c r="T2961" s="130"/>
      <c r="U2961" s="151"/>
      <c r="X2961" s="170" t="str">
        <f t="shared" si="54"/>
        <v>1w</v>
      </c>
      <c r="Y2961" s="168">
        <f>_xll.qlCalendarAdvance(LiborCalendar,Y2960,X2961,"f",FALSE)</f>
        <v>59918</v>
      </c>
      <c r="Z2961" s="171">
        <f>_xll.qlInterestRateIndexValueDate(IborIndex,Y2961,Trigger)</f>
        <v>59922</v>
      </c>
      <c r="AA2961" s="172" t="e">
        <v>#N/A</v>
      </c>
      <c r="AB2961" s="169" t="e">
        <v>#N/A</v>
      </c>
    </row>
    <row r="2962" spans="20:28" x14ac:dyDescent="0.2">
      <c r="T2962" s="130"/>
      <c r="U2962" s="151"/>
      <c r="X2962" s="170" t="str">
        <f t="shared" si="54"/>
        <v>1w</v>
      </c>
      <c r="Y2962" s="168">
        <f>_xll.qlCalendarAdvance(LiborCalendar,Y2961,X2962,"f",FALSE)</f>
        <v>59925</v>
      </c>
      <c r="Z2962" s="171">
        <f>_xll.qlInterestRateIndexValueDate(IborIndex,Y2962,Trigger)</f>
        <v>59929</v>
      </c>
      <c r="AA2962" s="172" t="e">
        <v>#N/A</v>
      </c>
      <c r="AB2962" s="169" t="e">
        <v>#N/A</v>
      </c>
    </row>
    <row r="2963" spans="20:28" x14ac:dyDescent="0.2">
      <c r="T2963" s="130"/>
      <c r="U2963" s="151"/>
      <c r="X2963" s="170" t="str">
        <f t="shared" si="54"/>
        <v>1w</v>
      </c>
      <c r="Y2963" s="168">
        <f>_xll.qlCalendarAdvance(LiborCalendar,Y2962,X2963,"f",FALSE)</f>
        <v>59932</v>
      </c>
      <c r="Z2963" s="171">
        <f>_xll.qlInterestRateIndexValueDate(IborIndex,Y2963,Trigger)</f>
        <v>59936</v>
      </c>
      <c r="AA2963" s="172" t="e">
        <v>#N/A</v>
      </c>
      <c r="AB2963" s="169" t="e">
        <v>#N/A</v>
      </c>
    </row>
    <row r="2964" spans="20:28" x14ac:dyDescent="0.2">
      <c r="T2964" s="130"/>
      <c r="U2964" s="151"/>
      <c r="X2964" s="170" t="str">
        <f t="shared" si="54"/>
        <v>1w</v>
      </c>
      <c r="Y2964" s="168">
        <f>_xll.qlCalendarAdvance(LiborCalendar,Y2963,X2964,"f",FALSE)</f>
        <v>59939</v>
      </c>
      <c r="Z2964" s="171">
        <f>_xll.qlInterestRateIndexValueDate(IborIndex,Y2964,Trigger)</f>
        <v>59943</v>
      </c>
      <c r="AA2964" s="172" t="e">
        <v>#N/A</v>
      </c>
      <c r="AB2964" s="169" t="e">
        <v>#N/A</v>
      </c>
    </row>
    <row r="2965" spans="20:28" x14ac:dyDescent="0.2">
      <c r="T2965" s="130"/>
      <c r="U2965" s="151"/>
      <c r="X2965" s="170" t="str">
        <f t="shared" ref="X2965:X3028" si="55">X2964</f>
        <v>1w</v>
      </c>
      <c r="Y2965" s="168">
        <f>_xll.qlCalendarAdvance(LiborCalendar,Y2964,X2965,"f",FALSE)</f>
        <v>59946</v>
      </c>
      <c r="Z2965" s="171">
        <f>_xll.qlInterestRateIndexValueDate(IborIndex,Y2965,Trigger)</f>
        <v>59950</v>
      </c>
      <c r="AA2965" s="172" t="e">
        <v>#N/A</v>
      </c>
      <c r="AB2965" s="169" t="e">
        <v>#N/A</v>
      </c>
    </row>
    <row r="2966" spans="20:28" x14ac:dyDescent="0.2">
      <c r="T2966" s="130"/>
      <c r="U2966" s="151"/>
      <c r="X2966" s="170" t="str">
        <f t="shared" si="55"/>
        <v>1w</v>
      </c>
      <c r="Y2966" s="168">
        <f>_xll.qlCalendarAdvance(LiborCalendar,Y2965,X2966,"f",FALSE)</f>
        <v>59953</v>
      </c>
      <c r="Z2966" s="171">
        <f>_xll.qlInterestRateIndexValueDate(IborIndex,Y2966,Trigger)</f>
        <v>59957</v>
      </c>
      <c r="AA2966" s="172" t="e">
        <v>#N/A</v>
      </c>
      <c r="AB2966" s="169" t="e">
        <v>#N/A</v>
      </c>
    </row>
    <row r="2967" spans="20:28" x14ac:dyDescent="0.2">
      <c r="T2967" s="130"/>
      <c r="U2967" s="151"/>
      <c r="X2967" s="170" t="str">
        <f t="shared" si="55"/>
        <v>1w</v>
      </c>
      <c r="Y2967" s="168">
        <f>_xll.qlCalendarAdvance(LiborCalendar,Y2966,X2967,"f",FALSE)</f>
        <v>59960</v>
      </c>
      <c r="Z2967" s="171">
        <f>_xll.qlInterestRateIndexValueDate(IborIndex,Y2967,Trigger)</f>
        <v>59964</v>
      </c>
      <c r="AA2967" s="172" t="e">
        <v>#N/A</v>
      </c>
      <c r="AB2967" s="169" t="e">
        <v>#N/A</v>
      </c>
    </row>
    <row r="2968" spans="20:28" x14ac:dyDescent="0.2">
      <c r="T2968" s="130"/>
      <c r="U2968" s="151"/>
      <c r="X2968" s="170" t="str">
        <f t="shared" si="55"/>
        <v>1w</v>
      </c>
      <c r="Y2968" s="168">
        <f>_xll.qlCalendarAdvance(LiborCalendar,Y2967,X2968,"f",FALSE)</f>
        <v>59967</v>
      </c>
      <c r="Z2968" s="171">
        <f>_xll.qlInterestRateIndexValueDate(IborIndex,Y2968,Trigger)</f>
        <v>59971</v>
      </c>
      <c r="AA2968" s="172" t="e">
        <v>#N/A</v>
      </c>
      <c r="AB2968" s="169" t="e">
        <v>#N/A</v>
      </c>
    </row>
    <row r="2969" spans="20:28" x14ac:dyDescent="0.2">
      <c r="T2969" s="130"/>
      <c r="U2969" s="151"/>
      <c r="X2969" s="170" t="str">
        <f t="shared" si="55"/>
        <v>1w</v>
      </c>
      <c r="Y2969" s="168">
        <f>_xll.qlCalendarAdvance(LiborCalendar,Y2968,X2969,"f",FALSE)</f>
        <v>59974</v>
      </c>
      <c r="Z2969" s="171">
        <f>_xll.qlInterestRateIndexValueDate(IborIndex,Y2969,Trigger)</f>
        <v>59978</v>
      </c>
      <c r="AA2969" s="172" t="e">
        <v>#N/A</v>
      </c>
      <c r="AB2969" s="169" t="e">
        <v>#N/A</v>
      </c>
    </row>
    <row r="2970" spans="20:28" x14ac:dyDescent="0.2">
      <c r="T2970" s="130"/>
      <c r="U2970" s="151"/>
      <c r="X2970" s="170" t="str">
        <f t="shared" si="55"/>
        <v>1w</v>
      </c>
      <c r="Y2970" s="168">
        <f>_xll.qlCalendarAdvance(LiborCalendar,Y2969,X2970,"f",FALSE)</f>
        <v>59981</v>
      </c>
      <c r="Z2970" s="171">
        <f>_xll.qlInterestRateIndexValueDate(IborIndex,Y2970,Trigger)</f>
        <v>59985</v>
      </c>
      <c r="AA2970" s="172" t="e">
        <v>#N/A</v>
      </c>
      <c r="AB2970" s="169" t="e">
        <v>#N/A</v>
      </c>
    </row>
    <row r="2971" spans="20:28" x14ac:dyDescent="0.2">
      <c r="T2971" s="130"/>
      <c r="U2971" s="151"/>
      <c r="X2971" s="170" t="str">
        <f t="shared" si="55"/>
        <v>1w</v>
      </c>
      <c r="Y2971" s="168">
        <f>_xll.qlCalendarAdvance(LiborCalendar,Y2970,X2971,"f",FALSE)</f>
        <v>59988</v>
      </c>
      <c r="Z2971" s="171">
        <f>_xll.qlInterestRateIndexValueDate(IborIndex,Y2971,Trigger)</f>
        <v>59992</v>
      </c>
      <c r="AA2971" s="172" t="e">
        <v>#N/A</v>
      </c>
      <c r="AB2971" s="169" t="e">
        <v>#N/A</v>
      </c>
    </row>
    <row r="2972" spans="20:28" x14ac:dyDescent="0.2">
      <c r="T2972" s="130"/>
      <c r="U2972" s="151"/>
      <c r="X2972" s="170" t="str">
        <f t="shared" si="55"/>
        <v>1w</v>
      </c>
      <c r="Y2972" s="168">
        <f>_xll.qlCalendarAdvance(LiborCalendar,Y2971,X2972,"f",FALSE)</f>
        <v>59995</v>
      </c>
      <c r="Z2972" s="171">
        <f>_xll.qlInterestRateIndexValueDate(IborIndex,Y2972,Trigger)</f>
        <v>60001</v>
      </c>
      <c r="AA2972" s="172" t="e">
        <v>#N/A</v>
      </c>
      <c r="AB2972" s="169" t="e">
        <v>#N/A</v>
      </c>
    </row>
    <row r="2973" spans="20:28" x14ac:dyDescent="0.2">
      <c r="T2973" s="130"/>
      <c r="U2973" s="151"/>
      <c r="X2973" s="170" t="str">
        <f t="shared" si="55"/>
        <v>1w</v>
      </c>
      <c r="Y2973" s="168">
        <f>_xll.qlCalendarAdvance(LiborCalendar,Y2972,X2973,"f",FALSE)</f>
        <v>60002</v>
      </c>
      <c r="Z2973" s="171">
        <f>_xll.qlInterestRateIndexValueDate(IborIndex,Y2973,Trigger)</f>
        <v>60006</v>
      </c>
      <c r="AA2973" s="172" t="e">
        <v>#N/A</v>
      </c>
      <c r="AB2973" s="169" t="e">
        <v>#N/A</v>
      </c>
    </row>
    <row r="2974" spans="20:28" x14ac:dyDescent="0.2">
      <c r="T2974" s="130"/>
      <c r="U2974" s="151"/>
      <c r="X2974" s="170" t="str">
        <f t="shared" si="55"/>
        <v>1w</v>
      </c>
      <c r="Y2974" s="168">
        <f>_xll.qlCalendarAdvance(LiborCalendar,Y2973,X2974,"f",FALSE)</f>
        <v>60009</v>
      </c>
      <c r="Z2974" s="171">
        <f>_xll.qlInterestRateIndexValueDate(IborIndex,Y2974,Trigger)</f>
        <v>60013</v>
      </c>
      <c r="AA2974" s="172" t="e">
        <v>#N/A</v>
      </c>
      <c r="AB2974" s="169" t="e">
        <v>#N/A</v>
      </c>
    </row>
    <row r="2975" spans="20:28" x14ac:dyDescent="0.2">
      <c r="T2975" s="130"/>
      <c r="U2975" s="151"/>
      <c r="X2975" s="170" t="str">
        <f t="shared" si="55"/>
        <v>1w</v>
      </c>
      <c r="Y2975" s="168">
        <f>_xll.qlCalendarAdvance(LiborCalendar,Y2974,X2975,"f",FALSE)</f>
        <v>60016</v>
      </c>
      <c r="Z2975" s="171">
        <f>_xll.qlInterestRateIndexValueDate(IborIndex,Y2975,Trigger)</f>
        <v>60020</v>
      </c>
      <c r="AA2975" s="172" t="e">
        <v>#N/A</v>
      </c>
      <c r="AB2975" s="169" t="e">
        <v>#N/A</v>
      </c>
    </row>
    <row r="2976" spans="20:28" x14ac:dyDescent="0.2">
      <c r="T2976" s="130"/>
      <c r="U2976" s="151"/>
      <c r="X2976" s="170" t="str">
        <f t="shared" si="55"/>
        <v>1w</v>
      </c>
      <c r="Y2976" s="168">
        <f>_xll.qlCalendarAdvance(LiborCalendar,Y2975,X2976,"f",FALSE)</f>
        <v>60023</v>
      </c>
      <c r="Z2976" s="171">
        <f>_xll.qlInterestRateIndexValueDate(IborIndex,Y2976,Trigger)</f>
        <v>60028</v>
      </c>
      <c r="AA2976" s="172" t="e">
        <v>#N/A</v>
      </c>
      <c r="AB2976" s="169" t="e">
        <v>#N/A</v>
      </c>
    </row>
    <row r="2977" spans="20:28" x14ac:dyDescent="0.2">
      <c r="T2977" s="130"/>
      <c r="U2977" s="151"/>
      <c r="X2977" s="170" t="str">
        <f t="shared" si="55"/>
        <v>1w</v>
      </c>
      <c r="Y2977" s="168">
        <f>_xll.qlCalendarAdvance(LiborCalendar,Y2976,X2977,"f",FALSE)</f>
        <v>60030</v>
      </c>
      <c r="Z2977" s="171">
        <f>_xll.qlInterestRateIndexValueDate(IborIndex,Y2977,Trigger)</f>
        <v>60034</v>
      </c>
      <c r="AA2977" s="172" t="e">
        <v>#N/A</v>
      </c>
      <c r="AB2977" s="169" t="e">
        <v>#N/A</v>
      </c>
    </row>
    <row r="2978" spans="20:28" x14ac:dyDescent="0.2">
      <c r="T2978" s="130"/>
      <c r="U2978" s="151"/>
      <c r="X2978" s="170" t="str">
        <f t="shared" si="55"/>
        <v>1w</v>
      </c>
      <c r="Y2978" s="168">
        <f>_xll.qlCalendarAdvance(LiborCalendar,Y2977,X2978,"f",FALSE)</f>
        <v>60037</v>
      </c>
      <c r="Z2978" s="171">
        <f>_xll.qlInterestRateIndexValueDate(IborIndex,Y2978,Trigger)</f>
        <v>60041</v>
      </c>
      <c r="AA2978" s="172" t="e">
        <v>#N/A</v>
      </c>
      <c r="AB2978" s="169" t="e">
        <v>#N/A</v>
      </c>
    </row>
    <row r="2979" spans="20:28" x14ac:dyDescent="0.2">
      <c r="T2979" s="130"/>
      <c r="U2979" s="151"/>
      <c r="X2979" s="170" t="str">
        <f t="shared" si="55"/>
        <v>1w</v>
      </c>
      <c r="Y2979" s="168">
        <f>_xll.qlCalendarAdvance(LiborCalendar,Y2978,X2979,"f",FALSE)</f>
        <v>60044</v>
      </c>
      <c r="Z2979" s="171">
        <f>_xll.qlInterestRateIndexValueDate(IborIndex,Y2979,Trigger)</f>
        <v>60049</v>
      </c>
      <c r="AA2979" s="172" t="e">
        <v>#N/A</v>
      </c>
      <c r="AB2979" s="169" t="e">
        <v>#N/A</v>
      </c>
    </row>
    <row r="2980" spans="20:28" x14ac:dyDescent="0.2">
      <c r="T2980" s="130"/>
      <c r="U2980" s="151"/>
      <c r="X2980" s="170" t="str">
        <f t="shared" si="55"/>
        <v>1w</v>
      </c>
      <c r="Y2980" s="168">
        <f>_xll.qlCalendarAdvance(LiborCalendar,Y2979,X2980,"f",FALSE)</f>
        <v>60051</v>
      </c>
      <c r="Z2980" s="171">
        <f>_xll.qlInterestRateIndexValueDate(IborIndex,Y2980,Trigger)</f>
        <v>60055</v>
      </c>
      <c r="AA2980" s="172" t="e">
        <v>#N/A</v>
      </c>
      <c r="AB2980" s="169" t="e">
        <v>#N/A</v>
      </c>
    </row>
    <row r="2981" spans="20:28" x14ac:dyDescent="0.2">
      <c r="T2981" s="130"/>
      <c r="U2981" s="151"/>
      <c r="X2981" s="170" t="str">
        <f t="shared" si="55"/>
        <v>1w</v>
      </c>
      <c r="Y2981" s="168">
        <f>_xll.qlCalendarAdvance(LiborCalendar,Y2980,X2981,"f",FALSE)</f>
        <v>60058</v>
      </c>
      <c r="Z2981" s="171">
        <f>_xll.qlInterestRateIndexValueDate(IborIndex,Y2981,Trigger)</f>
        <v>60062</v>
      </c>
      <c r="AA2981" s="172" t="e">
        <v>#N/A</v>
      </c>
      <c r="AB2981" s="169" t="e">
        <v>#N/A</v>
      </c>
    </row>
    <row r="2982" spans="20:28" x14ac:dyDescent="0.2">
      <c r="T2982" s="130"/>
      <c r="U2982" s="151"/>
      <c r="X2982" s="170" t="str">
        <f t="shared" si="55"/>
        <v>1w</v>
      </c>
      <c r="Y2982" s="168">
        <f>_xll.qlCalendarAdvance(LiborCalendar,Y2981,X2982,"f",FALSE)</f>
        <v>60065</v>
      </c>
      <c r="Z2982" s="171">
        <f>_xll.qlInterestRateIndexValueDate(IborIndex,Y2982,Trigger)</f>
        <v>60069</v>
      </c>
      <c r="AA2982" s="172" t="e">
        <v>#N/A</v>
      </c>
      <c r="AB2982" s="169" t="e">
        <v>#N/A</v>
      </c>
    </row>
    <row r="2983" spans="20:28" x14ac:dyDescent="0.2">
      <c r="T2983" s="130"/>
      <c r="U2983" s="151"/>
      <c r="X2983" s="170" t="str">
        <f t="shared" si="55"/>
        <v>1w</v>
      </c>
      <c r="Y2983" s="168">
        <f>_xll.qlCalendarAdvance(LiborCalendar,Y2982,X2983,"f",FALSE)</f>
        <v>60072</v>
      </c>
      <c r="Z2983" s="171">
        <f>_xll.qlInterestRateIndexValueDate(IborIndex,Y2983,Trigger)</f>
        <v>60076</v>
      </c>
      <c r="AA2983" s="172" t="e">
        <v>#N/A</v>
      </c>
      <c r="AB2983" s="169" t="e">
        <v>#N/A</v>
      </c>
    </row>
    <row r="2984" spans="20:28" x14ac:dyDescent="0.2">
      <c r="T2984" s="130"/>
      <c r="U2984" s="151"/>
      <c r="X2984" s="170" t="str">
        <f t="shared" si="55"/>
        <v>1w</v>
      </c>
      <c r="Y2984" s="168">
        <f>_xll.qlCalendarAdvance(LiborCalendar,Y2983,X2984,"f",FALSE)</f>
        <v>60079</v>
      </c>
      <c r="Z2984" s="171">
        <f>_xll.qlInterestRateIndexValueDate(IborIndex,Y2984,Trigger)</f>
        <v>60083</v>
      </c>
      <c r="AA2984" s="172" t="e">
        <v>#N/A</v>
      </c>
      <c r="AB2984" s="169" t="e">
        <v>#N/A</v>
      </c>
    </row>
    <row r="2985" spans="20:28" x14ac:dyDescent="0.2">
      <c r="T2985" s="130"/>
      <c r="U2985" s="151"/>
      <c r="X2985" s="170" t="str">
        <f t="shared" si="55"/>
        <v>1w</v>
      </c>
      <c r="Y2985" s="168">
        <f>_xll.qlCalendarAdvance(LiborCalendar,Y2984,X2985,"f",FALSE)</f>
        <v>60086</v>
      </c>
      <c r="Z2985" s="171">
        <f>_xll.qlInterestRateIndexValueDate(IborIndex,Y2985,Trigger)</f>
        <v>60090</v>
      </c>
      <c r="AA2985" s="172" t="e">
        <v>#N/A</v>
      </c>
      <c r="AB2985" s="169" t="e">
        <v>#N/A</v>
      </c>
    </row>
    <row r="2986" spans="20:28" x14ac:dyDescent="0.2">
      <c r="T2986" s="130"/>
      <c r="U2986" s="151"/>
      <c r="X2986" s="170" t="str">
        <f t="shared" si="55"/>
        <v>1w</v>
      </c>
      <c r="Y2986" s="168">
        <f>_xll.qlCalendarAdvance(LiborCalendar,Y2985,X2986,"f",FALSE)</f>
        <v>60093</v>
      </c>
      <c r="Z2986" s="171">
        <f>_xll.qlInterestRateIndexValueDate(IborIndex,Y2986,Trigger)</f>
        <v>60097</v>
      </c>
      <c r="AA2986" s="172" t="e">
        <v>#N/A</v>
      </c>
      <c r="AB2986" s="169" t="e">
        <v>#N/A</v>
      </c>
    </row>
    <row r="2987" spans="20:28" x14ac:dyDescent="0.2">
      <c r="T2987" s="130"/>
      <c r="U2987" s="151"/>
      <c r="X2987" s="170" t="str">
        <f t="shared" si="55"/>
        <v>1w</v>
      </c>
      <c r="Y2987" s="168">
        <f>_xll.qlCalendarAdvance(LiborCalendar,Y2986,X2987,"f",FALSE)</f>
        <v>60100</v>
      </c>
      <c r="Z2987" s="171">
        <f>_xll.qlInterestRateIndexValueDate(IborIndex,Y2987,Trigger)</f>
        <v>60104</v>
      </c>
      <c r="AA2987" s="172" t="e">
        <v>#N/A</v>
      </c>
      <c r="AB2987" s="169" t="e">
        <v>#N/A</v>
      </c>
    </row>
    <row r="2988" spans="20:28" x14ac:dyDescent="0.2">
      <c r="T2988" s="130"/>
      <c r="U2988" s="151"/>
      <c r="X2988" s="170" t="str">
        <f t="shared" si="55"/>
        <v>1w</v>
      </c>
      <c r="Y2988" s="168">
        <f>_xll.qlCalendarAdvance(LiborCalendar,Y2987,X2988,"f",FALSE)</f>
        <v>60107</v>
      </c>
      <c r="Z2988" s="171">
        <f>_xll.qlInterestRateIndexValueDate(IborIndex,Y2988,Trigger)</f>
        <v>60111</v>
      </c>
      <c r="AA2988" s="172" t="e">
        <v>#N/A</v>
      </c>
      <c r="AB2988" s="169" t="e">
        <v>#N/A</v>
      </c>
    </row>
    <row r="2989" spans="20:28" x14ac:dyDescent="0.2">
      <c r="T2989" s="130"/>
      <c r="U2989" s="151"/>
      <c r="X2989" s="170" t="str">
        <f t="shared" si="55"/>
        <v>1w</v>
      </c>
      <c r="Y2989" s="168">
        <f>_xll.qlCalendarAdvance(LiborCalendar,Y2988,X2989,"f",FALSE)</f>
        <v>60114</v>
      </c>
      <c r="Z2989" s="171">
        <f>_xll.qlInterestRateIndexValueDate(IborIndex,Y2989,Trigger)</f>
        <v>60118</v>
      </c>
      <c r="AA2989" s="172" t="e">
        <v>#N/A</v>
      </c>
      <c r="AB2989" s="169" t="e">
        <v>#N/A</v>
      </c>
    </row>
    <row r="2990" spans="20:28" x14ac:dyDescent="0.2">
      <c r="T2990" s="130"/>
      <c r="U2990" s="151"/>
      <c r="X2990" s="170" t="str">
        <f t="shared" si="55"/>
        <v>1w</v>
      </c>
      <c r="Y2990" s="168">
        <f>_xll.qlCalendarAdvance(LiborCalendar,Y2989,X2990,"f",FALSE)</f>
        <v>60121</v>
      </c>
      <c r="Z2990" s="171">
        <f>_xll.qlInterestRateIndexValueDate(IborIndex,Y2990,Trigger)</f>
        <v>60125</v>
      </c>
      <c r="AA2990" s="172" t="e">
        <v>#N/A</v>
      </c>
      <c r="AB2990" s="169" t="e">
        <v>#N/A</v>
      </c>
    </row>
    <row r="2991" spans="20:28" x14ac:dyDescent="0.2">
      <c r="T2991" s="130"/>
      <c r="U2991" s="151"/>
      <c r="X2991" s="170" t="str">
        <f t="shared" si="55"/>
        <v>1w</v>
      </c>
      <c r="Y2991" s="168">
        <f>_xll.qlCalendarAdvance(LiborCalendar,Y2990,X2991,"f",FALSE)</f>
        <v>60128</v>
      </c>
      <c r="Z2991" s="171">
        <f>_xll.qlInterestRateIndexValueDate(IborIndex,Y2991,Trigger)</f>
        <v>60132</v>
      </c>
      <c r="AA2991" s="172" t="e">
        <v>#N/A</v>
      </c>
      <c r="AB2991" s="169" t="e">
        <v>#N/A</v>
      </c>
    </row>
    <row r="2992" spans="20:28" x14ac:dyDescent="0.2">
      <c r="T2992" s="130"/>
      <c r="U2992" s="151"/>
      <c r="X2992" s="170" t="str">
        <f t="shared" si="55"/>
        <v>1w</v>
      </c>
      <c r="Y2992" s="168">
        <f>_xll.qlCalendarAdvance(LiborCalendar,Y2991,X2992,"f",FALSE)</f>
        <v>60135</v>
      </c>
      <c r="Z2992" s="171">
        <f>_xll.qlInterestRateIndexValueDate(IborIndex,Y2992,Trigger)</f>
        <v>60140</v>
      </c>
      <c r="AA2992" s="172" t="e">
        <v>#N/A</v>
      </c>
      <c r="AB2992" s="169" t="e">
        <v>#N/A</v>
      </c>
    </row>
    <row r="2993" spans="20:28" x14ac:dyDescent="0.2">
      <c r="T2993" s="130"/>
      <c r="U2993" s="151"/>
      <c r="X2993" s="170" t="str">
        <f t="shared" si="55"/>
        <v>1w</v>
      </c>
      <c r="Y2993" s="168">
        <f>_xll.qlCalendarAdvance(LiborCalendar,Y2992,X2993,"f",FALSE)</f>
        <v>60142</v>
      </c>
      <c r="Z2993" s="171">
        <f>_xll.qlInterestRateIndexValueDate(IborIndex,Y2993,Trigger)</f>
        <v>60146</v>
      </c>
      <c r="AA2993" s="172" t="e">
        <v>#N/A</v>
      </c>
      <c r="AB2993" s="169" t="e">
        <v>#N/A</v>
      </c>
    </row>
    <row r="2994" spans="20:28" x14ac:dyDescent="0.2">
      <c r="T2994" s="130"/>
      <c r="U2994" s="151"/>
      <c r="X2994" s="170" t="str">
        <f t="shared" si="55"/>
        <v>1w</v>
      </c>
      <c r="Y2994" s="168">
        <f>_xll.qlCalendarAdvance(LiborCalendar,Y2993,X2994,"f",FALSE)</f>
        <v>60149</v>
      </c>
      <c r="Z2994" s="171">
        <f>_xll.qlInterestRateIndexValueDate(IborIndex,Y2994,Trigger)</f>
        <v>60153</v>
      </c>
      <c r="AA2994" s="172" t="e">
        <v>#N/A</v>
      </c>
      <c r="AB2994" s="169" t="e">
        <v>#N/A</v>
      </c>
    </row>
    <row r="2995" spans="20:28" x14ac:dyDescent="0.2">
      <c r="T2995" s="130"/>
      <c r="U2995" s="151"/>
      <c r="X2995" s="170" t="str">
        <f t="shared" si="55"/>
        <v>1w</v>
      </c>
      <c r="Y2995" s="168">
        <f>_xll.qlCalendarAdvance(LiborCalendar,Y2994,X2995,"f",FALSE)</f>
        <v>60156</v>
      </c>
      <c r="Z2995" s="171">
        <f>_xll.qlInterestRateIndexValueDate(IborIndex,Y2995,Trigger)</f>
        <v>60160</v>
      </c>
      <c r="AA2995" s="172" t="e">
        <v>#N/A</v>
      </c>
      <c r="AB2995" s="169" t="e">
        <v>#N/A</v>
      </c>
    </row>
    <row r="2996" spans="20:28" x14ac:dyDescent="0.2">
      <c r="T2996" s="130"/>
      <c r="U2996" s="151"/>
      <c r="X2996" s="170" t="str">
        <f t="shared" si="55"/>
        <v>1w</v>
      </c>
      <c r="Y2996" s="168">
        <f>_xll.qlCalendarAdvance(LiborCalendar,Y2995,X2996,"f",FALSE)</f>
        <v>60163</v>
      </c>
      <c r="Z2996" s="171">
        <f>_xll.qlInterestRateIndexValueDate(IborIndex,Y2996,Trigger)</f>
        <v>60167</v>
      </c>
      <c r="AA2996" s="172" t="e">
        <v>#N/A</v>
      </c>
      <c r="AB2996" s="169" t="e">
        <v>#N/A</v>
      </c>
    </row>
    <row r="2997" spans="20:28" x14ac:dyDescent="0.2">
      <c r="T2997" s="130"/>
      <c r="U2997" s="151"/>
      <c r="X2997" s="170" t="str">
        <f t="shared" si="55"/>
        <v>1w</v>
      </c>
      <c r="Y2997" s="168">
        <f>_xll.qlCalendarAdvance(LiborCalendar,Y2996,X2997,"f",FALSE)</f>
        <v>60170</v>
      </c>
      <c r="Z2997" s="171">
        <f>_xll.qlInterestRateIndexValueDate(IborIndex,Y2997,Trigger)</f>
        <v>60174</v>
      </c>
      <c r="AA2997" s="172" t="e">
        <v>#N/A</v>
      </c>
      <c r="AB2997" s="169" t="e">
        <v>#N/A</v>
      </c>
    </row>
    <row r="2998" spans="20:28" x14ac:dyDescent="0.2">
      <c r="T2998" s="130"/>
      <c r="U2998" s="151"/>
      <c r="X2998" s="170" t="str">
        <f t="shared" si="55"/>
        <v>1w</v>
      </c>
      <c r="Y2998" s="168">
        <f>_xll.qlCalendarAdvance(LiborCalendar,Y2997,X2998,"f",FALSE)</f>
        <v>60177</v>
      </c>
      <c r="Z2998" s="171">
        <f>_xll.qlInterestRateIndexValueDate(IborIndex,Y2998,Trigger)</f>
        <v>60181</v>
      </c>
      <c r="AA2998" s="172" t="e">
        <v>#N/A</v>
      </c>
      <c r="AB2998" s="169" t="e">
        <v>#N/A</v>
      </c>
    </row>
    <row r="2999" spans="20:28" x14ac:dyDescent="0.2">
      <c r="T2999" s="130"/>
      <c r="U2999" s="151"/>
      <c r="X2999" s="170" t="str">
        <f t="shared" si="55"/>
        <v>1w</v>
      </c>
      <c r="Y2999" s="168">
        <f>_xll.qlCalendarAdvance(LiborCalendar,Y2998,X2999,"f",FALSE)</f>
        <v>60184</v>
      </c>
      <c r="Z2999" s="171">
        <f>_xll.qlInterestRateIndexValueDate(IborIndex,Y2999,Trigger)</f>
        <v>60188</v>
      </c>
      <c r="AA2999" s="172" t="e">
        <v>#N/A</v>
      </c>
      <c r="AB2999" s="169" t="e">
        <v>#N/A</v>
      </c>
    </row>
    <row r="3000" spans="20:28" x14ac:dyDescent="0.2">
      <c r="T3000" s="130"/>
      <c r="U3000" s="151"/>
      <c r="X3000" s="170" t="str">
        <f t="shared" si="55"/>
        <v>1w</v>
      </c>
      <c r="Y3000" s="168">
        <f>_xll.qlCalendarAdvance(LiborCalendar,Y2999,X3000,"f",FALSE)</f>
        <v>60191</v>
      </c>
      <c r="Z3000" s="171">
        <f>_xll.qlInterestRateIndexValueDate(IborIndex,Y3000,Trigger)</f>
        <v>60195</v>
      </c>
      <c r="AA3000" s="172" t="e">
        <v>#N/A</v>
      </c>
      <c r="AB3000" s="169" t="e">
        <v>#N/A</v>
      </c>
    </row>
    <row r="3001" spans="20:28" x14ac:dyDescent="0.2">
      <c r="T3001" s="130"/>
      <c r="U3001" s="151"/>
      <c r="X3001" s="170" t="str">
        <f t="shared" si="55"/>
        <v>1w</v>
      </c>
      <c r="Y3001" s="168">
        <f>_xll.qlCalendarAdvance(LiborCalendar,Y3000,X3001,"f",FALSE)</f>
        <v>60198</v>
      </c>
      <c r="Z3001" s="171">
        <f>_xll.qlInterestRateIndexValueDate(IborIndex,Y3001,Trigger)</f>
        <v>60202</v>
      </c>
      <c r="AA3001" s="172" t="e">
        <v>#N/A</v>
      </c>
      <c r="AB3001" s="169" t="e">
        <v>#N/A</v>
      </c>
    </row>
    <row r="3002" spans="20:28" x14ac:dyDescent="0.2">
      <c r="T3002" s="130"/>
      <c r="U3002" s="151"/>
      <c r="X3002" s="170" t="str">
        <f t="shared" si="55"/>
        <v>1w</v>
      </c>
      <c r="Y3002" s="168">
        <f>_xll.qlCalendarAdvance(LiborCalendar,Y3001,X3002,"f",FALSE)</f>
        <v>60205</v>
      </c>
      <c r="Z3002" s="171">
        <f>_xll.qlInterestRateIndexValueDate(IborIndex,Y3002,Trigger)</f>
        <v>60209</v>
      </c>
      <c r="AA3002" s="172" t="e">
        <v>#N/A</v>
      </c>
      <c r="AB3002" s="169" t="e">
        <v>#N/A</v>
      </c>
    </row>
    <row r="3003" spans="20:28" x14ac:dyDescent="0.2">
      <c r="T3003" s="130"/>
      <c r="U3003" s="151"/>
      <c r="X3003" s="170" t="str">
        <f t="shared" si="55"/>
        <v>1w</v>
      </c>
      <c r="Y3003" s="168">
        <f>_xll.qlCalendarAdvance(LiborCalendar,Y3002,X3003,"f",FALSE)</f>
        <v>60212</v>
      </c>
      <c r="Z3003" s="171">
        <f>_xll.qlInterestRateIndexValueDate(IborIndex,Y3003,Trigger)</f>
        <v>60216</v>
      </c>
      <c r="AA3003" s="172" t="e">
        <v>#N/A</v>
      </c>
      <c r="AB3003" s="169" t="e">
        <v>#N/A</v>
      </c>
    </row>
    <row r="3004" spans="20:28" x14ac:dyDescent="0.2">
      <c r="T3004" s="130"/>
      <c r="U3004" s="151"/>
      <c r="X3004" s="170" t="str">
        <f t="shared" si="55"/>
        <v>1w</v>
      </c>
      <c r="Y3004" s="168">
        <f>_xll.qlCalendarAdvance(LiborCalendar,Y3003,X3004,"f",FALSE)</f>
        <v>60219</v>
      </c>
      <c r="Z3004" s="171">
        <f>_xll.qlInterestRateIndexValueDate(IborIndex,Y3004,Trigger)</f>
        <v>60223</v>
      </c>
      <c r="AA3004" s="172" t="e">
        <v>#N/A</v>
      </c>
      <c r="AB3004" s="169" t="e">
        <v>#N/A</v>
      </c>
    </row>
    <row r="3005" spans="20:28" x14ac:dyDescent="0.2">
      <c r="T3005" s="130"/>
      <c r="U3005" s="151"/>
      <c r="X3005" s="170" t="str">
        <f t="shared" si="55"/>
        <v>1w</v>
      </c>
      <c r="Y3005" s="168">
        <f>_xll.qlCalendarAdvance(LiborCalendar,Y3004,X3005,"f",FALSE)</f>
        <v>60226</v>
      </c>
      <c r="Z3005" s="171">
        <f>_xll.qlInterestRateIndexValueDate(IborIndex,Y3005,Trigger)</f>
        <v>60230</v>
      </c>
      <c r="AA3005" s="172" t="e">
        <v>#N/A</v>
      </c>
      <c r="AB3005" s="169" t="e">
        <v>#N/A</v>
      </c>
    </row>
    <row r="3006" spans="20:28" x14ac:dyDescent="0.2">
      <c r="T3006" s="130"/>
      <c r="U3006" s="151"/>
      <c r="X3006" s="170" t="str">
        <f t="shared" si="55"/>
        <v>1w</v>
      </c>
      <c r="Y3006" s="168">
        <f>_xll.qlCalendarAdvance(LiborCalendar,Y3005,X3006,"f",FALSE)</f>
        <v>60233</v>
      </c>
      <c r="Z3006" s="171">
        <f>_xll.qlInterestRateIndexValueDate(IborIndex,Y3006,Trigger)</f>
        <v>60237</v>
      </c>
      <c r="AA3006" s="172" t="e">
        <v>#N/A</v>
      </c>
      <c r="AB3006" s="169" t="e">
        <v>#N/A</v>
      </c>
    </row>
    <row r="3007" spans="20:28" x14ac:dyDescent="0.2">
      <c r="T3007" s="130"/>
      <c r="U3007" s="151"/>
      <c r="X3007" s="170" t="str">
        <f t="shared" si="55"/>
        <v>1w</v>
      </c>
      <c r="Y3007" s="168">
        <f>_xll.qlCalendarAdvance(LiborCalendar,Y3006,X3007,"f",FALSE)</f>
        <v>60240</v>
      </c>
      <c r="Z3007" s="171">
        <f>_xll.qlInterestRateIndexValueDate(IborIndex,Y3007,Trigger)</f>
        <v>60244</v>
      </c>
      <c r="AA3007" s="172" t="e">
        <v>#N/A</v>
      </c>
      <c r="AB3007" s="169" t="e">
        <v>#N/A</v>
      </c>
    </row>
    <row r="3008" spans="20:28" x14ac:dyDescent="0.2">
      <c r="T3008" s="130"/>
      <c r="U3008" s="151"/>
      <c r="X3008" s="170" t="str">
        <f t="shared" si="55"/>
        <v>1w</v>
      </c>
      <c r="Y3008" s="168">
        <f>_xll.qlCalendarAdvance(LiborCalendar,Y3007,X3008,"f",FALSE)</f>
        <v>60247</v>
      </c>
      <c r="Z3008" s="171">
        <f>_xll.qlInterestRateIndexValueDate(IborIndex,Y3008,Trigger)</f>
        <v>60251</v>
      </c>
      <c r="AA3008" s="172" t="e">
        <v>#N/A</v>
      </c>
      <c r="AB3008" s="169" t="e">
        <v>#N/A</v>
      </c>
    </row>
    <row r="3009" spans="20:28" x14ac:dyDescent="0.2">
      <c r="T3009" s="130"/>
      <c r="U3009" s="151"/>
      <c r="X3009" s="170" t="str">
        <f t="shared" si="55"/>
        <v>1w</v>
      </c>
      <c r="Y3009" s="168">
        <f>_xll.qlCalendarAdvance(LiborCalendar,Y3008,X3009,"f",FALSE)</f>
        <v>60254</v>
      </c>
      <c r="Z3009" s="171">
        <f>_xll.qlInterestRateIndexValueDate(IborIndex,Y3009,Trigger)</f>
        <v>60258</v>
      </c>
      <c r="AA3009" s="172" t="e">
        <v>#N/A</v>
      </c>
      <c r="AB3009" s="169" t="e">
        <v>#N/A</v>
      </c>
    </row>
    <row r="3010" spans="20:28" x14ac:dyDescent="0.2">
      <c r="T3010" s="130"/>
      <c r="U3010" s="151"/>
      <c r="X3010" s="170" t="str">
        <f t="shared" si="55"/>
        <v>1w</v>
      </c>
      <c r="Y3010" s="168">
        <f>_xll.qlCalendarAdvance(LiborCalendar,Y3009,X3010,"f",FALSE)</f>
        <v>60265</v>
      </c>
      <c r="Z3010" s="171">
        <f>_xll.qlInterestRateIndexValueDate(IborIndex,Y3010,Trigger)</f>
        <v>60267</v>
      </c>
      <c r="AA3010" s="172" t="e">
        <v>#N/A</v>
      </c>
      <c r="AB3010" s="169" t="e">
        <v>#N/A</v>
      </c>
    </row>
    <row r="3011" spans="20:28" x14ac:dyDescent="0.2">
      <c r="T3011" s="130"/>
      <c r="U3011" s="151"/>
      <c r="X3011" s="170" t="str">
        <f t="shared" si="55"/>
        <v>1w</v>
      </c>
      <c r="Y3011" s="168">
        <f>_xll.qlCalendarAdvance(LiborCalendar,Y3010,X3011,"f",FALSE)</f>
        <v>60272</v>
      </c>
      <c r="Z3011" s="171">
        <f>_xll.qlInterestRateIndexValueDate(IborIndex,Y3011,Trigger)</f>
        <v>60274</v>
      </c>
      <c r="AA3011" s="172" t="e">
        <v>#N/A</v>
      </c>
      <c r="AB3011" s="169" t="e">
        <v>#N/A</v>
      </c>
    </row>
    <row r="3012" spans="20:28" x14ac:dyDescent="0.2">
      <c r="T3012" s="130"/>
      <c r="U3012" s="151"/>
      <c r="X3012" s="170" t="str">
        <f t="shared" si="55"/>
        <v>1w</v>
      </c>
      <c r="Y3012" s="168">
        <f>_xll.qlCalendarAdvance(LiborCalendar,Y3011,X3012,"f",FALSE)</f>
        <v>60279</v>
      </c>
      <c r="Z3012" s="171">
        <f>_xll.qlInterestRateIndexValueDate(IborIndex,Y3012,Trigger)</f>
        <v>60281</v>
      </c>
      <c r="AA3012" s="172" t="e">
        <v>#N/A</v>
      </c>
      <c r="AB3012" s="169" t="e">
        <v>#N/A</v>
      </c>
    </row>
    <row r="3013" spans="20:28" x14ac:dyDescent="0.2">
      <c r="T3013" s="130"/>
      <c r="U3013" s="151"/>
      <c r="X3013" s="170" t="str">
        <f t="shared" si="55"/>
        <v>1w</v>
      </c>
      <c r="Y3013" s="168">
        <f>_xll.qlCalendarAdvance(LiborCalendar,Y3012,X3013,"f",FALSE)</f>
        <v>60286</v>
      </c>
      <c r="Z3013" s="171">
        <f>_xll.qlInterestRateIndexValueDate(IborIndex,Y3013,Trigger)</f>
        <v>60288</v>
      </c>
      <c r="AA3013" s="172" t="e">
        <v>#N/A</v>
      </c>
      <c r="AB3013" s="169" t="e">
        <v>#N/A</v>
      </c>
    </row>
    <row r="3014" spans="20:28" x14ac:dyDescent="0.2">
      <c r="T3014" s="130"/>
      <c r="U3014" s="151"/>
      <c r="X3014" s="170" t="str">
        <f t="shared" si="55"/>
        <v>1w</v>
      </c>
      <c r="Y3014" s="168">
        <f>_xll.qlCalendarAdvance(LiborCalendar,Y3013,X3014,"f",FALSE)</f>
        <v>60293</v>
      </c>
      <c r="Z3014" s="171">
        <f>_xll.qlInterestRateIndexValueDate(IborIndex,Y3014,Trigger)</f>
        <v>60295</v>
      </c>
      <c r="AA3014" s="172" t="e">
        <v>#N/A</v>
      </c>
      <c r="AB3014" s="169" t="e">
        <v>#N/A</v>
      </c>
    </row>
    <row r="3015" spans="20:28" x14ac:dyDescent="0.2">
      <c r="T3015" s="130"/>
      <c r="U3015" s="151"/>
      <c r="X3015" s="170" t="str">
        <f t="shared" si="55"/>
        <v>1w</v>
      </c>
      <c r="Y3015" s="168">
        <f>_xll.qlCalendarAdvance(LiborCalendar,Y3014,X3015,"f",FALSE)</f>
        <v>60300</v>
      </c>
      <c r="Z3015" s="171">
        <f>_xll.qlInterestRateIndexValueDate(IborIndex,Y3015,Trigger)</f>
        <v>60302</v>
      </c>
      <c r="AA3015" s="172" t="e">
        <v>#N/A</v>
      </c>
      <c r="AB3015" s="169" t="e">
        <v>#N/A</v>
      </c>
    </row>
    <row r="3016" spans="20:28" x14ac:dyDescent="0.2">
      <c r="T3016" s="130"/>
      <c r="U3016" s="151"/>
      <c r="X3016" s="170" t="str">
        <f t="shared" si="55"/>
        <v>1w</v>
      </c>
      <c r="Y3016" s="168">
        <f>_xll.qlCalendarAdvance(LiborCalendar,Y3015,X3016,"f",FALSE)</f>
        <v>60307</v>
      </c>
      <c r="Z3016" s="171">
        <f>_xll.qlInterestRateIndexValueDate(IborIndex,Y3016,Trigger)</f>
        <v>60309</v>
      </c>
      <c r="AA3016" s="172" t="e">
        <v>#N/A</v>
      </c>
      <c r="AB3016" s="169" t="e">
        <v>#N/A</v>
      </c>
    </row>
    <row r="3017" spans="20:28" x14ac:dyDescent="0.2">
      <c r="T3017" s="130"/>
      <c r="U3017" s="151"/>
      <c r="X3017" s="170" t="str">
        <f t="shared" si="55"/>
        <v>1w</v>
      </c>
      <c r="Y3017" s="168">
        <f>_xll.qlCalendarAdvance(LiborCalendar,Y3016,X3017,"f",FALSE)</f>
        <v>60314</v>
      </c>
      <c r="Z3017" s="171">
        <f>_xll.qlInterestRateIndexValueDate(IborIndex,Y3017,Trigger)</f>
        <v>60316</v>
      </c>
      <c r="AA3017" s="172" t="e">
        <v>#N/A</v>
      </c>
      <c r="AB3017" s="169" t="e">
        <v>#N/A</v>
      </c>
    </row>
    <row r="3018" spans="20:28" x14ac:dyDescent="0.2">
      <c r="T3018" s="130"/>
      <c r="U3018" s="151"/>
      <c r="X3018" s="170" t="str">
        <f t="shared" si="55"/>
        <v>1w</v>
      </c>
      <c r="Y3018" s="168">
        <f>_xll.qlCalendarAdvance(LiborCalendar,Y3017,X3018,"f",FALSE)</f>
        <v>60321</v>
      </c>
      <c r="Z3018" s="171">
        <f>_xll.qlInterestRateIndexValueDate(IborIndex,Y3018,Trigger)</f>
        <v>60323</v>
      </c>
      <c r="AA3018" s="172" t="e">
        <v>#N/A</v>
      </c>
      <c r="AB3018" s="169" t="e">
        <v>#N/A</v>
      </c>
    </row>
    <row r="3019" spans="20:28" x14ac:dyDescent="0.2">
      <c r="T3019" s="130"/>
      <c r="U3019" s="151"/>
      <c r="X3019" s="170" t="str">
        <f t="shared" si="55"/>
        <v>1w</v>
      </c>
      <c r="Y3019" s="168">
        <f>_xll.qlCalendarAdvance(LiborCalendar,Y3018,X3019,"f",FALSE)</f>
        <v>60328</v>
      </c>
      <c r="Z3019" s="171">
        <f>_xll.qlInterestRateIndexValueDate(IborIndex,Y3019,Trigger)</f>
        <v>60330</v>
      </c>
      <c r="AA3019" s="172" t="e">
        <v>#N/A</v>
      </c>
      <c r="AB3019" s="169" t="e">
        <v>#N/A</v>
      </c>
    </row>
    <row r="3020" spans="20:28" x14ac:dyDescent="0.2">
      <c r="T3020" s="130"/>
      <c r="U3020" s="151"/>
      <c r="X3020" s="170" t="str">
        <f t="shared" si="55"/>
        <v>1w</v>
      </c>
      <c r="Y3020" s="168">
        <f>_xll.qlCalendarAdvance(LiborCalendar,Y3019,X3020,"f",FALSE)</f>
        <v>60335</v>
      </c>
      <c r="Z3020" s="171">
        <f>_xll.qlInterestRateIndexValueDate(IborIndex,Y3020,Trigger)</f>
        <v>60337</v>
      </c>
      <c r="AA3020" s="172" t="e">
        <v>#N/A</v>
      </c>
      <c r="AB3020" s="169" t="e">
        <v>#N/A</v>
      </c>
    </row>
    <row r="3021" spans="20:28" x14ac:dyDescent="0.2">
      <c r="T3021" s="130"/>
      <c r="U3021" s="151"/>
      <c r="X3021" s="170" t="str">
        <f t="shared" si="55"/>
        <v>1w</v>
      </c>
      <c r="Y3021" s="168">
        <f>_xll.qlCalendarAdvance(LiborCalendar,Y3020,X3021,"f",FALSE)</f>
        <v>60342</v>
      </c>
      <c r="Z3021" s="171">
        <f>_xll.qlInterestRateIndexValueDate(IborIndex,Y3021,Trigger)</f>
        <v>60344</v>
      </c>
      <c r="AA3021" s="172" t="e">
        <v>#N/A</v>
      </c>
      <c r="AB3021" s="169" t="e">
        <v>#N/A</v>
      </c>
    </row>
    <row r="3022" spans="20:28" x14ac:dyDescent="0.2">
      <c r="T3022" s="130"/>
      <c r="U3022" s="151"/>
      <c r="X3022" s="170" t="str">
        <f t="shared" si="55"/>
        <v>1w</v>
      </c>
      <c r="Y3022" s="168">
        <f>_xll.qlCalendarAdvance(LiborCalendar,Y3021,X3022,"f",FALSE)</f>
        <v>60349</v>
      </c>
      <c r="Z3022" s="171">
        <f>_xll.qlInterestRateIndexValueDate(IborIndex,Y3022,Trigger)</f>
        <v>60351</v>
      </c>
      <c r="AA3022" s="172" t="e">
        <v>#N/A</v>
      </c>
      <c r="AB3022" s="169" t="e">
        <v>#N/A</v>
      </c>
    </row>
    <row r="3023" spans="20:28" x14ac:dyDescent="0.2">
      <c r="T3023" s="130"/>
      <c r="U3023" s="151"/>
      <c r="X3023" s="170" t="str">
        <f t="shared" si="55"/>
        <v>1w</v>
      </c>
      <c r="Y3023" s="168">
        <f>_xll.qlCalendarAdvance(LiborCalendar,Y3022,X3023,"f",FALSE)</f>
        <v>60357</v>
      </c>
      <c r="Z3023" s="171">
        <f>_xll.qlInterestRateIndexValueDate(IborIndex,Y3023,Trigger)</f>
        <v>60359</v>
      </c>
      <c r="AA3023" s="172" t="e">
        <v>#N/A</v>
      </c>
      <c r="AB3023" s="169" t="e">
        <v>#N/A</v>
      </c>
    </row>
    <row r="3024" spans="20:28" x14ac:dyDescent="0.2">
      <c r="T3024" s="130"/>
      <c r="U3024" s="151"/>
      <c r="X3024" s="170" t="str">
        <f t="shared" si="55"/>
        <v>1w</v>
      </c>
      <c r="Y3024" s="168">
        <f>_xll.qlCalendarAdvance(LiborCalendar,Y3023,X3024,"f",FALSE)</f>
        <v>60364</v>
      </c>
      <c r="Z3024" s="171">
        <f>_xll.qlInterestRateIndexValueDate(IborIndex,Y3024,Trigger)</f>
        <v>60366</v>
      </c>
      <c r="AA3024" s="172" t="e">
        <v>#N/A</v>
      </c>
      <c r="AB3024" s="169" t="e">
        <v>#N/A</v>
      </c>
    </row>
    <row r="3025" spans="20:28" x14ac:dyDescent="0.2">
      <c r="T3025" s="130"/>
      <c r="U3025" s="151"/>
      <c r="X3025" s="170" t="str">
        <f t="shared" si="55"/>
        <v>1w</v>
      </c>
      <c r="Y3025" s="168">
        <f>_xll.qlCalendarAdvance(LiborCalendar,Y3024,X3025,"f",FALSE)</f>
        <v>60371</v>
      </c>
      <c r="Z3025" s="171">
        <f>_xll.qlInterestRateIndexValueDate(IborIndex,Y3025,Trigger)</f>
        <v>60373</v>
      </c>
      <c r="AA3025" s="172" t="e">
        <v>#N/A</v>
      </c>
      <c r="AB3025" s="169" t="e">
        <v>#N/A</v>
      </c>
    </row>
    <row r="3026" spans="20:28" x14ac:dyDescent="0.2">
      <c r="T3026" s="130"/>
      <c r="U3026" s="151"/>
      <c r="X3026" s="170" t="str">
        <f t="shared" si="55"/>
        <v>1w</v>
      </c>
      <c r="Y3026" s="168">
        <f>_xll.qlCalendarAdvance(LiborCalendar,Y3025,X3026,"f",FALSE)</f>
        <v>60378</v>
      </c>
      <c r="Z3026" s="171">
        <f>_xll.qlInterestRateIndexValueDate(IborIndex,Y3026,Trigger)</f>
        <v>60380</v>
      </c>
      <c r="AA3026" s="172" t="e">
        <v>#N/A</v>
      </c>
      <c r="AB3026" s="169" t="e">
        <v>#N/A</v>
      </c>
    </row>
    <row r="3027" spans="20:28" x14ac:dyDescent="0.2">
      <c r="T3027" s="130"/>
      <c r="U3027" s="151"/>
      <c r="X3027" s="170" t="str">
        <f t="shared" si="55"/>
        <v>1w</v>
      </c>
      <c r="Y3027" s="168">
        <f>_xll.qlCalendarAdvance(LiborCalendar,Y3026,X3027,"f",FALSE)</f>
        <v>60385</v>
      </c>
      <c r="Z3027" s="171">
        <f>_xll.qlInterestRateIndexValueDate(IborIndex,Y3027,Trigger)</f>
        <v>60387</v>
      </c>
      <c r="AA3027" s="172" t="e">
        <v>#N/A</v>
      </c>
      <c r="AB3027" s="169" t="e">
        <v>#N/A</v>
      </c>
    </row>
    <row r="3028" spans="20:28" x14ac:dyDescent="0.2">
      <c r="T3028" s="130"/>
      <c r="U3028" s="151"/>
      <c r="X3028" s="170" t="str">
        <f t="shared" si="55"/>
        <v>1w</v>
      </c>
      <c r="Y3028" s="168">
        <f>_xll.qlCalendarAdvance(LiborCalendar,Y3027,X3028,"f",FALSE)</f>
        <v>60392</v>
      </c>
      <c r="Z3028" s="171">
        <f>_xll.qlInterestRateIndexValueDate(IborIndex,Y3028,Trigger)</f>
        <v>60395</v>
      </c>
      <c r="AA3028" s="172" t="e">
        <v>#N/A</v>
      </c>
      <c r="AB3028" s="169" t="e">
        <v>#N/A</v>
      </c>
    </row>
    <row r="3029" spans="20:28" x14ac:dyDescent="0.2">
      <c r="T3029" s="130"/>
      <c r="U3029" s="151"/>
      <c r="X3029" s="170" t="str">
        <f t="shared" ref="X3029:X3092" si="56">X3028</f>
        <v>1w</v>
      </c>
      <c r="Y3029" s="168">
        <f>_xll.qlCalendarAdvance(LiborCalendar,Y3028,X3029,"f",FALSE)</f>
        <v>60399</v>
      </c>
      <c r="Z3029" s="171">
        <f>_xll.qlInterestRateIndexValueDate(IborIndex,Y3029,Trigger)</f>
        <v>60401</v>
      </c>
      <c r="AA3029" s="172" t="e">
        <v>#N/A</v>
      </c>
      <c r="AB3029" s="169" t="e">
        <v>#N/A</v>
      </c>
    </row>
    <row r="3030" spans="20:28" x14ac:dyDescent="0.2">
      <c r="T3030" s="130"/>
      <c r="U3030" s="151"/>
      <c r="X3030" s="170" t="str">
        <f t="shared" si="56"/>
        <v>1w</v>
      </c>
      <c r="Y3030" s="168">
        <f>_xll.qlCalendarAdvance(LiborCalendar,Y3029,X3030,"f",FALSE)</f>
        <v>60406</v>
      </c>
      <c r="Z3030" s="171">
        <f>_xll.qlInterestRateIndexValueDate(IborIndex,Y3030,Trigger)</f>
        <v>60408</v>
      </c>
      <c r="AA3030" s="172" t="e">
        <v>#N/A</v>
      </c>
      <c r="AB3030" s="169" t="e">
        <v>#N/A</v>
      </c>
    </row>
    <row r="3031" spans="20:28" x14ac:dyDescent="0.2">
      <c r="T3031" s="130"/>
      <c r="U3031" s="151"/>
      <c r="X3031" s="170" t="str">
        <f t="shared" si="56"/>
        <v>1w</v>
      </c>
      <c r="Y3031" s="168">
        <f>_xll.qlCalendarAdvance(LiborCalendar,Y3030,X3031,"f",FALSE)</f>
        <v>60413</v>
      </c>
      <c r="Z3031" s="171">
        <f>_xll.qlInterestRateIndexValueDate(IborIndex,Y3031,Trigger)</f>
        <v>60415</v>
      </c>
      <c r="AA3031" s="172" t="e">
        <v>#N/A</v>
      </c>
      <c r="AB3031" s="169" t="e">
        <v>#N/A</v>
      </c>
    </row>
    <row r="3032" spans="20:28" x14ac:dyDescent="0.2">
      <c r="T3032" s="130"/>
      <c r="U3032" s="151"/>
      <c r="X3032" s="170" t="str">
        <f t="shared" si="56"/>
        <v>1w</v>
      </c>
      <c r="Y3032" s="168">
        <f>_xll.qlCalendarAdvance(LiborCalendar,Y3031,X3032,"f",FALSE)</f>
        <v>60420</v>
      </c>
      <c r="Z3032" s="171">
        <f>_xll.qlInterestRateIndexValueDate(IborIndex,Y3032,Trigger)</f>
        <v>60422</v>
      </c>
      <c r="AA3032" s="172" t="e">
        <v>#N/A</v>
      </c>
      <c r="AB3032" s="169" t="e">
        <v>#N/A</v>
      </c>
    </row>
    <row r="3033" spans="20:28" x14ac:dyDescent="0.2">
      <c r="T3033" s="130"/>
      <c r="U3033" s="151"/>
      <c r="X3033" s="170" t="str">
        <f t="shared" si="56"/>
        <v>1w</v>
      </c>
      <c r="Y3033" s="168">
        <f>_xll.qlCalendarAdvance(LiborCalendar,Y3032,X3033,"f",FALSE)</f>
        <v>60427</v>
      </c>
      <c r="Z3033" s="171">
        <f>_xll.qlInterestRateIndexValueDate(IborIndex,Y3033,Trigger)</f>
        <v>60429</v>
      </c>
      <c r="AA3033" s="172" t="e">
        <v>#N/A</v>
      </c>
      <c r="AB3033" s="169" t="e">
        <v>#N/A</v>
      </c>
    </row>
    <row r="3034" spans="20:28" x14ac:dyDescent="0.2">
      <c r="T3034" s="130"/>
      <c r="U3034" s="151"/>
      <c r="X3034" s="170" t="str">
        <f t="shared" si="56"/>
        <v>1w</v>
      </c>
      <c r="Y3034" s="168">
        <f>_xll.qlCalendarAdvance(LiborCalendar,Y3033,X3034,"f",FALSE)</f>
        <v>60434</v>
      </c>
      <c r="Z3034" s="171">
        <f>_xll.qlInterestRateIndexValueDate(IborIndex,Y3034,Trigger)</f>
        <v>60436</v>
      </c>
      <c r="AA3034" s="172" t="e">
        <v>#N/A</v>
      </c>
      <c r="AB3034" s="169" t="e">
        <v>#N/A</v>
      </c>
    </row>
    <row r="3035" spans="20:28" x14ac:dyDescent="0.2">
      <c r="T3035" s="130"/>
      <c r="U3035" s="151"/>
      <c r="X3035" s="170" t="str">
        <f t="shared" si="56"/>
        <v>1w</v>
      </c>
      <c r="Y3035" s="168">
        <f>_xll.qlCalendarAdvance(LiborCalendar,Y3034,X3035,"f",FALSE)</f>
        <v>60441</v>
      </c>
      <c r="Z3035" s="171">
        <f>_xll.qlInterestRateIndexValueDate(IborIndex,Y3035,Trigger)</f>
        <v>60443</v>
      </c>
      <c r="AA3035" s="172" t="e">
        <v>#N/A</v>
      </c>
      <c r="AB3035" s="169" t="e">
        <v>#N/A</v>
      </c>
    </row>
    <row r="3036" spans="20:28" x14ac:dyDescent="0.2">
      <c r="T3036" s="130"/>
      <c r="U3036" s="151"/>
      <c r="X3036" s="170" t="str">
        <f t="shared" si="56"/>
        <v>1w</v>
      </c>
      <c r="Y3036" s="168">
        <f>_xll.qlCalendarAdvance(LiborCalendar,Y3035,X3036,"f",FALSE)</f>
        <v>60448</v>
      </c>
      <c r="Z3036" s="171">
        <f>_xll.qlInterestRateIndexValueDate(IborIndex,Y3036,Trigger)</f>
        <v>60450</v>
      </c>
      <c r="AA3036" s="172" t="e">
        <v>#N/A</v>
      </c>
      <c r="AB3036" s="169" t="e">
        <v>#N/A</v>
      </c>
    </row>
    <row r="3037" spans="20:28" x14ac:dyDescent="0.2">
      <c r="T3037" s="130"/>
      <c r="U3037" s="151"/>
      <c r="X3037" s="170" t="str">
        <f t="shared" si="56"/>
        <v>1w</v>
      </c>
      <c r="Y3037" s="168">
        <f>_xll.qlCalendarAdvance(LiborCalendar,Y3036,X3037,"f",FALSE)</f>
        <v>60455</v>
      </c>
      <c r="Z3037" s="171">
        <f>_xll.qlInterestRateIndexValueDate(IborIndex,Y3037,Trigger)</f>
        <v>60457</v>
      </c>
      <c r="AA3037" s="172" t="e">
        <v>#N/A</v>
      </c>
      <c r="AB3037" s="169" t="e">
        <v>#N/A</v>
      </c>
    </row>
    <row r="3038" spans="20:28" x14ac:dyDescent="0.2">
      <c r="T3038" s="130"/>
      <c r="U3038" s="151"/>
      <c r="X3038" s="170" t="str">
        <f t="shared" si="56"/>
        <v>1w</v>
      </c>
      <c r="Y3038" s="168">
        <f>_xll.qlCalendarAdvance(LiborCalendar,Y3037,X3038,"f",FALSE)</f>
        <v>60462</v>
      </c>
      <c r="Z3038" s="171">
        <f>_xll.qlInterestRateIndexValueDate(IborIndex,Y3038,Trigger)</f>
        <v>60464</v>
      </c>
      <c r="AA3038" s="172" t="e">
        <v>#N/A</v>
      </c>
      <c r="AB3038" s="169" t="e">
        <v>#N/A</v>
      </c>
    </row>
    <row r="3039" spans="20:28" x14ac:dyDescent="0.2">
      <c r="T3039" s="130"/>
      <c r="U3039" s="151"/>
      <c r="X3039" s="170" t="str">
        <f t="shared" si="56"/>
        <v>1w</v>
      </c>
      <c r="Y3039" s="168">
        <f>_xll.qlCalendarAdvance(LiborCalendar,Y3038,X3039,"f",FALSE)</f>
        <v>60469</v>
      </c>
      <c r="Z3039" s="171">
        <f>_xll.qlInterestRateIndexValueDate(IborIndex,Y3039,Trigger)</f>
        <v>60471</v>
      </c>
      <c r="AA3039" s="172" t="e">
        <v>#N/A</v>
      </c>
      <c r="AB3039" s="169" t="e">
        <v>#N/A</v>
      </c>
    </row>
    <row r="3040" spans="20:28" x14ac:dyDescent="0.2">
      <c r="T3040" s="130"/>
      <c r="U3040" s="151"/>
      <c r="X3040" s="170" t="str">
        <f t="shared" si="56"/>
        <v>1w</v>
      </c>
      <c r="Y3040" s="168">
        <f>_xll.qlCalendarAdvance(LiborCalendar,Y3039,X3040,"f",FALSE)</f>
        <v>60476</v>
      </c>
      <c r="Z3040" s="171">
        <f>_xll.qlInterestRateIndexValueDate(IborIndex,Y3040,Trigger)</f>
        <v>60478</v>
      </c>
      <c r="AA3040" s="172" t="e">
        <v>#N/A</v>
      </c>
      <c r="AB3040" s="169" t="e">
        <v>#N/A</v>
      </c>
    </row>
    <row r="3041" spans="20:28" x14ac:dyDescent="0.2">
      <c r="T3041" s="130"/>
      <c r="U3041" s="151"/>
      <c r="X3041" s="170" t="str">
        <f t="shared" si="56"/>
        <v>1w</v>
      </c>
      <c r="Y3041" s="168">
        <f>_xll.qlCalendarAdvance(LiborCalendar,Y3040,X3041,"f",FALSE)</f>
        <v>60483</v>
      </c>
      <c r="Z3041" s="171">
        <f>_xll.qlInterestRateIndexValueDate(IborIndex,Y3041,Trigger)</f>
        <v>60485</v>
      </c>
      <c r="AA3041" s="172" t="e">
        <v>#N/A</v>
      </c>
      <c r="AB3041" s="169" t="e">
        <v>#N/A</v>
      </c>
    </row>
    <row r="3042" spans="20:28" x14ac:dyDescent="0.2">
      <c r="T3042" s="130"/>
      <c r="U3042" s="151"/>
      <c r="X3042" s="170" t="str">
        <f t="shared" si="56"/>
        <v>1w</v>
      </c>
      <c r="Y3042" s="168">
        <f>_xll.qlCalendarAdvance(LiborCalendar,Y3041,X3042,"f",FALSE)</f>
        <v>60490</v>
      </c>
      <c r="Z3042" s="171">
        <f>_xll.qlInterestRateIndexValueDate(IborIndex,Y3042,Trigger)</f>
        <v>60492</v>
      </c>
      <c r="AA3042" s="172" t="e">
        <v>#N/A</v>
      </c>
      <c r="AB3042" s="169" t="e">
        <v>#N/A</v>
      </c>
    </row>
    <row r="3043" spans="20:28" x14ac:dyDescent="0.2">
      <c r="T3043" s="130"/>
      <c r="U3043" s="151"/>
      <c r="X3043" s="170" t="str">
        <f t="shared" si="56"/>
        <v>1w</v>
      </c>
      <c r="Y3043" s="168">
        <f>_xll.qlCalendarAdvance(LiborCalendar,Y3042,X3043,"f",FALSE)</f>
        <v>60497</v>
      </c>
      <c r="Z3043" s="171">
        <f>_xll.qlInterestRateIndexValueDate(IborIndex,Y3043,Trigger)</f>
        <v>60499</v>
      </c>
      <c r="AA3043" s="172" t="e">
        <v>#N/A</v>
      </c>
      <c r="AB3043" s="169" t="e">
        <v>#N/A</v>
      </c>
    </row>
    <row r="3044" spans="20:28" x14ac:dyDescent="0.2">
      <c r="T3044" s="130"/>
      <c r="U3044" s="151"/>
      <c r="X3044" s="170" t="str">
        <f t="shared" si="56"/>
        <v>1w</v>
      </c>
      <c r="Y3044" s="168">
        <f>_xll.qlCalendarAdvance(LiborCalendar,Y3043,X3044,"f",FALSE)</f>
        <v>60504</v>
      </c>
      <c r="Z3044" s="171">
        <f>_xll.qlInterestRateIndexValueDate(IborIndex,Y3044,Trigger)</f>
        <v>60506</v>
      </c>
      <c r="AA3044" s="172" t="e">
        <v>#N/A</v>
      </c>
      <c r="AB3044" s="169" t="e">
        <v>#N/A</v>
      </c>
    </row>
    <row r="3045" spans="20:28" x14ac:dyDescent="0.2">
      <c r="T3045" s="130"/>
      <c r="U3045" s="151"/>
      <c r="X3045" s="170" t="str">
        <f t="shared" si="56"/>
        <v>1w</v>
      </c>
      <c r="Y3045" s="168">
        <f>_xll.qlCalendarAdvance(LiborCalendar,Y3044,X3045,"f",FALSE)</f>
        <v>60511</v>
      </c>
      <c r="Z3045" s="171">
        <f>_xll.qlInterestRateIndexValueDate(IborIndex,Y3045,Trigger)</f>
        <v>60513</v>
      </c>
      <c r="AA3045" s="172" t="e">
        <v>#N/A</v>
      </c>
      <c r="AB3045" s="169" t="e">
        <v>#N/A</v>
      </c>
    </row>
    <row r="3046" spans="20:28" x14ac:dyDescent="0.2">
      <c r="T3046" s="130"/>
      <c r="U3046" s="151"/>
      <c r="X3046" s="170" t="str">
        <f t="shared" si="56"/>
        <v>1w</v>
      </c>
      <c r="Y3046" s="168">
        <f>_xll.qlCalendarAdvance(LiborCalendar,Y3045,X3046,"f",FALSE)</f>
        <v>60518</v>
      </c>
      <c r="Z3046" s="171">
        <f>_xll.qlInterestRateIndexValueDate(IborIndex,Y3046,Trigger)</f>
        <v>60520</v>
      </c>
      <c r="AA3046" s="172" t="e">
        <v>#N/A</v>
      </c>
      <c r="AB3046" s="169" t="e">
        <v>#N/A</v>
      </c>
    </row>
    <row r="3047" spans="20:28" x14ac:dyDescent="0.2">
      <c r="T3047" s="130"/>
      <c r="U3047" s="151"/>
      <c r="X3047" s="170" t="str">
        <f t="shared" si="56"/>
        <v>1w</v>
      </c>
      <c r="Y3047" s="168">
        <f>_xll.qlCalendarAdvance(LiborCalendar,Y3046,X3047,"f",FALSE)</f>
        <v>60525</v>
      </c>
      <c r="Z3047" s="171">
        <f>_xll.qlInterestRateIndexValueDate(IborIndex,Y3047,Trigger)</f>
        <v>60527</v>
      </c>
      <c r="AA3047" s="172" t="e">
        <v>#N/A</v>
      </c>
      <c r="AB3047" s="169" t="e">
        <v>#N/A</v>
      </c>
    </row>
    <row r="3048" spans="20:28" x14ac:dyDescent="0.2">
      <c r="T3048" s="130"/>
      <c r="U3048" s="151"/>
      <c r="X3048" s="170" t="str">
        <f t="shared" si="56"/>
        <v>1w</v>
      </c>
      <c r="Y3048" s="168">
        <f>_xll.qlCalendarAdvance(LiborCalendar,Y3047,X3048,"f",FALSE)</f>
        <v>60532</v>
      </c>
      <c r="Z3048" s="171">
        <f>_xll.qlInterestRateIndexValueDate(IborIndex,Y3048,Trigger)</f>
        <v>60534</v>
      </c>
      <c r="AA3048" s="172" t="e">
        <v>#N/A</v>
      </c>
      <c r="AB3048" s="169" t="e">
        <v>#N/A</v>
      </c>
    </row>
    <row r="3049" spans="20:28" x14ac:dyDescent="0.2">
      <c r="T3049" s="130"/>
      <c r="U3049" s="151"/>
      <c r="X3049" s="170" t="str">
        <f t="shared" si="56"/>
        <v>1w</v>
      </c>
      <c r="Y3049" s="168">
        <f>_xll.qlCalendarAdvance(LiborCalendar,Y3048,X3049,"f",FALSE)</f>
        <v>60539</v>
      </c>
      <c r="Z3049" s="171">
        <f>_xll.qlInterestRateIndexValueDate(IborIndex,Y3049,Trigger)</f>
        <v>60541</v>
      </c>
      <c r="AA3049" s="172" t="e">
        <v>#N/A</v>
      </c>
      <c r="AB3049" s="169" t="e">
        <v>#N/A</v>
      </c>
    </row>
    <row r="3050" spans="20:28" x14ac:dyDescent="0.2">
      <c r="T3050" s="130"/>
      <c r="U3050" s="151"/>
      <c r="X3050" s="170" t="str">
        <f t="shared" si="56"/>
        <v>1w</v>
      </c>
      <c r="Y3050" s="168">
        <f>_xll.qlCalendarAdvance(LiborCalendar,Y3049,X3050,"f",FALSE)</f>
        <v>60546</v>
      </c>
      <c r="Z3050" s="171">
        <f>_xll.qlInterestRateIndexValueDate(IborIndex,Y3050,Trigger)</f>
        <v>60548</v>
      </c>
      <c r="AA3050" s="172" t="e">
        <v>#N/A</v>
      </c>
      <c r="AB3050" s="169" t="e">
        <v>#N/A</v>
      </c>
    </row>
    <row r="3051" spans="20:28" x14ac:dyDescent="0.2">
      <c r="T3051" s="130"/>
      <c r="U3051" s="151"/>
      <c r="X3051" s="170" t="str">
        <f t="shared" si="56"/>
        <v>1w</v>
      </c>
      <c r="Y3051" s="168">
        <f>_xll.qlCalendarAdvance(LiborCalendar,Y3050,X3051,"f",FALSE)</f>
        <v>60553</v>
      </c>
      <c r="Z3051" s="171">
        <f>_xll.qlInterestRateIndexValueDate(IborIndex,Y3051,Trigger)</f>
        <v>60555</v>
      </c>
      <c r="AA3051" s="172" t="e">
        <v>#N/A</v>
      </c>
      <c r="AB3051" s="169" t="e">
        <v>#N/A</v>
      </c>
    </row>
    <row r="3052" spans="20:28" x14ac:dyDescent="0.2">
      <c r="T3052" s="130"/>
      <c r="U3052" s="151"/>
      <c r="X3052" s="170" t="str">
        <f t="shared" si="56"/>
        <v>1w</v>
      </c>
      <c r="Y3052" s="168">
        <f>_xll.qlCalendarAdvance(LiborCalendar,Y3051,X3052,"f",FALSE)</f>
        <v>60560</v>
      </c>
      <c r="Z3052" s="171">
        <f>_xll.qlInterestRateIndexValueDate(IborIndex,Y3052,Trigger)</f>
        <v>60562</v>
      </c>
      <c r="AA3052" s="172" t="e">
        <v>#N/A</v>
      </c>
      <c r="AB3052" s="169" t="e">
        <v>#N/A</v>
      </c>
    </row>
    <row r="3053" spans="20:28" x14ac:dyDescent="0.2">
      <c r="T3053" s="130"/>
      <c r="U3053" s="151"/>
      <c r="X3053" s="170" t="str">
        <f t="shared" si="56"/>
        <v>1w</v>
      </c>
      <c r="Y3053" s="168">
        <f>_xll.qlCalendarAdvance(LiborCalendar,Y3052,X3053,"f",FALSE)</f>
        <v>60567</v>
      </c>
      <c r="Z3053" s="171">
        <f>_xll.qlInterestRateIndexValueDate(IborIndex,Y3053,Trigger)</f>
        <v>60569</v>
      </c>
      <c r="AA3053" s="172" t="e">
        <v>#N/A</v>
      </c>
      <c r="AB3053" s="169" t="e">
        <v>#N/A</v>
      </c>
    </row>
    <row r="3054" spans="20:28" x14ac:dyDescent="0.2">
      <c r="T3054" s="130"/>
      <c r="U3054" s="151"/>
      <c r="X3054" s="170" t="str">
        <f t="shared" si="56"/>
        <v>1w</v>
      </c>
      <c r="Y3054" s="168">
        <f>_xll.qlCalendarAdvance(LiborCalendar,Y3053,X3054,"f",FALSE)</f>
        <v>60574</v>
      </c>
      <c r="Z3054" s="171">
        <f>_xll.qlInterestRateIndexValueDate(IborIndex,Y3054,Trigger)</f>
        <v>60576</v>
      </c>
      <c r="AA3054" s="172" t="e">
        <v>#N/A</v>
      </c>
      <c r="AB3054" s="169" t="e">
        <v>#N/A</v>
      </c>
    </row>
    <row r="3055" spans="20:28" x14ac:dyDescent="0.2">
      <c r="T3055" s="130"/>
      <c r="U3055" s="151"/>
      <c r="X3055" s="170" t="str">
        <f t="shared" si="56"/>
        <v>1w</v>
      </c>
      <c r="Y3055" s="168">
        <f>_xll.qlCalendarAdvance(LiborCalendar,Y3054,X3055,"f",FALSE)</f>
        <v>60581</v>
      </c>
      <c r="Z3055" s="171">
        <f>_xll.qlInterestRateIndexValueDate(IborIndex,Y3055,Trigger)</f>
        <v>60583</v>
      </c>
      <c r="AA3055" s="172" t="e">
        <v>#N/A</v>
      </c>
      <c r="AB3055" s="169" t="e">
        <v>#N/A</v>
      </c>
    </row>
    <row r="3056" spans="20:28" x14ac:dyDescent="0.2">
      <c r="T3056" s="130"/>
      <c r="U3056" s="151"/>
      <c r="X3056" s="170" t="str">
        <f t="shared" si="56"/>
        <v>1w</v>
      </c>
      <c r="Y3056" s="168">
        <f>_xll.qlCalendarAdvance(LiborCalendar,Y3055,X3056,"f",FALSE)</f>
        <v>60588</v>
      </c>
      <c r="Z3056" s="171">
        <f>_xll.qlInterestRateIndexValueDate(IborIndex,Y3056,Trigger)</f>
        <v>60590</v>
      </c>
      <c r="AA3056" s="172" t="e">
        <v>#N/A</v>
      </c>
      <c r="AB3056" s="169" t="e">
        <v>#N/A</v>
      </c>
    </row>
    <row r="3057" spans="20:28" x14ac:dyDescent="0.2">
      <c r="T3057" s="130"/>
      <c r="U3057" s="151"/>
      <c r="X3057" s="170" t="str">
        <f t="shared" si="56"/>
        <v>1w</v>
      </c>
      <c r="Y3057" s="168">
        <f>_xll.qlCalendarAdvance(LiborCalendar,Y3056,X3057,"f",FALSE)</f>
        <v>60595</v>
      </c>
      <c r="Z3057" s="171">
        <f>_xll.qlInterestRateIndexValueDate(IborIndex,Y3057,Trigger)</f>
        <v>60597</v>
      </c>
      <c r="AA3057" s="172" t="e">
        <v>#N/A</v>
      </c>
      <c r="AB3057" s="169" t="e">
        <v>#N/A</v>
      </c>
    </row>
    <row r="3058" spans="20:28" x14ac:dyDescent="0.2">
      <c r="T3058" s="130"/>
      <c r="U3058" s="151"/>
      <c r="X3058" s="170" t="str">
        <f t="shared" si="56"/>
        <v>1w</v>
      </c>
      <c r="Y3058" s="168">
        <f>_xll.qlCalendarAdvance(LiborCalendar,Y3057,X3058,"f",FALSE)</f>
        <v>60602</v>
      </c>
      <c r="Z3058" s="171">
        <f>_xll.qlInterestRateIndexValueDate(IborIndex,Y3058,Trigger)</f>
        <v>60604</v>
      </c>
      <c r="AA3058" s="172" t="e">
        <v>#N/A</v>
      </c>
      <c r="AB3058" s="169" t="e">
        <v>#N/A</v>
      </c>
    </row>
    <row r="3059" spans="20:28" x14ac:dyDescent="0.2">
      <c r="T3059" s="130"/>
      <c r="U3059" s="151"/>
      <c r="X3059" s="170" t="str">
        <f t="shared" si="56"/>
        <v>1w</v>
      </c>
      <c r="Y3059" s="168">
        <f>_xll.qlCalendarAdvance(LiborCalendar,Y3058,X3059,"f",FALSE)</f>
        <v>60609</v>
      </c>
      <c r="Z3059" s="171">
        <f>_xll.qlInterestRateIndexValueDate(IborIndex,Y3059,Trigger)</f>
        <v>60611</v>
      </c>
      <c r="AA3059" s="172" t="e">
        <v>#N/A</v>
      </c>
      <c r="AB3059" s="169" t="e">
        <v>#N/A</v>
      </c>
    </row>
    <row r="3060" spans="20:28" x14ac:dyDescent="0.2">
      <c r="T3060" s="130"/>
      <c r="U3060" s="151"/>
      <c r="X3060" s="170" t="str">
        <f t="shared" si="56"/>
        <v>1w</v>
      </c>
      <c r="Y3060" s="168">
        <f>_xll.qlCalendarAdvance(LiborCalendar,Y3059,X3060,"f",FALSE)</f>
        <v>60616</v>
      </c>
      <c r="Z3060" s="171">
        <f>_xll.qlInterestRateIndexValueDate(IborIndex,Y3060,Trigger)</f>
        <v>60618</v>
      </c>
      <c r="AA3060" s="172" t="e">
        <v>#N/A</v>
      </c>
      <c r="AB3060" s="169" t="e">
        <v>#N/A</v>
      </c>
    </row>
    <row r="3061" spans="20:28" x14ac:dyDescent="0.2">
      <c r="T3061" s="130"/>
      <c r="U3061" s="151"/>
      <c r="X3061" s="170" t="str">
        <f t="shared" si="56"/>
        <v>1w</v>
      </c>
      <c r="Y3061" s="168">
        <f>_xll.qlCalendarAdvance(LiborCalendar,Y3060,X3061,"f",FALSE)</f>
        <v>60623</v>
      </c>
      <c r="Z3061" s="171">
        <f>_xll.qlInterestRateIndexValueDate(IborIndex,Y3061,Trigger)</f>
        <v>60625</v>
      </c>
      <c r="AA3061" s="172" t="e">
        <v>#N/A</v>
      </c>
      <c r="AB3061" s="169" t="e">
        <v>#N/A</v>
      </c>
    </row>
    <row r="3062" spans="20:28" x14ac:dyDescent="0.2">
      <c r="T3062" s="130"/>
      <c r="U3062" s="151"/>
      <c r="X3062" s="170" t="str">
        <f t="shared" si="56"/>
        <v>1w</v>
      </c>
      <c r="Y3062" s="168">
        <f>_xll.qlCalendarAdvance(LiborCalendar,Y3061,X3062,"f",FALSE)</f>
        <v>60630</v>
      </c>
      <c r="Z3062" s="171">
        <f>_xll.qlInterestRateIndexValueDate(IborIndex,Y3062,Trigger)</f>
        <v>60632</v>
      </c>
      <c r="AA3062" s="172" t="e">
        <v>#N/A</v>
      </c>
      <c r="AB3062" s="169" t="e">
        <v>#N/A</v>
      </c>
    </row>
    <row r="3063" spans="20:28" x14ac:dyDescent="0.2">
      <c r="T3063" s="130"/>
      <c r="U3063" s="151"/>
      <c r="X3063" s="170" t="str">
        <f t="shared" si="56"/>
        <v>1w</v>
      </c>
      <c r="Y3063" s="168">
        <f>_xll.qlCalendarAdvance(LiborCalendar,Y3062,X3063,"f",FALSE)</f>
        <v>60637</v>
      </c>
      <c r="Z3063" s="171">
        <f>_xll.qlInterestRateIndexValueDate(IborIndex,Y3063,Trigger)</f>
        <v>60639</v>
      </c>
      <c r="AA3063" s="172" t="e">
        <v>#N/A</v>
      </c>
      <c r="AB3063" s="169" t="e">
        <v>#N/A</v>
      </c>
    </row>
    <row r="3064" spans="20:28" x14ac:dyDescent="0.2">
      <c r="T3064" s="130"/>
      <c r="U3064" s="151"/>
      <c r="X3064" s="170" t="str">
        <f t="shared" si="56"/>
        <v>1w</v>
      </c>
      <c r="Y3064" s="168">
        <f>_xll.qlCalendarAdvance(LiborCalendar,Y3063,X3064,"f",FALSE)</f>
        <v>60644</v>
      </c>
      <c r="Z3064" s="171">
        <f>_xll.qlInterestRateIndexValueDate(IborIndex,Y3064,Trigger)</f>
        <v>60646</v>
      </c>
      <c r="AA3064" s="172" t="e">
        <v>#N/A</v>
      </c>
      <c r="AB3064" s="169" t="e">
        <v>#N/A</v>
      </c>
    </row>
    <row r="3065" spans="20:28" x14ac:dyDescent="0.2">
      <c r="T3065" s="130"/>
      <c r="U3065" s="151"/>
      <c r="X3065" s="170" t="str">
        <f t="shared" si="56"/>
        <v>1w</v>
      </c>
      <c r="Y3065" s="168">
        <f>_xll.qlCalendarAdvance(LiborCalendar,Y3064,X3065,"f",FALSE)</f>
        <v>60651</v>
      </c>
      <c r="Z3065" s="171">
        <f>_xll.qlInterestRateIndexValueDate(IborIndex,Y3065,Trigger)</f>
        <v>60653</v>
      </c>
      <c r="AA3065" s="172" t="e">
        <v>#N/A</v>
      </c>
      <c r="AB3065" s="169" t="e">
        <v>#N/A</v>
      </c>
    </row>
    <row r="3066" spans="20:28" x14ac:dyDescent="0.2">
      <c r="T3066" s="130"/>
      <c r="U3066" s="151"/>
      <c r="X3066" s="170" t="str">
        <f t="shared" si="56"/>
        <v>1w</v>
      </c>
      <c r="Y3066" s="168">
        <f>_xll.qlCalendarAdvance(LiborCalendar,Y3065,X3066,"f",FALSE)</f>
        <v>60658</v>
      </c>
      <c r="Z3066" s="171">
        <f>_xll.qlInterestRateIndexValueDate(IborIndex,Y3066,Trigger)</f>
        <v>60660</v>
      </c>
      <c r="AA3066" s="172" t="e">
        <v>#N/A</v>
      </c>
      <c r="AB3066" s="169" t="e">
        <v>#N/A</v>
      </c>
    </row>
    <row r="3067" spans="20:28" x14ac:dyDescent="0.2">
      <c r="T3067" s="130"/>
      <c r="U3067" s="151"/>
      <c r="X3067" s="170" t="str">
        <f t="shared" si="56"/>
        <v>1w</v>
      </c>
      <c r="Y3067" s="168">
        <f>_xll.qlCalendarAdvance(LiborCalendar,Y3066,X3067,"f",FALSE)</f>
        <v>60665</v>
      </c>
      <c r="Z3067" s="171">
        <f>_xll.qlInterestRateIndexValueDate(IborIndex,Y3067,Trigger)</f>
        <v>60667</v>
      </c>
      <c r="AA3067" s="172" t="e">
        <v>#N/A</v>
      </c>
      <c r="AB3067" s="169" t="e">
        <v>#N/A</v>
      </c>
    </row>
    <row r="3068" spans="20:28" x14ac:dyDescent="0.2">
      <c r="T3068" s="130"/>
      <c r="U3068" s="151"/>
      <c r="X3068" s="170" t="str">
        <f t="shared" si="56"/>
        <v>1w</v>
      </c>
      <c r="Y3068" s="168">
        <f>_xll.qlCalendarAdvance(LiborCalendar,Y3067,X3068,"f",FALSE)</f>
        <v>60672</v>
      </c>
      <c r="Z3068" s="171">
        <f>_xll.qlInterestRateIndexValueDate(IborIndex,Y3068,Trigger)</f>
        <v>60674</v>
      </c>
      <c r="AA3068" s="172" t="e">
        <v>#N/A</v>
      </c>
      <c r="AB3068" s="169" t="e">
        <v>#N/A</v>
      </c>
    </row>
    <row r="3069" spans="20:28" x14ac:dyDescent="0.2">
      <c r="T3069" s="130"/>
      <c r="U3069" s="151"/>
      <c r="X3069" s="170" t="str">
        <f t="shared" si="56"/>
        <v>1w</v>
      </c>
      <c r="Y3069" s="168">
        <f>_xll.qlCalendarAdvance(LiborCalendar,Y3068,X3069,"f",FALSE)</f>
        <v>60679</v>
      </c>
      <c r="Z3069" s="171">
        <f>_xll.qlInterestRateIndexValueDate(IborIndex,Y3069,Trigger)</f>
        <v>60681</v>
      </c>
      <c r="AA3069" s="172" t="e">
        <v>#N/A</v>
      </c>
      <c r="AB3069" s="169" t="e">
        <v>#N/A</v>
      </c>
    </row>
    <row r="3070" spans="20:28" x14ac:dyDescent="0.2">
      <c r="T3070" s="130"/>
      <c r="U3070" s="151"/>
      <c r="X3070" s="170" t="str">
        <f t="shared" si="56"/>
        <v>1w</v>
      </c>
      <c r="Y3070" s="168">
        <f>_xll.qlCalendarAdvance(LiborCalendar,Y3069,X3070,"f",FALSE)</f>
        <v>60686</v>
      </c>
      <c r="Z3070" s="171">
        <f>_xll.qlInterestRateIndexValueDate(IborIndex,Y3070,Trigger)</f>
        <v>60688</v>
      </c>
      <c r="AA3070" s="172" t="e">
        <v>#N/A</v>
      </c>
      <c r="AB3070" s="169" t="e">
        <v>#N/A</v>
      </c>
    </row>
    <row r="3071" spans="20:28" x14ac:dyDescent="0.2">
      <c r="T3071" s="130"/>
      <c r="U3071" s="151"/>
      <c r="X3071" s="170" t="str">
        <f t="shared" si="56"/>
        <v>1w</v>
      </c>
      <c r="Y3071" s="168">
        <f>_xll.qlCalendarAdvance(LiborCalendar,Y3070,X3071,"f",FALSE)</f>
        <v>60693</v>
      </c>
      <c r="Z3071" s="171">
        <f>_xll.qlInterestRateIndexValueDate(IborIndex,Y3071,Trigger)</f>
        <v>60695</v>
      </c>
      <c r="AA3071" s="172" t="e">
        <v>#N/A</v>
      </c>
      <c r="AB3071" s="169" t="e">
        <v>#N/A</v>
      </c>
    </row>
    <row r="3072" spans="20:28" x14ac:dyDescent="0.2">
      <c r="T3072" s="130"/>
      <c r="U3072" s="151"/>
      <c r="X3072" s="170" t="str">
        <f t="shared" si="56"/>
        <v>1w</v>
      </c>
      <c r="Y3072" s="168">
        <f>_xll.qlCalendarAdvance(LiborCalendar,Y3071,X3072,"f",FALSE)</f>
        <v>60700</v>
      </c>
      <c r="Z3072" s="171">
        <f>_xll.qlInterestRateIndexValueDate(IborIndex,Y3072,Trigger)</f>
        <v>60702</v>
      </c>
      <c r="AA3072" s="172" t="e">
        <v>#N/A</v>
      </c>
      <c r="AB3072" s="169" t="e">
        <v>#N/A</v>
      </c>
    </row>
    <row r="3073" spans="20:28" x14ac:dyDescent="0.2">
      <c r="T3073" s="130"/>
      <c r="U3073" s="151"/>
      <c r="X3073" s="170" t="str">
        <f t="shared" si="56"/>
        <v>1w</v>
      </c>
      <c r="Y3073" s="168">
        <f>_xll.qlCalendarAdvance(LiborCalendar,Y3072,X3073,"f",FALSE)</f>
        <v>60707</v>
      </c>
      <c r="Z3073" s="171">
        <f>_xll.qlInterestRateIndexValueDate(IborIndex,Y3073,Trigger)</f>
        <v>60709</v>
      </c>
      <c r="AA3073" s="172" t="e">
        <v>#N/A</v>
      </c>
      <c r="AB3073" s="169" t="e">
        <v>#N/A</v>
      </c>
    </row>
    <row r="3074" spans="20:28" x14ac:dyDescent="0.2">
      <c r="T3074" s="130"/>
      <c r="U3074" s="151"/>
      <c r="X3074" s="170" t="str">
        <f t="shared" si="56"/>
        <v>1w</v>
      </c>
      <c r="Y3074" s="168">
        <f>_xll.qlCalendarAdvance(LiborCalendar,Y3073,X3074,"f",FALSE)</f>
        <v>60714</v>
      </c>
      <c r="Z3074" s="171">
        <f>_xll.qlInterestRateIndexValueDate(IborIndex,Y3074,Trigger)</f>
        <v>60716</v>
      </c>
      <c r="AA3074" s="172" t="e">
        <v>#N/A</v>
      </c>
      <c r="AB3074" s="169" t="e">
        <v>#N/A</v>
      </c>
    </row>
    <row r="3075" spans="20:28" x14ac:dyDescent="0.2">
      <c r="T3075" s="130"/>
      <c r="U3075" s="151"/>
      <c r="X3075" s="170" t="str">
        <f t="shared" si="56"/>
        <v>1w</v>
      </c>
      <c r="Y3075" s="168">
        <f>_xll.qlCalendarAdvance(LiborCalendar,Y3074,X3075,"f",FALSE)</f>
        <v>60721</v>
      </c>
      <c r="Z3075" s="171">
        <f>_xll.qlInterestRateIndexValueDate(IborIndex,Y3075,Trigger)</f>
        <v>60723</v>
      </c>
      <c r="AA3075" s="172" t="e">
        <v>#N/A</v>
      </c>
      <c r="AB3075" s="169" t="e">
        <v>#N/A</v>
      </c>
    </row>
    <row r="3076" spans="20:28" x14ac:dyDescent="0.2">
      <c r="T3076" s="130"/>
      <c r="U3076" s="151"/>
      <c r="X3076" s="170" t="str">
        <f t="shared" si="56"/>
        <v>1w</v>
      </c>
      <c r="Y3076" s="168">
        <f>_xll.qlCalendarAdvance(LiborCalendar,Y3075,X3076,"f",FALSE)</f>
        <v>60728</v>
      </c>
      <c r="Z3076" s="171">
        <f>_xll.qlInterestRateIndexValueDate(IborIndex,Y3076,Trigger)</f>
        <v>60730</v>
      </c>
      <c r="AA3076" s="172" t="e">
        <v>#N/A</v>
      </c>
      <c r="AB3076" s="169" t="e">
        <v>#N/A</v>
      </c>
    </row>
    <row r="3077" spans="20:28" x14ac:dyDescent="0.2">
      <c r="T3077" s="130"/>
      <c r="U3077" s="151"/>
      <c r="X3077" s="170" t="str">
        <f t="shared" si="56"/>
        <v>1w</v>
      </c>
      <c r="Y3077" s="168">
        <f>_xll.qlCalendarAdvance(LiborCalendar,Y3076,X3077,"f",FALSE)</f>
        <v>60735</v>
      </c>
      <c r="Z3077" s="171">
        <f>_xll.qlInterestRateIndexValueDate(IborIndex,Y3077,Trigger)</f>
        <v>60737</v>
      </c>
      <c r="AA3077" s="172" t="e">
        <v>#N/A</v>
      </c>
      <c r="AB3077" s="169" t="e">
        <v>#N/A</v>
      </c>
    </row>
    <row r="3078" spans="20:28" x14ac:dyDescent="0.2">
      <c r="T3078" s="130"/>
      <c r="U3078" s="151"/>
      <c r="X3078" s="170" t="str">
        <f t="shared" si="56"/>
        <v>1w</v>
      </c>
      <c r="Y3078" s="168">
        <f>_xll.qlCalendarAdvance(LiborCalendar,Y3077,X3078,"f",FALSE)</f>
        <v>60742</v>
      </c>
      <c r="Z3078" s="171">
        <f>_xll.qlInterestRateIndexValueDate(IborIndex,Y3078,Trigger)</f>
        <v>60744</v>
      </c>
      <c r="AA3078" s="172" t="e">
        <v>#N/A</v>
      </c>
      <c r="AB3078" s="169" t="e">
        <v>#N/A</v>
      </c>
    </row>
    <row r="3079" spans="20:28" x14ac:dyDescent="0.2">
      <c r="T3079" s="130"/>
      <c r="U3079" s="151"/>
      <c r="X3079" s="170" t="str">
        <f t="shared" si="56"/>
        <v>1w</v>
      </c>
      <c r="Y3079" s="168">
        <f>_xll.qlCalendarAdvance(LiborCalendar,Y3078,X3079,"f",FALSE)</f>
        <v>60749</v>
      </c>
      <c r="Z3079" s="171">
        <f>_xll.qlInterestRateIndexValueDate(IborIndex,Y3079,Trigger)</f>
        <v>60751</v>
      </c>
      <c r="AA3079" s="172" t="e">
        <v>#N/A</v>
      </c>
      <c r="AB3079" s="169" t="e">
        <v>#N/A</v>
      </c>
    </row>
    <row r="3080" spans="20:28" x14ac:dyDescent="0.2">
      <c r="T3080" s="130"/>
      <c r="U3080" s="151"/>
      <c r="X3080" s="170" t="str">
        <f t="shared" si="56"/>
        <v>1w</v>
      </c>
      <c r="Y3080" s="168">
        <f>_xll.qlCalendarAdvance(LiborCalendar,Y3079,X3080,"f",FALSE)</f>
        <v>60756</v>
      </c>
      <c r="Z3080" s="171">
        <f>_xll.qlInterestRateIndexValueDate(IborIndex,Y3080,Trigger)</f>
        <v>60758</v>
      </c>
      <c r="AA3080" s="172" t="e">
        <v>#N/A</v>
      </c>
      <c r="AB3080" s="169" t="e">
        <v>#N/A</v>
      </c>
    </row>
    <row r="3081" spans="20:28" x14ac:dyDescent="0.2">
      <c r="T3081" s="130"/>
      <c r="U3081" s="151"/>
      <c r="X3081" s="170" t="str">
        <f t="shared" si="56"/>
        <v>1w</v>
      </c>
      <c r="Y3081" s="168">
        <f>_xll.qlCalendarAdvance(LiborCalendar,Y3080,X3081,"f",FALSE)</f>
        <v>60763</v>
      </c>
      <c r="Z3081" s="171">
        <f>_xll.qlInterestRateIndexValueDate(IborIndex,Y3081,Trigger)</f>
        <v>60765</v>
      </c>
      <c r="AA3081" s="172" t="e">
        <v>#N/A</v>
      </c>
      <c r="AB3081" s="169" t="e">
        <v>#N/A</v>
      </c>
    </row>
    <row r="3082" spans="20:28" x14ac:dyDescent="0.2">
      <c r="T3082" s="130"/>
      <c r="U3082" s="151"/>
      <c r="X3082" s="170" t="str">
        <f t="shared" si="56"/>
        <v>1w</v>
      </c>
      <c r="Y3082" s="168">
        <f>_xll.qlCalendarAdvance(LiborCalendar,Y3081,X3082,"f",FALSE)</f>
        <v>60770</v>
      </c>
      <c r="Z3082" s="171">
        <f>_xll.qlInterestRateIndexValueDate(IborIndex,Y3082,Trigger)</f>
        <v>60773</v>
      </c>
      <c r="AA3082" s="172" t="e">
        <v>#N/A</v>
      </c>
      <c r="AB3082" s="169" t="e">
        <v>#N/A</v>
      </c>
    </row>
    <row r="3083" spans="20:28" x14ac:dyDescent="0.2">
      <c r="T3083" s="130"/>
      <c r="U3083" s="151"/>
      <c r="X3083" s="170" t="str">
        <f t="shared" si="56"/>
        <v>1w</v>
      </c>
      <c r="Y3083" s="168">
        <f>_xll.qlCalendarAdvance(LiborCalendar,Y3082,X3083,"f",FALSE)</f>
        <v>60777</v>
      </c>
      <c r="Z3083" s="171">
        <f>_xll.qlInterestRateIndexValueDate(IborIndex,Y3083,Trigger)</f>
        <v>60779</v>
      </c>
      <c r="AA3083" s="172" t="e">
        <v>#N/A</v>
      </c>
      <c r="AB3083" s="169" t="e">
        <v>#N/A</v>
      </c>
    </row>
    <row r="3084" spans="20:28" x14ac:dyDescent="0.2">
      <c r="T3084" s="130"/>
      <c r="U3084" s="151"/>
      <c r="X3084" s="170" t="str">
        <f t="shared" si="56"/>
        <v>1w</v>
      </c>
      <c r="Y3084" s="168">
        <f>_xll.qlCalendarAdvance(LiborCalendar,Y3083,X3084,"f",FALSE)</f>
        <v>60784</v>
      </c>
      <c r="Z3084" s="171">
        <f>_xll.qlInterestRateIndexValueDate(IborIndex,Y3084,Trigger)</f>
        <v>60786</v>
      </c>
      <c r="AA3084" s="172" t="e">
        <v>#N/A</v>
      </c>
      <c r="AB3084" s="169" t="e">
        <v>#N/A</v>
      </c>
    </row>
    <row r="3085" spans="20:28" x14ac:dyDescent="0.2">
      <c r="T3085" s="130"/>
      <c r="U3085" s="151"/>
      <c r="X3085" s="170" t="str">
        <f t="shared" si="56"/>
        <v>1w</v>
      </c>
      <c r="Y3085" s="168">
        <f>_xll.qlCalendarAdvance(LiborCalendar,Y3084,X3085,"f",FALSE)</f>
        <v>60791</v>
      </c>
      <c r="Z3085" s="171">
        <f>_xll.qlInterestRateIndexValueDate(IborIndex,Y3085,Trigger)</f>
        <v>60793</v>
      </c>
      <c r="AA3085" s="172" t="e">
        <v>#N/A</v>
      </c>
      <c r="AB3085" s="169" t="e">
        <v>#N/A</v>
      </c>
    </row>
    <row r="3086" spans="20:28" x14ac:dyDescent="0.2">
      <c r="T3086" s="130"/>
      <c r="U3086" s="151"/>
      <c r="X3086" s="170" t="str">
        <f t="shared" si="56"/>
        <v>1w</v>
      </c>
      <c r="Y3086" s="168">
        <f>_xll.qlCalendarAdvance(LiborCalendar,Y3085,X3086,"f",FALSE)</f>
        <v>60798</v>
      </c>
      <c r="Z3086" s="171">
        <f>_xll.qlInterestRateIndexValueDate(IborIndex,Y3086,Trigger)</f>
        <v>60800</v>
      </c>
      <c r="AA3086" s="172" t="e">
        <v>#N/A</v>
      </c>
      <c r="AB3086" s="169" t="e">
        <v>#N/A</v>
      </c>
    </row>
    <row r="3087" spans="20:28" x14ac:dyDescent="0.2">
      <c r="T3087" s="130"/>
      <c r="U3087" s="151"/>
      <c r="X3087" s="170" t="str">
        <f t="shared" si="56"/>
        <v>1w</v>
      </c>
      <c r="Y3087" s="168">
        <f>_xll.qlCalendarAdvance(LiborCalendar,Y3086,X3087,"f",FALSE)</f>
        <v>60805</v>
      </c>
      <c r="Z3087" s="171">
        <f>_xll.qlInterestRateIndexValueDate(IborIndex,Y3087,Trigger)</f>
        <v>60807</v>
      </c>
      <c r="AA3087" s="172" t="e">
        <v>#N/A</v>
      </c>
      <c r="AB3087" s="169" t="e">
        <v>#N/A</v>
      </c>
    </row>
    <row r="3088" spans="20:28" x14ac:dyDescent="0.2">
      <c r="T3088" s="130"/>
      <c r="U3088" s="151"/>
      <c r="X3088" s="170" t="str">
        <f t="shared" si="56"/>
        <v>1w</v>
      </c>
      <c r="Y3088" s="168">
        <f>_xll.qlCalendarAdvance(LiborCalendar,Y3087,X3088,"f",FALSE)</f>
        <v>60812</v>
      </c>
      <c r="Z3088" s="171">
        <f>_xll.qlInterestRateIndexValueDate(IborIndex,Y3088,Trigger)</f>
        <v>60814</v>
      </c>
      <c r="AA3088" s="172" t="e">
        <v>#N/A</v>
      </c>
      <c r="AB3088" s="169" t="e">
        <v>#N/A</v>
      </c>
    </row>
    <row r="3089" spans="20:28" x14ac:dyDescent="0.2">
      <c r="T3089" s="130"/>
      <c r="U3089" s="151"/>
      <c r="X3089" s="170" t="str">
        <f t="shared" si="56"/>
        <v>1w</v>
      </c>
      <c r="Y3089" s="168">
        <f>_xll.qlCalendarAdvance(LiborCalendar,Y3088,X3089,"f",FALSE)</f>
        <v>60819</v>
      </c>
      <c r="Z3089" s="171">
        <f>_xll.qlInterestRateIndexValueDate(IborIndex,Y3089,Trigger)</f>
        <v>60821</v>
      </c>
      <c r="AA3089" s="172" t="e">
        <v>#N/A</v>
      </c>
      <c r="AB3089" s="169" t="e">
        <v>#N/A</v>
      </c>
    </row>
    <row r="3090" spans="20:28" x14ac:dyDescent="0.2">
      <c r="T3090" s="130"/>
      <c r="U3090" s="151"/>
      <c r="X3090" s="170" t="str">
        <f t="shared" si="56"/>
        <v>1w</v>
      </c>
      <c r="Y3090" s="168">
        <f>_xll.qlCalendarAdvance(LiborCalendar,Y3089,X3090,"f",FALSE)</f>
        <v>60826</v>
      </c>
      <c r="Z3090" s="171">
        <f>_xll.qlInterestRateIndexValueDate(IborIndex,Y3090,Trigger)</f>
        <v>60828</v>
      </c>
      <c r="AA3090" s="172" t="e">
        <v>#N/A</v>
      </c>
      <c r="AB3090" s="169" t="e">
        <v>#N/A</v>
      </c>
    </row>
    <row r="3091" spans="20:28" x14ac:dyDescent="0.2">
      <c r="T3091" s="130"/>
      <c r="U3091" s="151"/>
      <c r="X3091" s="170" t="str">
        <f t="shared" si="56"/>
        <v>1w</v>
      </c>
      <c r="Y3091" s="168">
        <f>_xll.qlCalendarAdvance(LiborCalendar,Y3090,X3091,"f",FALSE)</f>
        <v>60833</v>
      </c>
      <c r="Z3091" s="171">
        <f>_xll.qlInterestRateIndexValueDate(IborIndex,Y3091,Trigger)</f>
        <v>60835</v>
      </c>
      <c r="AA3091" s="172" t="e">
        <v>#N/A</v>
      </c>
      <c r="AB3091" s="169" t="e">
        <v>#N/A</v>
      </c>
    </row>
    <row r="3092" spans="20:28" x14ac:dyDescent="0.2">
      <c r="T3092" s="130"/>
      <c r="U3092" s="151"/>
      <c r="X3092" s="170" t="str">
        <f t="shared" si="56"/>
        <v>1w</v>
      </c>
      <c r="Y3092" s="168">
        <f>_xll.qlCalendarAdvance(LiborCalendar,Y3091,X3092,"f",FALSE)</f>
        <v>60840</v>
      </c>
      <c r="Z3092" s="171">
        <f>_xll.qlInterestRateIndexValueDate(IborIndex,Y3092,Trigger)</f>
        <v>60842</v>
      </c>
      <c r="AA3092" s="172" t="e">
        <v>#N/A</v>
      </c>
      <c r="AB3092" s="169" t="e">
        <v>#N/A</v>
      </c>
    </row>
    <row r="3093" spans="20:28" x14ac:dyDescent="0.2">
      <c r="T3093" s="130"/>
      <c r="U3093" s="151"/>
      <c r="X3093" s="170" t="str">
        <f t="shared" ref="X3093:X3156" si="57">X3092</f>
        <v>1w</v>
      </c>
      <c r="Y3093" s="168">
        <f>_xll.qlCalendarAdvance(LiborCalendar,Y3092,X3093,"f",FALSE)</f>
        <v>60847</v>
      </c>
      <c r="Z3093" s="171">
        <f>_xll.qlInterestRateIndexValueDate(IborIndex,Y3093,Trigger)</f>
        <v>60849</v>
      </c>
      <c r="AA3093" s="172" t="e">
        <v>#N/A</v>
      </c>
      <c r="AB3093" s="169" t="e">
        <v>#N/A</v>
      </c>
    </row>
    <row r="3094" spans="20:28" x14ac:dyDescent="0.2">
      <c r="T3094" s="130"/>
      <c r="U3094" s="151"/>
      <c r="X3094" s="170" t="str">
        <f t="shared" si="57"/>
        <v>1w</v>
      </c>
      <c r="Y3094" s="168">
        <f>_xll.qlCalendarAdvance(LiborCalendar,Y3093,X3094,"f",FALSE)</f>
        <v>60854</v>
      </c>
      <c r="Z3094" s="171">
        <f>_xll.qlInterestRateIndexValueDate(IborIndex,Y3094,Trigger)</f>
        <v>60856</v>
      </c>
      <c r="AA3094" s="172" t="e">
        <v>#N/A</v>
      </c>
      <c r="AB3094" s="169" t="e">
        <v>#N/A</v>
      </c>
    </row>
    <row r="3095" spans="20:28" x14ac:dyDescent="0.2">
      <c r="T3095" s="130"/>
      <c r="U3095" s="151"/>
      <c r="X3095" s="170" t="str">
        <f t="shared" si="57"/>
        <v>1w</v>
      </c>
      <c r="Y3095" s="168">
        <f>_xll.qlCalendarAdvance(LiborCalendar,Y3094,X3095,"f",FALSE)</f>
        <v>60861</v>
      </c>
      <c r="Z3095" s="171">
        <f>_xll.qlInterestRateIndexValueDate(IborIndex,Y3095,Trigger)</f>
        <v>60863</v>
      </c>
      <c r="AA3095" s="172" t="e">
        <v>#N/A</v>
      </c>
      <c r="AB3095" s="169" t="e">
        <v>#N/A</v>
      </c>
    </row>
    <row r="3096" spans="20:28" x14ac:dyDescent="0.2">
      <c r="T3096" s="130"/>
      <c r="U3096" s="151"/>
      <c r="X3096" s="170" t="str">
        <f t="shared" si="57"/>
        <v>1w</v>
      </c>
      <c r="Y3096" s="168">
        <f>_xll.qlCalendarAdvance(LiborCalendar,Y3095,X3096,"f",FALSE)</f>
        <v>60868</v>
      </c>
      <c r="Z3096" s="171">
        <f>_xll.qlInterestRateIndexValueDate(IborIndex,Y3096,Trigger)</f>
        <v>60870</v>
      </c>
      <c r="AA3096" s="172" t="e">
        <v>#N/A</v>
      </c>
      <c r="AB3096" s="169" t="e">
        <v>#N/A</v>
      </c>
    </row>
    <row r="3097" spans="20:28" x14ac:dyDescent="0.2">
      <c r="T3097" s="130"/>
      <c r="U3097" s="151"/>
      <c r="X3097" s="170" t="str">
        <f t="shared" si="57"/>
        <v>1w</v>
      </c>
      <c r="Y3097" s="168">
        <f>_xll.qlCalendarAdvance(LiborCalendar,Y3096,X3097,"f",FALSE)</f>
        <v>60875</v>
      </c>
      <c r="Z3097" s="171">
        <f>_xll.qlInterestRateIndexValueDate(IborIndex,Y3097,Trigger)</f>
        <v>60877</v>
      </c>
      <c r="AA3097" s="172" t="e">
        <v>#N/A</v>
      </c>
      <c r="AB3097" s="169" t="e">
        <v>#N/A</v>
      </c>
    </row>
    <row r="3098" spans="20:28" x14ac:dyDescent="0.2">
      <c r="T3098" s="130"/>
      <c r="U3098" s="151"/>
      <c r="X3098" s="170" t="str">
        <f t="shared" si="57"/>
        <v>1w</v>
      </c>
      <c r="Y3098" s="168">
        <f>_xll.qlCalendarAdvance(LiborCalendar,Y3097,X3098,"f",FALSE)</f>
        <v>60882</v>
      </c>
      <c r="Z3098" s="171">
        <f>_xll.qlInterestRateIndexValueDate(IborIndex,Y3098,Trigger)</f>
        <v>60884</v>
      </c>
      <c r="AA3098" s="172" t="e">
        <v>#N/A</v>
      </c>
      <c r="AB3098" s="169" t="e">
        <v>#N/A</v>
      </c>
    </row>
    <row r="3099" spans="20:28" x14ac:dyDescent="0.2">
      <c r="T3099" s="130"/>
      <c r="U3099" s="151"/>
      <c r="X3099" s="170" t="str">
        <f t="shared" si="57"/>
        <v>1w</v>
      </c>
      <c r="Y3099" s="168">
        <f>_xll.qlCalendarAdvance(LiborCalendar,Y3098,X3099,"f",FALSE)</f>
        <v>60889</v>
      </c>
      <c r="Z3099" s="171">
        <f>_xll.qlInterestRateIndexValueDate(IborIndex,Y3099,Trigger)</f>
        <v>60891</v>
      </c>
      <c r="AA3099" s="172" t="e">
        <v>#N/A</v>
      </c>
      <c r="AB3099" s="169" t="e">
        <v>#N/A</v>
      </c>
    </row>
    <row r="3100" spans="20:28" x14ac:dyDescent="0.2">
      <c r="T3100" s="130"/>
      <c r="U3100" s="151"/>
      <c r="X3100" s="170" t="str">
        <f t="shared" si="57"/>
        <v>1w</v>
      </c>
      <c r="Y3100" s="168">
        <f>_xll.qlCalendarAdvance(LiborCalendar,Y3099,X3100,"f",FALSE)</f>
        <v>60896</v>
      </c>
      <c r="Z3100" s="171">
        <f>_xll.qlInterestRateIndexValueDate(IborIndex,Y3100,Trigger)</f>
        <v>60898</v>
      </c>
      <c r="AA3100" s="172" t="e">
        <v>#N/A</v>
      </c>
      <c r="AB3100" s="169" t="e">
        <v>#N/A</v>
      </c>
    </row>
    <row r="3101" spans="20:28" x14ac:dyDescent="0.2">
      <c r="T3101" s="130"/>
      <c r="U3101" s="151"/>
      <c r="X3101" s="170" t="str">
        <f t="shared" si="57"/>
        <v>1w</v>
      </c>
      <c r="Y3101" s="168">
        <f>_xll.qlCalendarAdvance(LiborCalendar,Y3100,X3101,"f",FALSE)</f>
        <v>60903</v>
      </c>
      <c r="Z3101" s="171">
        <f>_xll.qlInterestRateIndexValueDate(IborIndex,Y3101,Trigger)</f>
        <v>60905</v>
      </c>
      <c r="AA3101" s="172" t="e">
        <v>#N/A</v>
      </c>
      <c r="AB3101" s="169" t="e">
        <v>#N/A</v>
      </c>
    </row>
    <row r="3102" spans="20:28" x14ac:dyDescent="0.2">
      <c r="T3102" s="130"/>
      <c r="U3102" s="151"/>
      <c r="X3102" s="170" t="str">
        <f t="shared" si="57"/>
        <v>1w</v>
      </c>
      <c r="Y3102" s="168">
        <f>_xll.qlCalendarAdvance(LiborCalendar,Y3101,X3102,"f",FALSE)</f>
        <v>60910</v>
      </c>
      <c r="Z3102" s="171">
        <f>_xll.qlInterestRateIndexValueDate(IborIndex,Y3102,Trigger)</f>
        <v>60912</v>
      </c>
      <c r="AA3102" s="172" t="e">
        <v>#N/A</v>
      </c>
      <c r="AB3102" s="169" t="e">
        <v>#N/A</v>
      </c>
    </row>
    <row r="3103" spans="20:28" x14ac:dyDescent="0.2">
      <c r="T3103" s="130"/>
      <c r="U3103" s="151"/>
      <c r="X3103" s="170" t="str">
        <f t="shared" si="57"/>
        <v>1w</v>
      </c>
      <c r="Y3103" s="168">
        <f>_xll.qlCalendarAdvance(LiborCalendar,Y3102,X3103,"f",FALSE)</f>
        <v>60917</v>
      </c>
      <c r="Z3103" s="171">
        <f>_xll.qlInterestRateIndexValueDate(IborIndex,Y3103,Trigger)</f>
        <v>60919</v>
      </c>
      <c r="AA3103" s="172" t="e">
        <v>#N/A</v>
      </c>
      <c r="AB3103" s="169" t="e">
        <v>#N/A</v>
      </c>
    </row>
    <row r="3104" spans="20:28" x14ac:dyDescent="0.2">
      <c r="T3104" s="130"/>
      <c r="U3104" s="151"/>
      <c r="X3104" s="170" t="str">
        <f t="shared" si="57"/>
        <v>1w</v>
      </c>
      <c r="Y3104" s="168">
        <f>_xll.qlCalendarAdvance(LiborCalendar,Y3103,X3104,"f",FALSE)</f>
        <v>60924</v>
      </c>
      <c r="Z3104" s="171">
        <f>_xll.qlInterestRateIndexValueDate(IborIndex,Y3104,Trigger)</f>
        <v>60926</v>
      </c>
      <c r="AA3104" s="172" t="e">
        <v>#N/A</v>
      </c>
      <c r="AB3104" s="169" t="e">
        <v>#N/A</v>
      </c>
    </row>
    <row r="3105" spans="20:28" x14ac:dyDescent="0.2">
      <c r="T3105" s="130"/>
      <c r="U3105" s="151"/>
      <c r="X3105" s="170" t="str">
        <f t="shared" si="57"/>
        <v>1w</v>
      </c>
      <c r="Y3105" s="168">
        <f>_xll.qlCalendarAdvance(LiborCalendar,Y3104,X3105,"f",FALSE)</f>
        <v>60931</v>
      </c>
      <c r="Z3105" s="171">
        <f>_xll.qlInterestRateIndexValueDate(IborIndex,Y3105,Trigger)</f>
        <v>60933</v>
      </c>
      <c r="AA3105" s="172" t="e">
        <v>#N/A</v>
      </c>
      <c r="AB3105" s="169" t="e">
        <v>#N/A</v>
      </c>
    </row>
    <row r="3106" spans="20:28" x14ac:dyDescent="0.2">
      <c r="T3106" s="130"/>
      <c r="U3106" s="151"/>
      <c r="X3106" s="170" t="str">
        <f t="shared" si="57"/>
        <v>1w</v>
      </c>
      <c r="Y3106" s="168">
        <f>_xll.qlCalendarAdvance(LiborCalendar,Y3105,X3106,"f",FALSE)</f>
        <v>60938</v>
      </c>
      <c r="Z3106" s="171">
        <f>_xll.qlInterestRateIndexValueDate(IborIndex,Y3106,Trigger)</f>
        <v>60940</v>
      </c>
      <c r="AA3106" s="172" t="e">
        <v>#N/A</v>
      </c>
      <c r="AB3106" s="169" t="e">
        <v>#N/A</v>
      </c>
    </row>
    <row r="3107" spans="20:28" x14ac:dyDescent="0.2">
      <c r="T3107" s="130"/>
      <c r="U3107" s="151"/>
      <c r="X3107" s="170" t="str">
        <f t="shared" si="57"/>
        <v>1w</v>
      </c>
      <c r="Y3107" s="168">
        <f>_xll.qlCalendarAdvance(LiborCalendar,Y3106,X3107,"f",FALSE)</f>
        <v>60945</v>
      </c>
      <c r="Z3107" s="171">
        <f>_xll.qlInterestRateIndexValueDate(IborIndex,Y3107,Trigger)</f>
        <v>60947</v>
      </c>
      <c r="AA3107" s="172" t="e">
        <v>#N/A</v>
      </c>
      <c r="AB3107" s="169" t="e">
        <v>#N/A</v>
      </c>
    </row>
    <row r="3108" spans="20:28" x14ac:dyDescent="0.2">
      <c r="T3108" s="130"/>
      <c r="U3108" s="151"/>
      <c r="X3108" s="170" t="str">
        <f t="shared" si="57"/>
        <v>1w</v>
      </c>
      <c r="Y3108" s="168">
        <f>_xll.qlCalendarAdvance(LiborCalendar,Y3107,X3108,"f",FALSE)</f>
        <v>60952</v>
      </c>
      <c r="Z3108" s="171">
        <f>_xll.qlInterestRateIndexValueDate(IborIndex,Y3108,Trigger)</f>
        <v>60954</v>
      </c>
      <c r="AA3108" s="172" t="e">
        <v>#N/A</v>
      </c>
      <c r="AB3108" s="169" t="e">
        <v>#N/A</v>
      </c>
    </row>
    <row r="3109" spans="20:28" x14ac:dyDescent="0.2">
      <c r="T3109" s="130"/>
      <c r="U3109" s="151"/>
      <c r="X3109" s="170" t="str">
        <f t="shared" si="57"/>
        <v>1w</v>
      </c>
      <c r="Y3109" s="168">
        <f>_xll.qlCalendarAdvance(LiborCalendar,Y3108,X3109,"f",FALSE)</f>
        <v>60959</v>
      </c>
      <c r="Z3109" s="171">
        <f>_xll.qlInterestRateIndexValueDate(IborIndex,Y3109,Trigger)</f>
        <v>60961</v>
      </c>
      <c r="AA3109" s="172" t="e">
        <v>#N/A</v>
      </c>
      <c r="AB3109" s="169" t="e">
        <v>#N/A</v>
      </c>
    </row>
    <row r="3110" spans="20:28" x14ac:dyDescent="0.2">
      <c r="T3110" s="130"/>
      <c r="U3110" s="151"/>
      <c r="X3110" s="170" t="str">
        <f t="shared" si="57"/>
        <v>1w</v>
      </c>
      <c r="Y3110" s="168">
        <f>_xll.qlCalendarAdvance(LiborCalendar,Y3109,X3110,"f",FALSE)</f>
        <v>60966</v>
      </c>
      <c r="Z3110" s="171">
        <f>_xll.qlInterestRateIndexValueDate(IborIndex,Y3110,Trigger)</f>
        <v>60968</v>
      </c>
      <c r="AA3110" s="172" t="e">
        <v>#N/A</v>
      </c>
      <c r="AB3110" s="169" t="e">
        <v>#N/A</v>
      </c>
    </row>
    <row r="3111" spans="20:28" x14ac:dyDescent="0.2">
      <c r="T3111" s="130"/>
      <c r="U3111" s="151"/>
      <c r="X3111" s="170" t="str">
        <f t="shared" si="57"/>
        <v>1w</v>
      </c>
      <c r="Y3111" s="168">
        <f>_xll.qlCalendarAdvance(LiborCalendar,Y3110,X3111,"f",FALSE)</f>
        <v>60973</v>
      </c>
      <c r="Z3111" s="171">
        <f>_xll.qlInterestRateIndexValueDate(IborIndex,Y3111,Trigger)</f>
        <v>60975</v>
      </c>
      <c r="AA3111" s="172" t="e">
        <v>#N/A</v>
      </c>
      <c r="AB3111" s="169" t="e">
        <v>#N/A</v>
      </c>
    </row>
    <row r="3112" spans="20:28" x14ac:dyDescent="0.2">
      <c r="T3112" s="130"/>
      <c r="U3112" s="151"/>
      <c r="X3112" s="170" t="str">
        <f t="shared" si="57"/>
        <v>1w</v>
      </c>
      <c r="Y3112" s="168">
        <f>_xll.qlCalendarAdvance(LiborCalendar,Y3111,X3112,"f",FALSE)</f>
        <v>60980</v>
      </c>
      <c r="Z3112" s="171">
        <f>_xll.qlInterestRateIndexValueDate(IborIndex,Y3112,Trigger)</f>
        <v>60982</v>
      </c>
      <c r="AA3112" s="172" t="e">
        <v>#N/A</v>
      </c>
      <c r="AB3112" s="169" t="e">
        <v>#N/A</v>
      </c>
    </row>
    <row r="3113" spans="20:28" x14ac:dyDescent="0.2">
      <c r="T3113" s="130"/>
      <c r="U3113" s="151"/>
      <c r="X3113" s="170" t="str">
        <f t="shared" si="57"/>
        <v>1w</v>
      </c>
      <c r="Y3113" s="168">
        <f>_xll.qlCalendarAdvance(LiborCalendar,Y3112,X3113,"f",FALSE)</f>
        <v>60987</v>
      </c>
      <c r="Z3113" s="171">
        <f>_xll.qlInterestRateIndexValueDate(IborIndex,Y3113,Trigger)</f>
        <v>60989</v>
      </c>
      <c r="AA3113" s="172" t="e">
        <v>#N/A</v>
      </c>
      <c r="AB3113" s="169" t="e">
        <v>#N/A</v>
      </c>
    </row>
    <row r="3114" spans="20:28" x14ac:dyDescent="0.2">
      <c r="T3114" s="130"/>
      <c r="U3114" s="151"/>
      <c r="X3114" s="170" t="str">
        <f t="shared" si="57"/>
        <v>1w</v>
      </c>
      <c r="Y3114" s="168">
        <f>_xll.qlCalendarAdvance(LiborCalendar,Y3113,X3114,"f",FALSE)</f>
        <v>60995</v>
      </c>
      <c r="Z3114" s="171">
        <f>_xll.qlInterestRateIndexValueDate(IborIndex,Y3114,Trigger)</f>
        <v>60997</v>
      </c>
      <c r="AA3114" s="172" t="e">
        <v>#N/A</v>
      </c>
      <c r="AB3114" s="169" t="e">
        <v>#N/A</v>
      </c>
    </row>
    <row r="3115" spans="20:28" x14ac:dyDescent="0.2">
      <c r="T3115" s="130"/>
      <c r="U3115" s="151"/>
      <c r="X3115" s="170" t="str">
        <f t="shared" si="57"/>
        <v>1w</v>
      </c>
      <c r="Y3115" s="168">
        <f>_xll.qlCalendarAdvance(LiborCalendar,Y3114,X3115,"f",FALSE)</f>
        <v>61002</v>
      </c>
      <c r="Z3115" s="171">
        <f>_xll.qlInterestRateIndexValueDate(IborIndex,Y3115,Trigger)</f>
        <v>61004</v>
      </c>
      <c r="AA3115" s="172" t="e">
        <v>#N/A</v>
      </c>
      <c r="AB3115" s="169" t="e">
        <v>#N/A</v>
      </c>
    </row>
    <row r="3116" spans="20:28" x14ac:dyDescent="0.2">
      <c r="T3116" s="130"/>
      <c r="U3116" s="151"/>
      <c r="X3116" s="170" t="str">
        <f t="shared" si="57"/>
        <v>1w</v>
      </c>
      <c r="Y3116" s="168">
        <f>_xll.qlCalendarAdvance(LiborCalendar,Y3115,X3116,"f",FALSE)</f>
        <v>61009</v>
      </c>
      <c r="Z3116" s="171">
        <f>_xll.qlInterestRateIndexValueDate(IborIndex,Y3116,Trigger)</f>
        <v>61011</v>
      </c>
      <c r="AA3116" s="172" t="e">
        <v>#N/A</v>
      </c>
      <c r="AB3116" s="169" t="e">
        <v>#N/A</v>
      </c>
    </row>
    <row r="3117" spans="20:28" x14ac:dyDescent="0.2">
      <c r="T3117" s="130"/>
      <c r="U3117" s="151"/>
      <c r="X3117" s="170" t="str">
        <f t="shared" si="57"/>
        <v>1w</v>
      </c>
      <c r="Y3117" s="168">
        <f>_xll.qlCalendarAdvance(LiborCalendar,Y3116,X3117,"f",FALSE)</f>
        <v>61016</v>
      </c>
      <c r="Z3117" s="171">
        <f>_xll.qlInterestRateIndexValueDate(IborIndex,Y3117,Trigger)</f>
        <v>61018</v>
      </c>
      <c r="AA3117" s="172" t="e">
        <v>#N/A</v>
      </c>
      <c r="AB3117" s="169" t="e">
        <v>#N/A</v>
      </c>
    </row>
    <row r="3118" spans="20:28" x14ac:dyDescent="0.2">
      <c r="T3118" s="130"/>
      <c r="U3118" s="151"/>
      <c r="X3118" s="170" t="str">
        <f t="shared" si="57"/>
        <v>1w</v>
      </c>
      <c r="Y3118" s="168">
        <f>_xll.qlCalendarAdvance(LiborCalendar,Y3117,X3118,"f",FALSE)</f>
        <v>61023</v>
      </c>
      <c r="Z3118" s="171">
        <f>_xll.qlInterestRateIndexValueDate(IborIndex,Y3118,Trigger)</f>
        <v>61025</v>
      </c>
      <c r="AA3118" s="172" t="e">
        <v>#N/A</v>
      </c>
      <c r="AB3118" s="169" t="e">
        <v>#N/A</v>
      </c>
    </row>
    <row r="3119" spans="20:28" x14ac:dyDescent="0.2">
      <c r="T3119" s="130"/>
      <c r="U3119" s="151"/>
      <c r="X3119" s="170" t="str">
        <f t="shared" si="57"/>
        <v>1w</v>
      </c>
      <c r="Y3119" s="168">
        <f>_xll.qlCalendarAdvance(LiborCalendar,Y3118,X3119,"f",FALSE)</f>
        <v>61030</v>
      </c>
      <c r="Z3119" s="171">
        <f>_xll.qlInterestRateIndexValueDate(IborIndex,Y3119,Trigger)</f>
        <v>61032</v>
      </c>
      <c r="AA3119" s="172" t="e">
        <v>#N/A</v>
      </c>
      <c r="AB3119" s="169" t="e">
        <v>#N/A</v>
      </c>
    </row>
    <row r="3120" spans="20:28" x14ac:dyDescent="0.2">
      <c r="T3120" s="130"/>
      <c r="U3120" s="151"/>
      <c r="X3120" s="170" t="str">
        <f t="shared" si="57"/>
        <v>1w</v>
      </c>
      <c r="Y3120" s="168">
        <f>_xll.qlCalendarAdvance(LiborCalendar,Y3119,X3120,"f",FALSE)</f>
        <v>61037</v>
      </c>
      <c r="Z3120" s="171">
        <f>_xll.qlInterestRateIndexValueDate(IborIndex,Y3120,Trigger)</f>
        <v>61039</v>
      </c>
      <c r="AA3120" s="172" t="e">
        <v>#N/A</v>
      </c>
      <c r="AB3120" s="169" t="e">
        <v>#N/A</v>
      </c>
    </row>
    <row r="3121" spans="20:28" x14ac:dyDescent="0.2">
      <c r="T3121" s="130"/>
      <c r="U3121" s="151"/>
      <c r="X3121" s="170" t="str">
        <f t="shared" si="57"/>
        <v>1w</v>
      </c>
      <c r="Y3121" s="168">
        <f>_xll.qlCalendarAdvance(LiborCalendar,Y3120,X3121,"f",FALSE)</f>
        <v>61044</v>
      </c>
      <c r="Z3121" s="171">
        <f>_xll.qlInterestRateIndexValueDate(IborIndex,Y3121,Trigger)</f>
        <v>61046</v>
      </c>
      <c r="AA3121" s="172" t="e">
        <v>#N/A</v>
      </c>
      <c r="AB3121" s="169" t="e">
        <v>#N/A</v>
      </c>
    </row>
    <row r="3122" spans="20:28" x14ac:dyDescent="0.2">
      <c r="T3122" s="130"/>
      <c r="U3122" s="151"/>
      <c r="X3122" s="170" t="str">
        <f t="shared" si="57"/>
        <v>1w</v>
      </c>
      <c r="Y3122" s="168">
        <f>_xll.qlCalendarAdvance(LiborCalendar,Y3121,X3122,"f",FALSE)</f>
        <v>61051</v>
      </c>
      <c r="Z3122" s="171">
        <f>_xll.qlInterestRateIndexValueDate(IborIndex,Y3122,Trigger)</f>
        <v>61053</v>
      </c>
      <c r="AA3122" s="172" t="e">
        <v>#N/A</v>
      </c>
      <c r="AB3122" s="169" t="e">
        <v>#N/A</v>
      </c>
    </row>
    <row r="3123" spans="20:28" x14ac:dyDescent="0.2">
      <c r="T3123" s="130"/>
      <c r="U3123" s="151"/>
      <c r="X3123" s="170" t="str">
        <f t="shared" si="57"/>
        <v>1w</v>
      </c>
      <c r="Y3123" s="168">
        <f>_xll.qlCalendarAdvance(LiborCalendar,Y3122,X3123,"f",FALSE)</f>
        <v>61058</v>
      </c>
      <c r="Z3123" s="171">
        <f>_xll.qlInterestRateIndexValueDate(IborIndex,Y3123,Trigger)</f>
        <v>61060</v>
      </c>
      <c r="AA3123" s="172" t="e">
        <v>#N/A</v>
      </c>
      <c r="AB3123" s="169" t="e">
        <v>#N/A</v>
      </c>
    </row>
    <row r="3124" spans="20:28" x14ac:dyDescent="0.2">
      <c r="T3124" s="130"/>
      <c r="U3124" s="151"/>
      <c r="X3124" s="170" t="str">
        <f t="shared" si="57"/>
        <v>1w</v>
      </c>
      <c r="Y3124" s="168">
        <f>_xll.qlCalendarAdvance(LiborCalendar,Y3123,X3124,"f",FALSE)</f>
        <v>61065</v>
      </c>
      <c r="Z3124" s="171">
        <f>_xll.qlInterestRateIndexValueDate(IborIndex,Y3124,Trigger)</f>
        <v>61067</v>
      </c>
      <c r="AA3124" s="172" t="e">
        <v>#N/A</v>
      </c>
      <c r="AB3124" s="169" t="e">
        <v>#N/A</v>
      </c>
    </row>
    <row r="3125" spans="20:28" x14ac:dyDescent="0.2">
      <c r="T3125" s="130"/>
      <c r="U3125" s="151"/>
      <c r="X3125" s="170" t="str">
        <f t="shared" si="57"/>
        <v>1w</v>
      </c>
      <c r="Y3125" s="168">
        <f>_xll.qlCalendarAdvance(LiborCalendar,Y3124,X3125,"f",FALSE)</f>
        <v>61072</v>
      </c>
      <c r="Z3125" s="171">
        <f>_xll.qlInterestRateIndexValueDate(IborIndex,Y3125,Trigger)</f>
        <v>61074</v>
      </c>
      <c r="AA3125" s="172" t="e">
        <v>#N/A</v>
      </c>
      <c r="AB3125" s="169" t="e">
        <v>#N/A</v>
      </c>
    </row>
    <row r="3126" spans="20:28" x14ac:dyDescent="0.2">
      <c r="T3126" s="130"/>
      <c r="U3126" s="151"/>
      <c r="X3126" s="170" t="str">
        <f t="shared" si="57"/>
        <v>1w</v>
      </c>
      <c r="Y3126" s="168">
        <f>_xll.qlCalendarAdvance(LiborCalendar,Y3125,X3126,"f",FALSE)</f>
        <v>61079</v>
      </c>
      <c r="Z3126" s="171">
        <f>_xll.qlInterestRateIndexValueDate(IborIndex,Y3126,Trigger)</f>
        <v>61081</v>
      </c>
      <c r="AA3126" s="172" t="e">
        <v>#N/A</v>
      </c>
      <c r="AB3126" s="169" t="e">
        <v>#N/A</v>
      </c>
    </row>
    <row r="3127" spans="20:28" x14ac:dyDescent="0.2">
      <c r="T3127" s="130"/>
      <c r="U3127" s="151"/>
      <c r="X3127" s="170" t="str">
        <f t="shared" si="57"/>
        <v>1w</v>
      </c>
      <c r="Y3127" s="168">
        <f>_xll.qlCalendarAdvance(LiborCalendar,Y3126,X3127,"f",FALSE)</f>
        <v>61086</v>
      </c>
      <c r="Z3127" s="171">
        <f>_xll.qlInterestRateIndexValueDate(IborIndex,Y3127,Trigger)</f>
        <v>61092</v>
      </c>
      <c r="AA3127" s="172" t="e">
        <v>#N/A</v>
      </c>
      <c r="AB3127" s="169" t="e">
        <v>#N/A</v>
      </c>
    </row>
    <row r="3128" spans="20:28" x14ac:dyDescent="0.2">
      <c r="T3128" s="130"/>
      <c r="U3128" s="151"/>
      <c r="X3128" s="170" t="str">
        <f t="shared" si="57"/>
        <v>1w</v>
      </c>
      <c r="Y3128" s="168">
        <f>_xll.qlCalendarAdvance(LiborCalendar,Y3127,X3128,"f",FALSE)</f>
        <v>61093</v>
      </c>
      <c r="Z3128" s="171">
        <f>_xll.qlInterestRateIndexValueDate(IborIndex,Y3128,Trigger)</f>
        <v>61095</v>
      </c>
      <c r="AA3128" s="172" t="e">
        <v>#N/A</v>
      </c>
      <c r="AB3128" s="169" t="e">
        <v>#N/A</v>
      </c>
    </row>
    <row r="3129" spans="20:28" x14ac:dyDescent="0.2">
      <c r="T3129" s="130"/>
      <c r="U3129" s="151"/>
      <c r="X3129" s="170" t="str">
        <f t="shared" si="57"/>
        <v>1w</v>
      </c>
      <c r="Y3129" s="168">
        <f>_xll.qlCalendarAdvance(LiborCalendar,Y3128,X3129,"f",FALSE)</f>
        <v>61100</v>
      </c>
      <c r="Z3129" s="171">
        <f>_xll.qlInterestRateIndexValueDate(IborIndex,Y3129,Trigger)</f>
        <v>61102</v>
      </c>
      <c r="AA3129" s="172" t="e">
        <v>#N/A</v>
      </c>
      <c r="AB3129" s="169" t="e">
        <v>#N/A</v>
      </c>
    </row>
    <row r="3130" spans="20:28" x14ac:dyDescent="0.2">
      <c r="T3130" s="130"/>
      <c r="U3130" s="151"/>
      <c r="X3130" s="170" t="str">
        <f t="shared" si="57"/>
        <v>1w</v>
      </c>
      <c r="Y3130" s="168">
        <f>_xll.qlCalendarAdvance(LiborCalendar,Y3129,X3130,"f",FALSE)</f>
        <v>61107</v>
      </c>
      <c r="Z3130" s="171">
        <f>_xll.qlInterestRateIndexValueDate(IborIndex,Y3130,Trigger)</f>
        <v>61109</v>
      </c>
      <c r="AA3130" s="172" t="e">
        <v>#N/A</v>
      </c>
      <c r="AB3130" s="169" t="e">
        <v>#N/A</v>
      </c>
    </row>
    <row r="3131" spans="20:28" x14ac:dyDescent="0.2">
      <c r="T3131" s="130"/>
      <c r="U3131" s="151"/>
      <c r="X3131" s="170" t="str">
        <f t="shared" si="57"/>
        <v>1w</v>
      </c>
      <c r="Y3131" s="168">
        <f>_xll.qlCalendarAdvance(LiborCalendar,Y3130,X3131,"f",FALSE)</f>
        <v>61114</v>
      </c>
      <c r="Z3131" s="171">
        <f>_xll.qlInterestRateIndexValueDate(IborIndex,Y3131,Trigger)</f>
        <v>61116</v>
      </c>
      <c r="AA3131" s="172" t="e">
        <v>#N/A</v>
      </c>
      <c r="AB3131" s="169" t="e">
        <v>#N/A</v>
      </c>
    </row>
    <row r="3132" spans="20:28" x14ac:dyDescent="0.2">
      <c r="T3132" s="130"/>
      <c r="U3132" s="151"/>
      <c r="X3132" s="170" t="str">
        <f t="shared" si="57"/>
        <v>1w</v>
      </c>
      <c r="Y3132" s="168">
        <f>_xll.qlCalendarAdvance(LiborCalendar,Y3131,X3132,"f",FALSE)</f>
        <v>61121</v>
      </c>
      <c r="Z3132" s="171">
        <f>_xll.qlInterestRateIndexValueDate(IborIndex,Y3132,Trigger)</f>
        <v>61123</v>
      </c>
      <c r="AA3132" s="172" t="e">
        <v>#N/A</v>
      </c>
      <c r="AB3132" s="169" t="e">
        <v>#N/A</v>
      </c>
    </row>
    <row r="3133" spans="20:28" x14ac:dyDescent="0.2">
      <c r="T3133" s="130"/>
      <c r="U3133" s="151"/>
      <c r="X3133" s="170" t="str">
        <f t="shared" si="57"/>
        <v>1w</v>
      </c>
      <c r="Y3133" s="168">
        <f>_xll.qlCalendarAdvance(LiborCalendar,Y3132,X3133,"f",FALSE)</f>
        <v>61128</v>
      </c>
      <c r="Z3133" s="171">
        <f>_xll.qlInterestRateIndexValueDate(IborIndex,Y3133,Trigger)</f>
        <v>61130</v>
      </c>
      <c r="AA3133" s="172" t="e">
        <v>#N/A</v>
      </c>
      <c r="AB3133" s="169" t="e">
        <v>#N/A</v>
      </c>
    </row>
    <row r="3134" spans="20:28" x14ac:dyDescent="0.2">
      <c r="T3134" s="130"/>
      <c r="U3134" s="151"/>
      <c r="X3134" s="170" t="str">
        <f t="shared" si="57"/>
        <v>1w</v>
      </c>
      <c r="Y3134" s="168">
        <f>_xll.qlCalendarAdvance(LiborCalendar,Y3133,X3134,"f",FALSE)</f>
        <v>61135</v>
      </c>
      <c r="Z3134" s="171">
        <f>_xll.qlInterestRateIndexValueDate(IborIndex,Y3134,Trigger)</f>
        <v>61137</v>
      </c>
      <c r="AA3134" s="172" t="e">
        <v>#N/A</v>
      </c>
      <c r="AB3134" s="169" t="e">
        <v>#N/A</v>
      </c>
    </row>
    <row r="3135" spans="20:28" x14ac:dyDescent="0.2">
      <c r="T3135" s="130"/>
      <c r="U3135" s="151"/>
      <c r="X3135" s="170" t="str">
        <f t="shared" si="57"/>
        <v>1w</v>
      </c>
      <c r="Y3135" s="168">
        <f>_xll.qlCalendarAdvance(LiborCalendar,Y3134,X3135,"f",FALSE)</f>
        <v>61142</v>
      </c>
      <c r="Z3135" s="171">
        <f>_xll.qlInterestRateIndexValueDate(IborIndex,Y3135,Trigger)</f>
        <v>61144</v>
      </c>
      <c r="AA3135" s="172" t="e">
        <v>#N/A</v>
      </c>
      <c r="AB3135" s="169" t="e">
        <v>#N/A</v>
      </c>
    </row>
    <row r="3136" spans="20:28" x14ac:dyDescent="0.2">
      <c r="T3136" s="130"/>
      <c r="U3136" s="151"/>
      <c r="X3136" s="170" t="str">
        <f t="shared" si="57"/>
        <v>1w</v>
      </c>
      <c r="Y3136" s="168">
        <f>_xll.qlCalendarAdvance(LiborCalendar,Y3135,X3136,"f",FALSE)</f>
        <v>61149</v>
      </c>
      <c r="Z3136" s="171">
        <f>_xll.qlInterestRateIndexValueDate(IborIndex,Y3136,Trigger)</f>
        <v>61151</v>
      </c>
      <c r="AA3136" s="172" t="e">
        <v>#N/A</v>
      </c>
      <c r="AB3136" s="169" t="e">
        <v>#N/A</v>
      </c>
    </row>
    <row r="3137" spans="20:28" x14ac:dyDescent="0.2">
      <c r="T3137" s="130"/>
      <c r="U3137" s="151"/>
      <c r="X3137" s="170" t="str">
        <f t="shared" si="57"/>
        <v>1w</v>
      </c>
      <c r="Y3137" s="168">
        <f>_xll.qlCalendarAdvance(LiborCalendar,Y3136,X3137,"f",FALSE)</f>
        <v>61156</v>
      </c>
      <c r="Z3137" s="171">
        <f>_xll.qlInterestRateIndexValueDate(IborIndex,Y3137,Trigger)</f>
        <v>61158</v>
      </c>
      <c r="AA3137" s="172" t="e">
        <v>#N/A</v>
      </c>
      <c r="AB3137" s="169" t="e">
        <v>#N/A</v>
      </c>
    </row>
    <row r="3138" spans="20:28" x14ac:dyDescent="0.2">
      <c r="T3138" s="130"/>
      <c r="U3138" s="151"/>
      <c r="X3138" s="170" t="str">
        <f t="shared" si="57"/>
        <v>1w</v>
      </c>
      <c r="Y3138" s="168">
        <f>_xll.qlCalendarAdvance(LiborCalendar,Y3137,X3138,"f",FALSE)</f>
        <v>61163</v>
      </c>
      <c r="Z3138" s="171">
        <f>_xll.qlInterestRateIndexValueDate(IborIndex,Y3138,Trigger)</f>
        <v>61165</v>
      </c>
      <c r="AA3138" s="172" t="e">
        <v>#N/A</v>
      </c>
      <c r="AB3138" s="169" t="e">
        <v>#N/A</v>
      </c>
    </row>
    <row r="3139" spans="20:28" x14ac:dyDescent="0.2">
      <c r="T3139" s="130"/>
      <c r="U3139" s="151"/>
      <c r="X3139" s="170" t="str">
        <f t="shared" si="57"/>
        <v>1w</v>
      </c>
      <c r="Y3139" s="168">
        <f>_xll.qlCalendarAdvance(LiborCalendar,Y3138,X3139,"f",FALSE)</f>
        <v>61170</v>
      </c>
      <c r="Z3139" s="171">
        <f>_xll.qlInterestRateIndexValueDate(IborIndex,Y3139,Trigger)</f>
        <v>61172</v>
      </c>
      <c r="AA3139" s="172" t="e">
        <v>#N/A</v>
      </c>
      <c r="AB3139" s="169" t="e">
        <v>#N/A</v>
      </c>
    </row>
    <row r="3140" spans="20:28" x14ac:dyDescent="0.2">
      <c r="T3140" s="130"/>
      <c r="U3140" s="151"/>
      <c r="X3140" s="170" t="str">
        <f t="shared" si="57"/>
        <v>1w</v>
      </c>
      <c r="Y3140" s="168">
        <f>_xll.qlCalendarAdvance(LiborCalendar,Y3139,X3140,"f",FALSE)</f>
        <v>61177</v>
      </c>
      <c r="Z3140" s="171">
        <f>_xll.qlInterestRateIndexValueDate(IborIndex,Y3140,Trigger)</f>
        <v>61179</v>
      </c>
      <c r="AA3140" s="172" t="e">
        <v>#N/A</v>
      </c>
      <c r="AB3140" s="169" t="e">
        <v>#N/A</v>
      </c>
    </row>
    <row r="3141" spans="20:28" x14ac:dyDescent="0.2">
      <c r="T3141" s="130"/>
      <c r="U3141" s="151"/>
      <c r="X3141" s="170" t="str">
        <f t="shared" si="57"/>
        <v>1w</v>
      </c>
      <c r="Y3141" s="168">
        <f>_xll.qlCalendarAdvance(LiborCalendar,Y3140,X3141,"f",FALSE)</f>
        <v>61184</v>
      </c>
      <c r="Z3141" s="171">
        <f>_xll.qlInterestRateIndexValueDate(IborIndex,Y3141,Trigger)</f>
        <v>61186</v>
      </c>
      <c r="AA3141" s="172" t="e">
        <v>#N/A</v>
      </c>
      <c r="AB3141" s="169" t="e">
        <v>#N/A</v>
      </c>
    </row>
    <row r="3142" spans="20:28" x14ac:dyDescent="0.2">
      <c r="T3142" s="130"/>
      <c r="U3142" s="151"/>
      <c r="X3142" s="170" t="str">
        <f t="shared" si="57"/>
        <v>1w</v>
      </c>
      <c r="Y3142" s="168">
        <f>_xll.qlCalendarAdvance(LiborCalendar,Y3141,X3142,"f",FALSE)</f>
        <v>61191</v>
      </c>
      <c r="Z3142" s="171">
        <f>_xll.qlInterestRateIndexValueDate(IborIndex,Y3142,Trigger)</f>
        <v>61193</v>
      </c>
      <c r="AA3142" s="172" t="e">
        <v>#N/A</v>
      </c>
      <c r="AB3142" s="169" t="e">
        <v>#N/A</v>
      </c>
    </row>
    <row r="3143" spans="20:28" x14ac:dyDescent="0.2">
      <c r="T3143" s="130"/>
      <c r="U3143" s="151"/>
      <c r="X3143" s="170" t="str">
        <f t="shared" si="57"/>
        <v>1w</v>
      </c>
      <c r="Y3143" s="168">
        <f>_xll.qlCalendarAdvance(LiborCalendar,Y3142,X3143,"f",FALSE)</f>
        <v>61198</v>
      </c>
      <c r="Z3143" s="171">
        <f>_xll.qlInterestRateIndexValueDate(IborIndex,Y3143,Trigger)</f>
        <v>61200</v>
      </c>
      <c r="AA3143" s="172" t="e">
        <v>#N/A</v>
      </c>
      <c r="AB3143" s="169" t="e">
        <v>#N/A</v>
      </c>
    </row>
    <row r="3144" spans="20:28" x14ac:dyDescent="0.2">
      <c r="T3144" s="130"/>
      <c r="U3144" s="151"/>
      <c r="X3144" s="170" t="str">
        <f t="shared" si="57"/>
        <v>1w</v>
      </c>
      <c r="Y3144" s="168">
        <f>_xll.qlCalendarAdvance(LiborCalendar,Y3143,X3144,"f",FALSE)</f>
        <v>61205</v>
      </c>
      <c r="Z3144" s="171">
        <f>_xll.qlInterestRateIndexValueDate(IborIndex,Y3144,Trigger)</f>
        <v>61207</v>
      </c>
      <c r="AA3144" s="172" t="e">
        <v>#N/A</v>
      </c>
      <c r="AB3144" s="169" t="e">
        <v>#N/A</v>
      </c>
    </row>
    <row r="3145" spans="20:28" x14ac:dyDescent="0.2">
      <c r="T3145" s="130"/>
      <c r="U3145" s="151"/>
      <c r="X3145" s="170" t="str">
        <f t="shared" si="57"/>
        <v>1w</v>
      </c>
      <c r="Y3145" s="168">
        <f>_xll.qlCalendarAdvance(LiborCalendar,Y3144,X3145,"f",FALSE)</f>
        <v>61212</v>
      </c>
      <c r="Z3145" s="171">
        <f>_xll.qlInterestRateIndexValueDate(IborIndex,Y3145,Trigger)</f>
        <v>61214</v>
      </c>
      <c r="AA3145" s="172" t="e">
        <v>#N/A</v>
      </c>
      <c r="AB3145" s="169" t="e">
        <v>#N/A</v>
      </c>
    </row>
    <row r="3146" spans="20:28" x14ac:dyDescent="0.2">
      <c r="T3146" s="130"/>
      <c r="U3146" s="151"/>
      <c r="X3146" s="170" t="str">
        <f t="shared" si="57"/>
        <v>1w</v>
      </c>
      <c r="Y3146" s="168">
        <f>_xll.qlCalendarAdvance(LiborCalendar,Y3145,X3146,"f",FALSE)</f>
        <v>61219</v>
      </c>
      <c r="Z3146" s="171">
        <f>_xll.qlInterestRateIndexValueDate(IborIndex,Y3146,Trigger)</f>
        <v>61221</v>
      </c>
      <c r="AA3146" s="172" t="e">
        <v>#N/A</v>
      </c>
      <c r="AB3146" s="169" t="e">
        <v>#N/A</v>
      </c>
    </row>
    <row r="3147" spans="20:28" x14ac:dyDescent="0.2">
      <c r="T3147" s="130"/>
      <c r="U3147" s="151"/>
      <c r="X3147" s="170" t="str">
        <f t="shared" si="57"/>
        <v>1w</v>
      </c>
      <c r="Y3147" s="168">
        <f>_xll.qlCalendarAdvance(LiborCalendar,Y3146,X3147,"f",FALSE)</f>
        <v>61226</v>
      </c>
      <c r="Z3147" s="171">
        <f>_xll.qlInterestRateIndexValueDate(IborIndex,Y3147,Trigger)</f>
        <v>61228</v>
      </c>
      <c r="AA3147" s="172" t="e">
        <v>#N/A</v>
      </c>
      <c r="AB3147" s="169" t="e">
        <v>#N/A</v>
      </c>
    </row>
    <row r="3148" spans="20:28" x14ac:dyDescent="0.2">
      <c r="T3148" s="130"/>
      <c r="U3148" s="151"/>
      <c r="X3148" s="170" t="str">
        <f t="shared" si="57"/>
        <v>1w</v>
      </c>
      <c r="Y3148" s="168">
        <f>_xll.qlCalendarAdvance(LiborCalendar,Y3147,X3148,"f",FALSE)</f>
        <v>61233</v>
      </c>
      <c r="Z3148" s="171">
        <f>_xll.qlInterestRateIndexValueDate(IborIndex,Y3148,Trigger)</f>
        <v>61235</v>
      </c>
      <c r="AA3148" s="172" t="e">
        <v>#N/A</v>
      </c>
      <c r="AB3148" s="169" t="e">
        <v>#N/A</v>
      </c>
    </row>
    <row r="3149" spans="20:28" x14ac:dyDescent="0.2">
      <c r="T3149" s="130"/>
      <c r="U3149" s="151"/>
      <c r="X3149" s="170" t="str">
        <f t="shared" si="57"/>
        <v>1w</v>
      </c>
      <c r="Y3149" s="168">
        <f>_xll.qlCalendarAdvance(LiborCalendar,Y3148,X3149,"f",FALSE)</f>
        <v>61240</v>
      </c>
      <c r="Z3149" s="171">
        <f>_xll.qlInterestRateIndexValueDate(IborIndex,Y3149,Trigger)</f>
        <v>61242</v>
      </c>
      <c r="AA3149" s="172" t="e">
        <v>#N/A</v>
      </c>
      <c r="AB3149" s="169" t="e">
        <v>#N/A</v>
      </c>
    </row>
    <row r="3150" spans="20:28" x14ac:dyDescent="0.2">
      <c r="T3150" s="130"/>
      <c r="U3150" s="151"/>
      <c r="X3150" s="170" t="str">
        <f t="shared" si="57"/>
        <v>1w</v>
      </c>
      <c r="Y3150" s="168">
        <f>_xll.qlCalendarAdvance(LiborCalendar,Y3149,X3150,"f",FALSE)</f>
        <v>61247</v>
      </c>
      <c r="Z3150" s="171">
        <f>_xll.qlInterestRateIndexValueDate(IborIndex,Y3150,Trigger)</f>
        <v>61249</v>
      </c>
      <c r="AA3150" s="172" t="e">
        <v>#N/A</v>
      </c>
      <c r="AB3150" s="169" t="e">
        <v>#N/A</v>
      </c>
    </row>
    <row r="3151" spans="20:28" x14ac:dyDescent="0.2">
      <c r="T3151" s="130"/>
      <c r="U3151" s="151"/>
      <c r="X3151" s="170" t="str">
        <f t="shared" si="57"/>
        <v>1w</v>
      </c>
      <c r="Y3151" s="168">
        <f>_xll.qlCalendarAdvance(LiborCalendar,Y3150,X3151,"f",FALSE)</f>
        <v>61254</v>
      </c>
      <c r="Z3151" s="171">
        <f>_xll.qlInterestRateIndexValueDate(IborIndex,Y3151,Trigger)</f>
        <v>61256</v>
      </c>
      <c r="AA3151" s="172" t="e">
        <v>#N/A</v>
      </c>
      <c r="AB3151" s="169" t="e">
        <v>#N/A</v>
      </c>
    </row>
    <row r="3152" spans="20:28" x14ac:dyDescent="0.2">
      <c r="T3152" s="130"/>
      <c r="U3152" s="151"/>
      <c r="X3152" s="170" t="str">
        <f t="shared" si="57"/>
        <v>1w</v>
      </c>
      <c r="Y3152" s="168">
        <f>_xll.qlCalendarAdvance(LiborCalendar,Y3151,X3152,"f",FALSE)</f>
        <v>61261</v>
      </c>
      <c r="Z3152" s="171">
        <f>_xll.qlInterestRateIndexValueDate(IborIndex,Y3152,Trigger)</f>
        <v>61263</v>
      </c>
      <c r="AA3152" s="172" t="e">
        <v>#N/A</v>
      </c>
      <c r="AB3152" s="169" t="e">
        <v>#N/A</v>
      </c>
    </row>
    <row r="3153" spans="20:28" x14ac:dyDescent="0.2">
      <c r="T3153" s="130"/>
      <c r="U3153" s="151"/>
      <c r="X3153" s="170" t="str">
        <f t="shared" si="57"/>
        <v>1w</v>
      </c>
      <c r="Y3153" s="168">
        <f>_xll.qlCalendarAdvance(LiborCalendar,Y3152,X3153,"f",FALSE)</f>
        <v>61268</v>
      </c>
      <c r="Z3153" s="171">
        <f>_xll.qlInterestRateIndexValueDate(IborIndex,Y3153,Trigger)</f>
        <v>61270</v>
      </c>
      <c r="AA3153" s="172" t="e">
        <v>#N/A</v>
      </c>
      <c r="AB3153" s="169" t="e">
        <v>#N/A</v>
      </c>
    </row>
    <row r="3154" spans="20:28" x14ac:dyDescent="0.2">
      <c r="T3154" s="130"/>
      <c r="U3154" s="151"/>
      <c r="X3154" s="170" t="str">
        <f t="shared" si="57"/>
        <v>1w</v>
      </c>
      <c r="Y3154" s="168">
        <f>_xll.qlCalendarAdvance(LiborCalendar,Y3153,X3154,"f",FALSE)</f>
        <v>61275</v>
      </c>
      <c r="Z3154" s="171">
        <f>_xll.qlInterestRateIndexValueDate(IborIndex,Y3154,Trigger)</f>
        <v>61277</v>
      </c>
      <c r="AA3154" s="172" t="e">
        <v>#N/A</v>
      </c>
      <c r="AB3154" s="169" t="e">
        <v>#N/A</v>
      </c>
    </row>
    <row r="3155" spans="20:28" x14ac:dyDescent="0.2">
      <c r="T3155" s="130"/>
      <c r="U3155" s="151"/>
      <c r="X3155" s="170" t="str">
        <f t="shared" si="57"/>
        <v>1w</v>
      </c>
      <c r="Y3155" s="168">
        <f>_xll.qlCalendarAdvance(LiborCalendar,Y3154,X3155,"f",FALSE)</f>
        <v>61282</v>
      </c>
      <c r="Z3155" s="171">
        <f>_xll.qlInterestRateIndexValueDate(IborIndex,Y3155,Trigger)</f>
        <v>61284</v>
      </c>
      <c r="AA3155" s="172" t="e">
        <v>#N/A</v>
      </c>
      <c r="AB3155" s="169" t="e">
        <v>#N/A</v>
      </c>
    </row>
    <row r="3156" spans="20:28" x14ac:dyDescent="0.2">
      <c r="T3156" s="130"/>
      <c r="U3156" s="151"/>
      <c r="X3156" s="170" t="str">
        <f t="shared" si="57"/>
        <v>1w</v>
      </c>
      <c r="Y3156" s="168">
        <f>_xll.qlCalendarAdvance(LiborCalendar,Y3155,X3156,"f",FALSE)</f>
        <v>61289</v>
      </c>
      <c r="Z3156" s="171">
        <f>_xll.qlInterestRateIndexValueDate(IborIndex,Y3156,Trigger)</f>
        <v>61291</v>
      </c>
      <c r="AA3156" s="172" t="e">
        <v>#N/A</v>
      </c>
      <c r="AB3156" s="169" t="e">
        <v>#N/A</v>
      </c>
    </row>
    <row r="3157" spans="20:28" x14ac:dyDescent="0.2">
      <c r="T3157" s="130"/>
      <c r="U3157" s="151"/>
      <c r="X3157" s="170" t="str">
        <f t="shared" ref="X3157:X3220" si="58">X3156</f>
        <v>1w</v>
      </c>
      <c r="Y3157" s="168">
        <f>_xll.qlCalendarAdvance(LiborCalendar,Y3156,X3157,"f",FALSE)</f>
        <v>61296</v>
      </c>
      <c r="Z3157" s="171">
        <f>_xll.qlInterestRateIndexValueDate(IborIndex,Y3157,Trigger)</f>
        <v>61298</v>
      </c>
      <c r="AA3157" s="172" t="e">
        <v>#N/A</v>
      </c>
      <c r="AB3157" s="169" t="e">
        <v>#N/A</v>
      </c>
    </row>
    <row r="3158" spans="20:28" x14ac:dyDescent="0.2">
      <c r="T3158" s="130"/>
      <c r="U3158" s="151"/>
      <c r="X3158" s="170" t="str">
        <f t="shared" si="58"/>
        <v>1w</v>
      </c>
      <c r="Y3158" s="168">
        <f>_xll.qlCalendarAdvance(LiborCalendar,Y3157,X3158,"f",FALSE)</f>
        <v>61303</v>
      </c>
      <c r="Z3158" s="171">
        <f>_xll.qlInterestRateIndexValueDate(IborIndex,Y3158,Trigger)</f>
        <v>61305</v>
      </c>
      <c r="AA3158" s="172" t="e">
        <v>#N/A</v>
      </c>
      <c r="AB3158" s="169" t="e">
        <v>#N/A</v>
      </c>
    </row>
    <row r="3159" spans="20:28" x14ac:dyDescent="0.2">
      <c r="T3159" s="130"/>
      <c r="U3159" s="151"/>
      <c r="X3159" s="170" t="str">
        <f t="shared" si="58"/>
        <v>1w</v>
      </c>
      <c r="Y3159" s="168">
        <f>_xll.qlCalendarAdvance(LiborCalendar,Y3158,X3159,"f",FALSE)</f>
        <v>61310</v>
      </c>
      <c r="Z3159" s="171">
        <f>_xll.qlInterestRateIndexValueDate(IborIndex,Y3159,Trigger)</f>
        <v>61312</v>
      </c>
      <c r="AA3159" s="172" t="e">
        <v>#N/A</v>
      </c>
      <c r="AB3159" s="169" t="e">
        <v>#N/A</v>
      </c>
    </row>
    <row r="3160" spans="20:28" x14ac:dyDescent="0.2">
      <c r="T3160" s="130"/>
      <c r="U3160" s="151"/>
      <c r="X3160" s="170" t="str">
        <f t="shared" si="58"/>
        <v>1w</v>
      </c>
      <c r="Y3160" s="168">
        <f>_xll.qlCalendarAdvance(LiborCalendar,Y3159,X3160,"f",FALSE)</f>
        <v>61317</v>
      </c>
      <c r="Z3160" s="171">
        <f>_xll.qlInterestRateIndexValueDate(IborIndex,Y3160,Trigger)</f>
        <v>61319</v>
      </c>
      <c r="AA3160" s="172" t="e">
        <v>#N/A</v>
      </c>
      <c r="AB3160" s="169" t="e">
        <v>#N/A</v>
      </c>
    </row>
    <row r="3161" spans="20:28" x14ac:dyDescent="0.2">
      <c r="T3161" s="130"/>
      <c r="U3161" s="151"/>
      <c r="X3161" s="170" t="str">
        <f t="shared" si="58"/>
        <v>1w</v>
      </c>
      <c r="Y3161" s="168">
        <f>_xll.qlCalendarAdvance(LiborCalendar,Y3160,X3161,"f",FALSE)</f>
        <v>61324</v>
      </c>
      <c r="Z3161" s="171">
        <f>_xll.qlInterestRateIndexValueDate(IborIndex,Y3161,Trigger)</f>
        <v>61326</v>
      </c>
      <c r="AA3161" s="172" t="e">
        <v>#N/A</v>
      </c>
      <c r="AB3161" s="169" t="e">
        <v>#N/A</v>
      </c>
    </row>
    <row r="3162" spans="20:28" x14ac:dyDescent="0.2">
      <c r="T3162" s="130"/>
      <c r="U3162" s="151"/>
      <c r="X3162" s="170" t="str">
        <f t="shared" si="58"/>
        <v>1w</v>
      </c>
      <c r="Y3162" s="168">
        <f>_xll.qlCalendarAdvance(LiborCalendar,Y3161,X3162,"f",FALSE)</f>
        <v>61331</v>
      </c>
      <c r="Z3162" s="171">
        <f>_xll.qlInterestRateIndexValueDate(IborIndex,Y3162,Trigger)</f>
        <v>61333</v>
      </c>
      <c r="AA3162" s="172" t="e">
        <v>#N/A</v>
      </c>
      <c r="AB3162" s="169" t="e">
        <v>#N/A</v>
      </c>
    </row>
    <row r="3163" spans="20:28" x14ac:dyDescent="0.2">
      <c r="T3163" s="130"/>
      <c r="U3163" s="151"/>
      <c r="X3163" s="170" t="str">
        <f t="shared" si="58"/>
        <v>1w</v>
      </c>
      <c r="Y3163" s="168">
        <f>_xll.qlCalendarAdvance(LiborCalendar,Y3162,X3163,"f",FALSE)</f>
        <v>61338</v>
      </c>
      <c r="Z3163" s="171">
        <f>_xll.qlInterestRateIndexValueDate(IborIndex,Y3163,Trigger)</f>
        <v>61340</v>
      </c>
      <c r="AA3163" s="172" t="e">
        <v>#N/A</v>
      </c>
      <c r="AB3163" s="169" t="e">
        <v>#N/A</v>
      </c>
    </row>
    <row r="3164" spans="20:28" x14ac:dyDescent="0.2">
      <c r="T3164" s="130"/>
      <c r="U3164" s="151"/>
      <c r="X3164" s="170" t="str">
        <f t="shared" si="58"/>
        <v>1w</v>
      </c>
      <c r="Y3164" s="168">
        <f>_xll.qlCalendarAdvance(LiborCalendar,Y3163,X3164,"f",FALSE)</f>
        <v>61345</v>
      </c>
      <c r="Z3164" s="171">
        <f>_xll.qlInterestRateIndexValueDate(IborIndex,Y3164,Trigger)</f>
        <v>61347</v>
      </c>
      <c r="AA3164" s="172" t="e">
        <v>#N/A</v>
      </c>
      <c r="AB3164" s="169" t="e">
        <v>#N/A</v>
      </c>
    </row>
    <row r="3165" spans="20:28" x14ac:dyDescent="0.2">
      <c r="T3165" s="130"/>
      <c r="U3165" s="151"/>
      <c r="X3165" s="170" t="str">
        <f t="shared" si="58"/>
        <v>1w</v>
      </c>
      <c r="Y3165" s="168">
        <f>_xll.qlCalendarAdvance(LiborCalendar,Y3164,X3165,"f",FALSE)</f>
        <v>61352</v>
      </c>
      <c r="Z3165" s="171">
        <f>_xll.qlInterestRateIndexValueDate(IborIndex,Y3165,Trigger)</f>
        <v>61354</v>
      </c>
      <c r="AA3165" s="172" t="e">
        <v>#N/A</v>
      </c>
      <c r="AB3165" s="169" t="e">
        <v>#N/A</v>
      </c>
    </row>
    <row r="3166" spans="20:28" x14ac:dyDescent="0.2">
      <c r="T3166" s="130"/>
      <c r="U3166" s="151"/>
      <c r="X3166" s="170" t="str">
        <f t="shared" si="58"/>
        <v>1w</v>
      </c>
      <c r="Y3166" s="168">
        <f>_xll.qlCalendarAdvance(LiborCalendar,Y3165,X3166,"f",FALSE)</f>
        <v>61359</v>
      </c>
      <c r="Z3166" s="171">
        <f>_xll.qlInterestRateIndexValueDate(IborIndex,Y3166,Trigger)</f>
        <v>61361</v>
      </c>
      <c r="AA3166" s="172" t="e">
        <v>#N/A</v>
      </c>
      <c r="AB3166" s="169" t="e">
        <v>#N/A</v>
      </c>
    </row>
    <row r="3167" spans="20:28" x14ac:dyDescent="0.2">
      <c r="T3167" s="130"/>
      <c r="U3167" s="151"/>
      <c r="X3167" s="170" t="str">
        <f t="shared" si="58"/>
        <v>1w</v>
      </c>
      <c r="Y3167" s="168">
        <f>_xll.qlCalendarAdvance(LiborCalendar,Y3166,X3167,"f",FALSE)</f>
        <v>61366</v>
      </c>
      <c r="Z3167" s="171">
        <f>_xll.qlInterestRateIndexValueDate(IborIndex,Y3167,Trigger)</f>
        <v>61368</v>
      </c>
      <c r="AA3167" s="172" t="e">
        <v>#N/A</v>
      </c>
      <c r="AB3167" s="169" t="e">
        <v>#N/A</v>
      </c>
    </row>
    <row r="3168" spans="20:28" x14ac:dyDescent="0.2">
      <c r="T3168" s="130"/>
      <c r="U3168" s="151"/>
      <c r="X3168" s="170" t="str">
        <f t="shared" si="58"/>
        <v>1w</v>
      </c>
      <c r="Y3168" s="168">
        <f>_xll.qlCalendarAdvance(LiborCalendar,Y3167,X3168,"f",FALSE)</f>
        <v>61373</v>
      </c>
      <c r="Z3168" s="171">
        <f>_xll.qlInterestRateIndexValueDate(IborIndex,Y3168,Trigger)</f>
        <v>61375</v>
      </c>
      <c r="AA3168" s="172" t="e">
        <v>#N/A</v>
      </c>
      <c r="AB3168" s="169" t="e">
        <v>#N/A</v>
      </c>
    </row>
    <row r="3169" spans="20:28" x14ac:dyDescent="0.2">
      <c r="T3169" s="130"/>
      <c r="U3169" s="151"/>
      <c r="X3169" s="170" t="str">
        <f t="shared" si="58"/>
        <v>1w</v>
      </c>
      <c r="Y3169" s="168">
        <f>_xll.qlCalendarAdvance(LiborCalendar,Y3168,X3169,"f",FALSE)</f>
        <v>61380</v>
      </c>
      <c r="Z3169" s="171">
        <f>_xll.qlInterestRateIndexValueDate(IborIndex,Y3169,Trigger)</f>
        <v>61382</v>
      </c>
      <c r="AA3169" s="172" t="e">
        <v>#N/A</v>
      </c>
      <c r="AB3169" s="169" t="e">
        <v>#N/A</v>
      </c>
    </row>
    <row r="3170" spans="20:28" x14ac:dyDescent="0.2">
      <c r="T3170" s="130"/>
      <c r="U3170" s="151"/>
      <c r="X3170" s="170" t="str">
        <f t="shared" si="58"/>
        <v>1w</v>
      </c>
      <c r="Y3170" s="168">
        <f>_xll.qlCalendarAdvance(LiborCalendar,Y3169,X3170,"f",FALSE)</f>
        <v>61387</v>
      </c>
      <c r="Z3170" s="171">
        <f>_xll.qlInterestRateIndexValueDate(IborIndex,Y3170,Trigger)</f>
        <v>61389</v>
      </c>
      <c r="AA3170" s="172" t="e">
        <v>#N/A</v>
      </c>
      <c r="AB3170" s="169" t="e">
        <v>#N/A</v>
      </c>
    </row>
    <row r="3171" spans="20:28" x14ac:dyDescent="0.2">
      <c r="T3171" s="130"/>
      <c r="U3171" s="151"/>
      <c r="X3171" s="170" t="str">
        <f t="shared" si="58"/>
        <v>1w</v>
      </c>
      <c r="Y3171" s="168">
        <f>_xll.qlCalendarAdvance(LiborCalendar,Y3170,X3171,"f",FALSE)</f>
        <v>61394</v>
      </c>
      <c r="Z3171" s="171">
        <f>_xll.qlInterestRateIndexValueDate(IborIndex,Y3171,Trigger)</f>
        <v>61396</v>
      </c>
      <c r="AA3171" s="172" t="e">
        <v>#N/A</v>
      </c>
      <c r="AB3171" s="169" t="e">
        <v>#N/A</v>
      </c>
    </row>
    <row r="3172" spans="20:28" x14ac:dyDescent="0.2">
      <c r="T3172" s="130"/>
      <c r="U3172" s="151"/>
      <c r="X3172" s="170" t="str">
        <f t="shared" si="58"/>
        <v>1w</v>
      </c>
      <c r="Y3172" s="168">
        <f>_xll.qlCalendarAdvance(LiborCalendar,Y3171,X3172,"f",FALSE)</f>
        <v>61401</v>
      </c>
      <c r="Z3172" s="171">
        <f>_xll.qlInterestRateIndexValueDate(IborIndex,Y3172,Trigger)</f>
        <v>61403</v>
      </c>
      <c r="AA3172" s="172" t="e">
        <v>#N/A</v>
      </c>
      <c r="AB3172" s="169" t="e">
        <v>#N/A</v>
      </c>
    </row>
    <row r="3173" spans="20:28" x14ac:dyDescent="0.2">
      <c r="T3173" s="130"/>
      <c r="U3173" s="151"/>
      <c r="X3173" s="170" t="str">
        <f t="shared" si="58"/>
        <v>1w</v>
      </c>
      <c r="Y3173" s="168">
        <f>_xll.qlCalendarAdvance(LiborCalendar,Y3172,X3173,"f",FALSE)</f>
        <v>61408</v>
      </c>
      <c r="Z3173" s="171">
        <f>_xll.qlInterestRateIndexValueDate(IborIndex,Y3173,Trigger)</f>
        <v>61410</v>
      </c>
      <c r="AA3173" s="172" t="e">
        <v>#N/A</v>
      </c>
      <c r="AB3173" s="169" t="e">
        <v>#N/A</v>
      </c>
    </row>
    <row r="3174" spans="20:28" x14ac:dyDescent="0.2">
      <c r="T3174" s="130"/>
      <c r="U3174" s="151"/>
      <c r="X3174" s="170" t="str">
        <f t="shared" si="58"/>
        <v>1w</v>
      </c>
      <c r="Y3174" s="168">
        <f>_xll.qlCalendarAdvance(LiborCalendar,Y3173,X3174,"f",FALSE)</f>
        <v>61415</v>
      </c>
      <c r="Z3174" s="171">
        <f>_xll.qlInterestRateIndexValueDate(IborIndex,Y3174,Trigger)</f>
        <v>61417</v>
      </c>
      <c r="AA3174" s="172" t="e">
        <v>#N/A</v>
      </c>
      <c r="AB3174" s="169" t="e">
        <v>#N/A</v>
      </c>
    </row>
    <row r="3175" spans="20:28" x14ac:dyDescent="0.2">
      <c r="T3175" s="130"/>
      <c r="U3175" s="151"/>
      <c r="X3175" s="170" t="str">
        <f t="shared" si="58"/>
        <v>1w</v>
      </c>
      <c r="Y3175" s="168">
        <f>_xll.qlCalendarAdvance(LiborCalendar,Y3174,X3175,"f",FALSE)</f>
        <v>61422</v>
      </c>
      <c r="Z3175" s="171">
        <f>_xll.qlInterestRateIndexValueDate(IborIndex,Y3175,Trigger)</f>
        <v>61424</v>
      </c>
      <c r="AA3175" s="172" t="e">
        <v>#N/A</v>
      </c>
      <c r="AB3175" s="169" t="e">
        <v>#N/A</v>
      </c>
    </row>
    <row r="3176" spans="20:28" x14ac:dyDescent="0.2">
      <c r="T3176" s="130"/>
      <c r="U3176" s="151"/>
      <c r="X3176" s="170" t="str">
        <f t="shared" si="58"/>
        <v>1w</v>
      </c>
      <c r="Y3176" s="168">
        <f>_xll.qlCalendarAdvance(LiborCalendar,Y3175,X3176,"f",FALSE)</f>
        <v>61429</v>
      </c>
      <c r="Z3176" s="171">
        <f>_xll.qlInterestRateIndexValueDate(IborIndex,Y3176,Trigger)</f>
        <v>61431</v>
      </c>
      <c r="AA3176" s="172" t="e">
        <v>#N/A</v>
      </c>
      <c r="AB3176" s="169" t="e">
        <v>#N/A</v>
      </c>
    </row>
    <row r="3177" spans="20:28" x14ac:dyDescent="0.2">
      <c r="T3177" s="130"/>
      <c r="U3177" s="151"/>
      <c r="X3177" s="170" t="str">
        <f t="shared" si="58"/>
        <v>1w</v>
      </c>
      <c r="Y3177" s="168">
        <f>_xll.qlCalendarAdvance(LiborCalendar,Y3176,X3177,"f",FALSE)</f>
        <v>61436</v>
      </c>
      <c r="Z3177" s="171">
        <f>_xll.qlInterestRateIndexValueDate(IborIndex,Y3177,Trigger)</f>
        <v>61438</v>
      </c>
      <c r="AA3177" s="172" t="e">
        <v>#N/A</v>
      </c>
      <c r="AB3177" s="169" t="e">
        <v>#N/A</v>
      </c>
    </row>
    <row r="3178" spans="20:28" x14ac:dyDescent="0.2">
      <c r="T3178" s="130"/>
      <c r="U3178" s="151"/>
      <c r="X3178" s="170" t="str">
        <f t="shared" si="58"/>
        <v>1w</v>
      </c>
      <c r="Y3178" s="168">
        <f>_xll.qlCalendarAdvance(LiborCalendar,Y3177,X3178,"f",FALSE)</f>
        <v>61443</v>
      </c>
      <c r="Z3178" s="171">
        <f>_xll.qlInterestRateIndexValueDate(IborIndex,Y3178,Trigger)</f>
        <v>61445</v>
      </c>
      <c r="AA3178" s="172" t="e">
        <v>#N/A</v>
      </c>
      <c r="AB3178" s="169" t="e">
        <v>#N/A</v>
      </c>
    </row>
    <row r="3179" spans="20:28" x14ac:dyDescent="0.2">
      <c r="T3179" s="130"/>
      <c r="U3179" s="151"/>
      <c r="X3179" s="170" t="str">
        <f t="shared" si="58"/>
        <v>1w</v>
      </c>
      <c r="Y3179" s="168">
        <f>_xll.qlCalendarAdvance(LiborCalendar,Y3178,X3179,"f",FALSE)</f>
        <v>61450</v>
      </c>
      <c r="Z3179" s="171">
        <f>_xll.qlInterestRateIndexValueDate(IborIndex,Y3179,Trigger)</f>
        <v>61452</v>
      </c>
      <c r="AA3179" s="172" t="e">
        <v>#N/A</v>
      </c>
      <c r="AB3179" s="169" t="e">
        <v>#N/A</v>
      </c>
    </row>
    <row r="3180" spans="20:28" x14ac:dyDescent="0.2">
      <c r="T3180" s="130"/>
      <c r="U3180" s="151"/>
      <c r="X3180" s="170" t="str">
        <f t="shared" si="58"/>
        <v>1w</v>
      </c>
      <c r="Y3180" s="168">
        <f>_xll.qlCalendarAdvance(LiborCalendar,Y3179,X3180,"f",FALSE)</f>
        <v>61457</v>
      </c>
      <c r="Z3180" s="171">
        <f>_xll.qlInterestRateIndexValueDate(IborIndex,Y3180,Trigger)</f>
        <v>61459</v>
      </c>
      <c r="AA3180" s="172" t="e">
        <v>#N/A</v>
      </c>
      <c r="AB3180" s="169" t="e">
        <v>#N/A</v>
      </c>
    </row>
    <row r="3181" spans="20:28" x14ac:dyDescent="0.2">
      <c r="T3181" s="130"/>
      <c r="U3181" s="151"/>
      <c r="X3181" s="170" t="str">
        <f t="shared" si="58"/>
        <v>1w</v>
      </c>
      <c r="Y3181" s="168">
        <f>_xll.qlCalendarAdvance(LiborCalendar,Y3180,X3181,"f",FALSE)</f>
        <v>61464</v>
      </c>
      <c r="Z3181" s="171">
        <f>_xll.qlInterestRateIndexValueDate(IborIndex,Y3181,Trigger)</f>
        <v>61466</v>
      </c>
      <c r="AA3181" s="172" t="e">
        <v>#N/A</v>
      </c>
      <c r="AB3181" s="169" t="e">
        <v>#N/A</v>
      </c>
    </row>
    <row r="3182" spans="20:28" x14ac:dyDescent="0.2">
      <c r="T3182" s="130"/>
      <c r="U3182" s="151"/>
      <c r="X3182" s="170" t="str">
        <f t="shared" si="58"/>
        <v>1w</v>
      </c>
      <c r="Y3182" s="168">
        <f>_xll.qlCalendarAdvance(LiborCalendar,Y3181,X3182,"f",FALSE)</f>
        <v>61471</v>
      </c>
      <c r="Z3182" s="171">
        <f>_xll.qlInterestRateIndexValueDate(IborIndex,Y3182,Trigger)</f>
        <v>61477</v>
      </c>
      <c r="AA3182" s="172" t="e">
        <v>#N/A</v>
      </c>
      <c r="AB3182" s="169" t="e">
        <v>#N/A</v>
      </c>
    </row>
    <row r="3183" spans="20:28" x14ac:dyDescent="0.2">
      <c r="T3183" s="130"/>
      <c r="U3183" s="151"/>
      <c r="X3183" s="170" t="str">
        <f t="shared" si="58"/>
        <v>1w</v>
      </c>
      <c r="Y3183" s="168">
        <f>_xll.qlCalendarAdvance(LiborCalendar,Y3182,X3183,"f",FALSE)</f>
        <v>61478</v>
      </c>
      <c r="Z3183" s="171">
        <f>_xll.qlInterestRateIndexValueDate(IborIndex,Y3183,Trigger)</f>
        <v>61480</v>
      </c>
      <c r="AA3183" s="172" t="e">
        <v>#N/A</v>
      </c>
      <c r="AB3183" s="169" t="e">
        <v>#N/A</v>
      </c>
    </row>
    <row r="3184" spans="20:28" x14ac:dyDescent="0.2">
      <c r="T3184" s="130"/>
      <c r="U3184" s="151"/>
      <c r="X3184" s="170" t="str">
        <f t="shared" si="58"/>
        <v>1w</v>
      </c>
      <c r="Y3184" s="168">
        <f>_xll.qlCalendarAdvance(LiborCalendar,Y3183,X3184,"f",FALSE)</f>
        <v>61485</v>
      </c>
      <c r="Z3184" s="171">
        <f>_xll.qlInterestRateIndexValueDate(IborIndex,Y3184,Trigger)</f>
        <v>61487</v>
      </c>
      <c r="AA3184" s="172" t="e">
        <v>#N/A</v>
      </c>
      <c r="AB3184" s="169" t="e">
        <v>#N/A</v>
      </c>
    </row>
    <row r="3185" spans="20:28" x14ac:dyDescent="0.2">
      <c r="T3185" s="130"/>
      <c r="U3185" s="151"/>
      <c r="X3185" s="170" t="str">
        <f t="shared" si="58"/>
        <v>1w</v>
      </c>
      <c r="Y3185" s="168">
        <f>_xll.qlCalendarAdvance(LiborCalendar,Y3184,X3185,"f",FALSE)</f>
        <v>61492</v>
      </c>
      <c r="Z3185" s="171">
        <f>_xll.qlInterestRateIndexValueDate(IborIndex,Y3185,Trigger)</f>
        <v>61494</v>
      </c>
      <c r="AA3185" s="172" t="e">
        <v>#N/A</v>
      </c>
      <c r="AB3185" s="169" t="e">
        <v>#N/A</v>
      </c>
    </row>
    <row r="3186" spans="20:28" x14ac:dyDescent="0.2">
      <c r="T3186" s="130"/>
      <c r="U3186" s="151"/>
      <c r="X3186" s="170" t="str">
        <f t="shared" si="58"/>
        <v>1w</v>
      </c>
      <c r="Y3186" s="168">
        <f>_xll.qlCalendarAdvance(LiborCalendar,Y3185,X3186,"f",FALSE)</f>
        <v>61499</v>
      </c>
      <c r="Z3186" s="171">
        <f>_xll.qlInterestRateIndexValueDate(IborIndex,Y3186,Trigger)</f>
        <v>61501</v>
      </c>
      <c r="AA3186" s="172" t="e">
        <v>#N/A</v>
      </c>
      <c r="AB3186" s="169" t="e">
        <v>#N/A</v>
      </c>
    </row>
    <row r="3187" spans="20:28" x14ac:dyDescent="0.2">
      <c r="T3187" s="130"/>
      <c r="U3187" s="151"/>
      <c r="X3187" s="170" t="str">
        <f t="shared" si="58"/>
        <v>1w</v>
      </c>
      <c r="Y3187" s="168">
        <f>_xll.qlCalendarAdvance(LiborCalendar,Y3186,X3187,"f",FALSE)</f>
        <v>61506</v>
      </c>
      <c r="Z3187" s="171">
        <f>_xll.qlInterestRateIndexValueDate(IborIndex,Y3187,Trigger)</f>
        <v>61508</v>
      </c>
      <c r="AA3187" s="172" t="e">
        <v>#N/A</v>
      </c>
      <c r="AB3187" s="169" t="e">
        <v>#N/A</v>
      </c>
    </row>
    <row r="3188" spans="20:28" x14ac:dyDescent="0.2">
      <c r="T3188" s="130"/>
      <c r="U3188" s="151"/>
      <c r="X3188" s="170" t="str">
        <f t="shared" si="58"/>
        <v>1w</v>
      </c>
      <c r="Y3188" s="168">
        <f>_xll.qlCalendarAdvance(LiborCalendar,Y3187,X3188,"f",FALSE)</f>
        <v>61513</v>
      </c>
      <c r="Z3188" s="171">
        <f>_xll.qlInterestRateIndexValueDate(IborIndex,Y3188,Trigger)</f>
        <v>61515</v>
      </c>
      <c r="AA3188" s="172" t="e">
        <v>#N/A</v>
      </c>
      <c r="AB3188" s="169" t="e">
        <v>#N/A</v>
      </c>
    </row>
    <row r="3189" spans="20:28" x14ac:dyDescent="0.2">
      <c r="T3189" s="130"/>
      <c r="U3189" s="151"/>
      <c r="X3189" s="170" t="str">
        <f t="shared" si="58"/>
        <v>1w</v>
      </c>
      <c r="Y3189" s="168">
        <f>_xll.qlCalendarAdvance(LiborCalendar,Y3188,X3189,"f",FALSE)</f>
        <v>61520</v>
      </c>
      <c r="Z3189" s="171">
        <f>_xll.qlInterestRateIndexValueDate(IborIndex,Y3189,Trigger)</f>
        <v>61522</v>
      </c>
      <c r="AA3189" s="172" t="e">
        <v>#N/A</v>
      </c>
      <c r="AB3189" s="169" t="e">
        <v>#N/A</v>
      </c>
    </row>
    <row r="3190" spans="20:28" x14ac:dyDescent="0.2">
      <c r="T3190" s="130"/>
      <c r="U3190" s="151"/>
      <c r="X3190" s="170" t="str">
        <f t="shared" si="58"/>
        <v>1w</v>
      </c>
      <c r="Y3190" s="168">
        <f>_xll.qlCalendarAdvance(LiborCalendar,Y3189,X3190,"f",FALSE)</f>
        <v>61527</v>
      </c>
      <c r="Z3190" s="171">
        <f>_xll.qlInterestRateIndexValueDate(IborIndex,Y3190,Trigger)</f>
        <v>61529</v>
      </c>
      <c r="AA3190" s="172" t="e">
        <v>#N/A</v>
      </c>
      <c r="AB3190" s="169" t="e">
        <v>#N/A</v>
      </c>
    </row>
    <row r="3191" spans="20:28" x14ac:dyDescent="0.2">
      <c r="T3191" s="130"/>
      <c r="U3191" s="151"/>
      <c r="X3191" s="170" t="str">
        <f t="shared" si="58"/>
        <v>1w</v>
      </c>
      <c r="Y3191" s="168">
        <f>_xll.qlCalendarAdvance(LiborCalendar,Y3190,X3191,"f",FALSE)</f>
        <v>61534</v>
      </c>
      <c r="Z3191" s="171">
        <f>_xll.qlInterestRateIndexValueDate(IborIndex,Y3191,Trigger)</f>
        <v>61536</v>
      </c>
      <c r="AA3191" s="172" t="e">
        <v>#N/A</v>
      </c>
      <c r="AB3191" s="169" t="e">
        <v>#N/A</v>
      </c>
    </row>
    <row r="3192" spans="20:28" x14ac:dyDescent="0.2">
      <c r="T3192" s="130"/>
      <c r="U3192" s="151"/>
      <c r="X3192" s="170" t="str">
        <f t="shared" si="58"/>
        <v>1w</v>
      </c>
      <c r="Y3192" s="168">
        <f>_xll.qlCalendarAdvance(LiborCalendar,Y3191,X3192,"f",FALSE)</f>
        <v>61541</v>
      </c>
      <c r="Z3192" s="171">
        <f>_xll.qlInterestRateIndexValueDate(IborIndex,Y3192,Trigger)</f>
        <v>61543</v>
      </c>
      <c r="AA3192" s="172" t="e">
        <v>#N/A</v>
      </c>
      <c r="AB3192" s="169" t="e">
        <v>#N/A</v>
      </c>
    </row>
    <row r="3193" spans="20:28" x14ac:dyDescent="0.2">
      <c r="T3193" s="130"/>
      <c r="U3193" s="151"/>
      <c r="X3193" s="170" t="str">
        <f t="shared" si="58"/>
        <v>1w</v>
      </c>
      <c r="Y3193" s="168">
        <f>_xll.qlCalendarAdvance(LiborCalendar,Y3192,X3193,"f",FALSE)</f>
        <v>61548</v>
      </c>
      <c r="Z3193" s="171">
        <f>_xll.qlInterestRateIndexValueDate(IborIndex,Y3193,Trigger)</f>
        <v>61550</v>
      </c>
      <c r="AA3193" s="172" t="e">
        <v>#N/A</v>
      </c>
      <c r="AB3193" s="169" t="e">
        <v>#N/A</v>
      </c>
    </row>
    <row r="3194" spans="20:28" x14ac:dyDescent="0.2">
      <c r="T3194" s="130"/>
      <c r="U3194" s="151"/>
      <c r="X3194" s="170" t="str">
        <f t="shared" si="58"/>
        <v>1w</v>
      </c>
      <c r="Y3194" s="168">
        <f>_xll.qlCalendarAdvance(LiborCalendar,Y3193,X3194,"f",FALSE)</f>
        <v>61555</v>
      </c>
      <c r="Z3194" s="171">
        <f>_xll.qlInterestRateIndexValueDate(IborIndex,Y3194,Trigger)</f>
        <v>61557</v>
      </c>
      <c r="AA3194" s="172" t="e">
        <v>#N/A</v>
      </c>
      <c r="AB3194" s="169" t="e">
        <v>#N/A</v>
      </c>
    </row>
    <row r="3195" spans="20:28" x14ac:dyDescent="0.2">
      <c r="T3195" s="130"/>
      <c r="U3195" s="151"/>
      <c r="X3195" s="170" t="str">
        <f t="shared" si="58"/>
        <v>1w</v>
      </c>
      <c r="Y3195" s="168">
        <f>_xll.qlCalendarAdvance(LiborCalendar,Y3194,X3195,"f",FALSE)</f>
        <v>61562</v>
      </c>
      <c r="Z3195" s="171">
        <f>_xll.qlInterestRateIndexValueDate(IborIndex,Y3195,Trigger)</f>
        <v>61564</v>
      </c>
      <c r="AA3195" s="172" t="e">
        <v>#N/A</v>
      </c>
      <c r="AB3195" s="169" t="e">
        <v>#N/A</v>
      </c>
    </row>
    <row r="3196" spans="20:28" x14ac:dyDescent="0.2">
      <c r="T3196" s="130"/>
      <c r="U3196" s="151"/>
      <c r="X3196" s="170" t="str">
        <f t="shared" si="58"/>
        <v>1w</v>
      </c>
      <c r="Y3196" s="168">
        <f>_xll.qlCalendarAdvance(LiborCalendar,Y3195,X3196,"f",FALSE)</f>
        <v>61569</v>
      </c>
      <c r="Z3196" s="171">
        <f>_xll.qlInterestRateIndexValueDate(IborIndex,Y3196,Trigger)</f>
        <v>61571</v>
      </c>
      <c r="AA3196" s="172" t="e">
        <v>#N/A</v>
      </c>
      <c r="AB3196" s="169" t="e">
        <v>#N/A</v>
      </c>
    </row>
    <row r="3197" spans="20:28" x14ac:dyDescent="0.2">
      <c r="T3197" s="130"/>
      <c r="U3197" s="151"/>
      <c r="X3197" s="170" t="str">
        <f t="shared" si="58"/>
        <v>1w</v>
      </c>
      <c r="Y3197" s="168">
        <f>_xll.qlCalendarAdvance(LiborCalendar,Y3196,X3197,"f",FALSE)</f>
        <v>61576</v>
      </c>
      <c r="Z3197" s="171">
        <f>_xll.qlInterestRateIndexValueDate(IborIndex,Y3197,Trigger)</f>
        <v>61578</v>
      </c>
      <c r="AA3197" s="172" t="e">
        <v>#N/A</v>
      </c>
      <c r="AB3197" s="169" t="e">
        <v>#N/A</v>
      </c>
    </row>
    <row r="3198" spans="20:28" x14ac:dyDescent="0.2">
      <c r="T3198" s="130"/>
      <c r="U3198" s="151"/>
      <c r="X3198" s="170" t="str">
        <f t="shared" si="58"/>
        <v>1w</v>
      </c>
      <c r="Y3198" s="168">
        <f>_xll.qlCalendarAdvance(LiborCalendar,Y3197,X3198,"f",FALSE)</f>
        <v>61583</v>
      </c>
      <c r="Z3198" s="171">
        <f>_xll.qlInterestRateIndexValueDate(IborIndex,Y3198,Trigger)</f>
        <v>61585</v>
      </c>
      <c r="AA3198" s="172" t="e">
        <v>#N/A</v>
      </c>
      <c r="AB3198" s="169" t="e">
        <v>#N/A</v>
      </c>
    </row>
    <row r="3199" spans="20:28" x14ac:dyDescent="0.2">
      <c r="T3199" s="130"/>
      <c r="U3199" s="151"/>
      <c r="X3199" s="170" t="str">
        <f t="shared" si="58"/>
        <v>1w</v>
      </c>
      <c r="Y3199" s="168">
        <f>_xll.qlCalendarAdvance(LiborCalendar,Y3198,X3199,"f",FALSE)</f>
        <v>61590</v>
      </c>
      <c r="Z3199" s="171">
        <f>_xll.qlInterestRateIndexValueDate(IborIndex,Y3199,Trigger)</f>
        <v>61592</v>
      </c>
      <c r="AA3199" s="172" t="e">
        <v>#N/A</v>
      </c>
      <c r="AB3199" s="169" t="e">
        <v>#N/A</v>
      </c>
    </row>
    <row r="3200" spans="20:28" x14ac:dyDescent="0.2">
      <c r="T3200" s="130"/>
      <c r="U3200" s="151"/>
      <c r="X3200" s="170" t="str">
        <f t="shared" si="58"/>
        <v>1w</v>
      </c>
      <c r="Y3200" s="168">
        <f>_xll.qlCalendarAdvance(LiborCalendar,Y3199,X3200,"f",FALSE)</f>
        <v>61597</v>
      </c>
      <c r="Z3200" s="171">
        <f>_xll.qlInterestRateIndexValueDate(IborIndex,Y3200,Trigger)</f>
        <v>61599</v>
      </c>
      <c r="AA3200" s="172" t="e">
        <v>#N/A</v>
      </c>
      <c r="AB3200" s="169" t="e">
        <v>#N/A</v>
      </c>
    </row>
    <row r="3201" spans="20:28" x14ac:dyDescent="0.2">
      <c r="T3201" s="130"/>
      <c r="U3201" s="151"/>
      <c r="X3201" s="170" t="str">
        <f t="shared" si="58"/>
        <v>1w</v>
      </c>
      <c r="Y3201" s="168">
        <f>_xll.qlCalendarAdvance(LiborCalendar,Y3200,X3201,"f",FALSE)</f>
        <v>61604</v>
      </c>
      <c r="Z3201" s="171">
        <f>_xll.qlInterestRateIndexValueDate(IborIndex,Y3201,Trigger)</f>
        <v>61606</v>
      </c>
      <c r="AA3201" s="172" t="e">
        <v>#N/A</v>
      </c>
      <c r="AB3201" s="169" t="e">
        <v>#N/A</v>
      </c>
    </row>
    <row r="3202" spans="20:28" x14ac:dyDescent="0.2">
      <c r="T3202" s="130"/>
      <c r="U3202" s="151"/>
      <c r="X3202" s="170" t="str">
        <f t="shared" si="58"/>
        <v>1w</v>
      </c>
      <c r="Y3202" s="168">
        <f>_xll.qlCalendarAdvance(LiborCalendar,Y3201,X3202,"f",FALSE)</f>
        <v>61611</v>
      </c>
      <c r="Z3202" s="171">
        <f>_xll.qlInterestRateIndexValueDate(IborIndex,Y3202,Trigger)</f>
        <v>61613</v>
      </c>
      <c r="AA3202" s="172" t="e">
        <v>#N/A</v>
      </c>
      <c r="AB3202" s="169" t="e">
        <v>#N/A</v>
      </c>
    </row>
    <row r="3203" spans="20:28" x14ac:dyDescent="0.2">
      <c r="T3203" s="130"/>
      <c r="U3203" s="151"/>
      <c r="X3203" s="170" t="str">
        <f t="shared" si="58"/>
        <v>1w</v>
      </c>
      <c r="Y3203" s="168">
        <f>_xll.qlCalendarAdvance(LiborCalendar,Y3202,X3203,"f",FALSE)</f>
        <v>61618</v>
      </c>
      <c r="Z3203" s="171">
        <f>_xll.qlInterestRateIndexValueDate(IborIndex,Y3203,Trigger)</f>
        <v>61620</v>
      </c>
      <c r="AA3203" s="172" t="e">
        <v>#N/A</v>
      </c>
      <c r="AB3203" s="169" t="e">
        <v>#N/A</v>
      </c>
    </row>
    <row r="3204" spans="20:28" x14ac:dyDescent="0.2">
      <c r="T3204" s="130"/>
      <c r="U3204" s="151"/>
      <c r="X3204" s="170" t="str">
        <f t="shared" si="58"/>
        <v>1w</v>
      </c>
      <c r="Y3204" s="168">
        <f>_xll.qlCalendarAdvance(LiborCalendar,Y3203,X3204,"f",FALSE)</f>
        <v>61625</v>
      </c>
      <c r="Z3204" s="171">
        <f>_xll.qlInterestRateIndexValueDate(IborIndex,Y3204,Trigger)</f>
        <v>61627</v>
      </c>
      <c r="AA3204" s="172" t="e">
        <v>#N/A</v>
      </c>
      <c r="AB3204" s="169" t="e">
        <v>#N/A</v>
      </c>
    </row>
    <row r="3205" spans="20:28" x14ac:dyDescent="0.2">
      <c r="T3205" s="130"/>
      <c r="U3205" s="151"/>
      <c r="X3205" s="170" t="str">
        <f t="shared" si="58"/>
        <v>1w</v>
      </c>
      <c r="Y3205" s="168">
        <f>_xll.qlCalendarAdvance(LiborCalendar,Y3204,X3205,"f",FALSE)</f>
        <v>61632</v>
      </c>
      <c r="Z3205" s="171">
        <f>_xll.qlInterestRateIndexValueDate(IborIndex,Y3205,Trigger)</f>
        <v>61634</v>
      </c>
      <c r="AA3205" s="172" t="e">
        <v>#N/A</v>
      </c>
      <c r="AB3205" s="169" t="e">
        <v>#N/A</v>
      </c>
    </row>
    <row r="3206" spans="20:28" x14ac:dyDescent="0.2">
      <c r="T3206" s="130"/>
      <c r="U3206" s="151"/>
      <c r="X3206" s="170" t="str">
        <f t="shared" si="58"/>
        <v>1w</v>
      </c>
      <c r="Y3206" s="168">
        <f>_xll.qlCalendarAdvance(LiborCalendar,Y3205,X3206,"f",FALSE)</f>
        <v>61639</v>
      </c>
      <c r="Z3206" s="171">
        <f>_xll.qlInterestRateIndexValueDate(IborIndex,Y3206,Trigger)</f>
        <v>61641</v>
      </c>
      <c r="AA3206" s="172" t="e">
        <v>#N/A</v>
      </c>
      <c r="AB3206" s="169" t="e">
        <v>#N/A</v>
      </c>
    </row>
    <row r="3207" spans="20:28" x14ac:dyDescent="0.2">
      <c r="T3207" s="130"/>
      <c r="U3207" s="151"/>
      <c r="X3207" s="170" t="str">
        <f t="shared" si="58"/>
        <v>1w</v>
      </c>
      <c r="Y3207" s="168">
        <f>_xll.qlCalendarAdvance(LiborCalendar,Y3206,X3207,"f",FALSE)</f>
        <v>61646</v>
      </c>
      <c r="Z3207" s="171">
        <f>_xll.qlInterestRateIndexValueDate(IborIndex,Y3207,Trigger)</f>
        <v>61648</v>
      </c>
      <c r="AA3207" s="172" t="e">
        <v>#N/A</v>
      </c>
      <c r="AB3207" s="169" t="e">
        <v>#N/A</v>
      </c>
    </row>
    <row r="3208" spans="20:28" x14ac:dyDescent="0.2">
      <c r="T3208" s="130"/>
      <c r="U3208" s="151"/>
      <c r="X3208" s="170" t="str">
        <f t="shared" si="58"/>
        <v>1w</v>
      </c>
      <c r="Y3208" s="168">
        <f>_xll.qlCalendarAdvance(LiborCalendar,Y3207,X3208,"f",FALSE)</f>
        <v>61653</v>
      </c>
      <c r="Z3208" s="171">
        <f>_xll.qlInterestRateIndexValueDate(IborIndex,Y3208,Trigger)</f>
        <v>61655</v>
      </c>
      <c r="AA3208" s="172" t="e">
        <v>#N/A</v>
      </c>
      <c r="AB3208" s="169" t="e">
        <v>#N/A</v>
      </c>
    </row>
    <row r="3209" spans="20:28" x14ac:dyDescent="0.2">
      <c r="T3209" s="130"/>
      <c r="U3209" s="151"/>
      <c r="X3209" s="170" t="str">
        <f t="shared" si="58"/>
        <v>1w</v>
      </c>
      <c r="Y3209" s="168">
        <f>_xll.qlCalendarAdvance(LiborCalendar,Y3208,X3209,"f",FALSE)</f>
        <v>61660</v>
      </c>
      <c r="Z3209" s="171">
        <f>_xll.qlInterestRateIndexValueDate(IborIndex,Y3209,Trigger)</f>
        <v>61662</v>
      </c>
      <c r="AA3209" s="172" t="e">
        <v>#N/A</v>
      </c>
      <c r="AB3209" s="169" t="e">
        <v>#N/A</v>
      </c>
    </row>
    <row r="3210" spans="20:28" x14ac:dyDescent="0.2">
      <c r="T3210" s="130"/>
      <c r="U3210" s="151"/>
      <c r="X3210" s="170" t="str">
        <f t="shared" si="58"/>
        <v>1w</v>
      </c>
      <c r="Y3210" s="168">
        <f>_xll.qlCalendarAdvance(LiborCalendar,Y3209,X3210,"f",FALSE)</f>
        <v>61667</v>
      </c>
      <c r="Z3210" s="171">
        <f>_xll.qlInterestRateIndexValueDate(IborIndex,Y3210,Trigger)</f>
        <v>61669</v>
      </c>
      <c r="AA3210" s="172" t="e">
        <v>#N/A</v>
      </c>
      <c r="AB3210" s="169" t="e">
        <v>#N/A</v>
      </c>
    </row>
    <row r="3211" spans="20:28" x14ac:dyDescent="0.2">
      <c r="T3211" s="130"/>
      <c r="U3211" s="151"/>
      <c r="X3211" s="170" t="str">
        <f t="shared" si="58"/>
        <v>1w</v>
      </c>
      <c r="Y3211" s="168">
        <f>_xll.qlCalendarAdvance(LiborCalendar,Y3210,X3211,"f",FALSE)</f>
        <v>61674</v>
      </c>
      <c r="Z3211" s="171">
        <f>_xll.qlInterestRateIndexValueDate(IborIndex,Y3211,Trigger)</f>
        <v>61676</v>
      </c>
      <c r="AA3211" s="172" t="e">
        <v>#N/A</v>
      </c>
      <c r="AB3211" s="169" t="e">
        <v>#N/A</v>
      </c>
    </row>
    <row r="3212" spans="20:28" x14ac:dyDescent="0.2">
      <c r="T3212" s="130"/>
      <c r="U3212" s="151"/>
      <c r="X3212" s="170" t="str">
        <f t="shared" si="58"/>
        <v>1w</v>
      </c>
      <c r="Y3212" s="168">
        <f>_xll.qlCalendarAdvance(LiborCalendar,Y3211,X3212,"f",FALSE)</f>
        <v>61681</v>
      </c>
      <c r="Z3212" s="171">
        <f>_xll.qlInterestRateIndexValueDate(IborIndex,Y3212,Trigger)</f>
        <v>61683</v>
      </c>
      <c r="AA3212" s="172" t="e">
        <v>#N/A</v>
      </c>
      <c r="AB3212" s="169" t="e">
        <v>#N/A</v>
      </c>
    </row>
    <row r="3213" spans="20:28" x14ac:dyDescent="0.2">
      <c r="T3213" s="130"/>
      <c r="U3213" s="151"/>
      <c r="X3213" s="170" t="str">
        <f t="shared" si="58"/>
        <v>1w</v>
      </c>
      <c r="Y3213" s="168">
        <f>_xll.qlCalendarAdvance(LiborCalendar,Y3212,X3213,"f",FALSE)</f>
        <v>61688</v>
      </c>
      <c r="Z3213" s="171">
        <f>_xll.qlInterestRateIndexValueDate(IborIndex,Y3213,Trigger)</f>
        <v>61690</v>
      </c>
      <c r="AA3213" s="172" t="e">
        <v>#N/A</v>
      </c>
      <c r="AB3213" s="169" t="e">
        <v>#N/A</v>
      </c>
    </row>
    <row r="3214" spans="20:28" x14ac:dyDescent="0.2">
      <c r="T3214" s="130"/>
      <c r="U3214" s="151"/>
      <c r="X3214" s="170" t="str">
        <f t="shared" si="58"/>
        <v>1w</v>
      </c>
      <c r="Y3214" s="168">
        <f>_xll.qlCalendarAdvance(LiborCalendar,Y3213,X3214,"f",FALSE)</f>
        <v>61695</v>
      </c>
      <c r="Z3214" s="171">
        <f>_xll.qlInterestRateIndexValueDate(IborIndex,Y3214,Trigger)</f>
        <v>61697</v>
      </c>
      <c r="AA3214" s="172" t="e">
        <v>#N/A</v>
      </c>
      <c r="AB3214" s="169" t="e">
        <v>#N/A</v>
      </c>
    </row>
    <row r="3215" spans="20:28" x14ac:dyDescent="0.2">
      <c r="T3215" s="130"/>
      <c r="U3215" s="151"/>
      <c r="X3215" s="170" t="str">
        <f t="shared" si="58"/>
        <v>1w</v>
      </c>
      <c r="Y3215" s="168">
        <f>_xll.qlCalendarAdvance(LiborCalendar,Y3214,X3215,"f",FALSE)</f>
        <v>61702</v>
      </c>
      <c r="Z3215" s="171">
        <f>_xll.qlInterestRateIndexValueDate(IborIndex,Y3215,Trigger)</f>
        <v>61704</v>
      </c>
      <c r="AA3215" s="172" t="e">
        <v>#N/A</v>
      </c>
      <c r="AB3215" s="169" t="e">
        <v>#N/A</v>
      </c>
    </row>
    <row r="3216" spans="20:28" x14ac:dyDescent="0.2">
      <c r="T3216" s="130"/>
      <c r="U3216" s="151"/>
      <c r="X3216" s="170" t="str">
        <f t="shared" si="58"/>
        <v>1w</v>
      </c>
      <c r="Y3216" s="168">
        <f>_xll.qlCalendarAdvance(LiborCalendar,Y3215,X3216,"f",FALSE)</f>
        <v>61709</v>
      </c>
      <c r="Z3216" s="171">
        <f>_xll.qlInterestRateIndexValueDate(IborIndex,Y3216,Trigger)</f>
        <v>61711</v>
      </c>
      <c r="AA3216" s="172" t="e">
        <v>#N/A</v>
      </c>
      <c r="AB3216" s="169" t="e">
        <v>#N/A</v>
      </c>
    </row>
    <row r="3217" spans="20:28" x14ac:dyDescent="0.2">
      <c r="T3217" s="130"/>
      <c r="U3217" s="151"/>
      <c r="X3217" s="170" t="str">
        <f t="shared" si="58"/>
        <v>1w</v>
      </c>
      <c r="Y3217" s="168">
        <f>_xll.qlCalendarAdvance(LiborCalendar,Y3216,X3217,"f",FALSE)</f>
        <v>61716</v>
      </c>
      <c r="Z3217" s="171">
        <f>_xll.qlInterestRateIndexValueDate(IborIndex,Y3217,Trigger)</f>
        <v>61718</v>
      </c>
      <c r="AA3217" s="172" t="e">
        <v>#N/A</v>
      </c>
      <c r="AB3217" s="169" t="e">
        <v>#N/A</v>
      </c>
    </row>
    <row r="3218" spans="20:28" x14ac:dyDescent="0.2">
      <c r="T3218" s="130"/>
      <c r="U3218" s="151"/>
      <c r="X3218" s="170" t="str">
        <f t="shared" si="58"/>
        <v>1w</v>
      </c>
      <c r="Y3218" s="168">
        <f>_xll.qlCalendarAdvance(LiborCalendar,Y3217,X3218,"f",FALSE)</f>
        <v>61724</v>
      </c>
      <c r="Z3218" s="171">
        <f>_xll.qlInterestRateIndexValueDate(IborIndex,Y3218,Trigger)</f>
        <v>61728</v>
      </c>
      <c r="AA3218" s="172" t="e">
        <v>#N/A</v>
      </c>
      <c r="AB3218" s="169" t="e">
        <v>#N/A</v>
      </c>
    </row>
    <row r="3219" spans="20:28" x14ac:dyDescent="0.2">
      <c r="T3219" s="130"/>
      <c r="U3219" s="151"/>
      <c r="X3219" s="170" t="str">
        <f t="shared" si="58"/>
        <v>1w</v>
      </c>
      <c r="Y3219" s="168">
        <f>_xll.qlCalendarAdvance(LiborCalendar,Y3218,X3219,"f",FALSE)</f>
        <v>61731</v>
      </c>
      <c r="Z3219" s="171">
        <f>_xll.qlInterestRateIndexValueDate(IborIndex,Y3219,Trigger)</f>
        <v>61735</v>
      </c>
      <c r="AA3219" s="172" t="e">
        <v>#N/A</v>
      </c>
      <c r="AB3219" s="169" t="e">
        <v>#N/A</v>
      </c>
    </row>
    <row r="3220" spans="20:28" x14ac:dyDescent="0.2">
      <c r="T3220" s="130"/>
      <c r="U3220" s="151"/>
      <c r="X3220" s="170" t="str">
        <f t="shared" si="58"/>
        <v>1w</v>
      </c>
      <c r="Y3220" s="168">
        <f>_xll.qlCalendarAdvance(LiborCalendar,Y3219,X3220,"f",FALSE)</f>
        <v>61738</v>
      </c>
      <c r="Z3220" s="171">
        <f>_xll.qlInterestRateIndexValueDate(IborIndex,Y3220,Trigger)</f>
        <v>61742</v>
      </c>
      <c r="AA3220" s="172" t="e">
        <v>#N/A</v>
      </c>
      <c r="AB3220" s="169" t="e">
        <v>#N/A</v>
      </c>
    </row>
    <row r="3221" spans="20:28" x14ac:dyDescent="0.2">
      <c r="T3221" s="130"/>
      <c r="U3221" s="151"/>
      <c r="X3221" s="170" t="str">
        <f t="shared" ref="X3221:X3284" si="59">X3220</f>
        <v>1w</v>
      </c>
      <c r="Y3221" s="168">
        <f>_xll.qlCalendarAdvance(LiborCalendar,Y3220,X3221,"f",FALSE)</f>
        <v>61745</v>
      </c>
      <c r="Z3221" s="171">
        <f>_xll.qlInterestRateIndexValueDate(IborIndex,Y3221,Trigger)</f>
        <v>61749</v>
      </c>
      <c r="AA3221" s="172" t="e">
        <v>#N/A</v>
      </c>
      <c r="AB3221" s="169" t="e">
        <v>#N/A</v>
      </c>
    </row>
    <row r="3222" spans="20:28" x14ac:dyDescent="0.2">
      <c r="T3222" s="130"/>
      <c r="U3222" s="151"/>
      <c r="X3222" s="170" t="str">
        <f t="shared" si="59"/>
        <v>1w</v>
      </c>
      <c r="Y3222" s="168">
        <f>_xll.qlCalendarAdvance(LiborCalendar,Y3221,X3222,"f",FALSE)</f>
        <v>61752</v>
      </c>
      <c r="Z3222" s="171">
        <f>_xll.qlInterestRateIndexValueDate(IborIndex,Y3222,Trigger)</f>
        <v>61756</v>
      </c>
      <c r="AA3222" s="172" t="e">
        <v>#N/A</v>
      </c>
      <c r="AB3222" s="169" t="e">
        <v>#N/A</v>
      </c>
    </row>
    <row r="3223" spans="20:28" x14ac:dyDescent="0.2">
      <c r="T3223" s="130"/>
      <c r="U3223" s="151"/>
      <c r="X3223" s="170" t="str">
        <f t="shared" si="59"/>
        <v>1w</v>
      </c>
      <c r="Y3223" s="168">
        <f>_xll.qlCalendarAdvance(LiborCalendar,Y3222,X3223,"f",FALSE)</f>
        <v>61759</v>
      </c>
      <c r="Z3223" s="171">
        <f>_xll.qlInterestRateIndexValueDate(IborIndex,Y3223,Trigger)</f>
        <v>61763</v>
      </c>
      <c r="AA3223" s="172" t="e">
        <v>#N/A</v>
      </c>
      <c r="AB3223" s="169" t="e">
        <v>#N/A</v>
      </c>
    </row>
    <row r="3224" spans="20:28" x14ac:dyDescent="0.2">
      <c r="T3224" s="130"/>
      <c r="U3224" s="151"/>
      <c r="X3224" s="170" t="str">
        <f t="shared" si="59"/>
        <v>1w</v>
      </c>
      <c r="Y3224" s="168">
        <f>_xll.qlCalendarAdvance(LiborCalendar,Y3223,X3224,"f",FALSE)</f>
        <v>61766</v>
      </c>
      <c r="Z3224" s="171">
        <f>_xll.qlInterestRateIndexValueDate(IborIndex,Y3224,Trigger)</f>
        <v>61770</v>
      </c>
      <c r="AA3224" s="172" t="e">
        <v>#N/A</v>
      </c>
      <c r="AB3224" s="169" t="e">
        <v>#N/A</v>
      </c>
    </row>
    <row r="3225" spans="20:28" x14ac:dyDescent="0.2">
      <c r="T3225" s="130"/>
      <c r="U3225" s="151"/>
      <c r="X3225" s="170" t="str">
        <f t="shared" si="59"/>
        <v>1w</v>
      </c>
      <c r="Y3225" s="168">
        <f>_xll.qlCalendarAdvance(LiborCalendar,Y3224,X3225,"f",FALSE)</f>
        <v>61773</v>
      </c>
      <c r="Z3225" s="171">
        <f>_xll.qlInterestRateIndexValueDate(IborIndex,Y3225,Trigger)</f>
        <v>61777</v>
      </c>
      <c r="AA3225" s="172" t="e">
        <v>#N/A</v>
      </c>
      <c r="AB3225" s="169" t="e">
        <v>#N/A</v>
      </c>
    </row>
    <row r="3226" spans="20:28" x14ac:dyDescent="0.2">
      <c r="T3226" s="130"/>
      <c r="U3226" s="151"/>
      <c r="X3226" s="170" t="str">
        <f t="shared" si="59"/>
        <v>1w</v>
      </c>
      <c r="Y3226" s="168">
        <f>_xll.qlCalendarAdvance(LiborCalendar,Y3225,X3226,"f",FALSE)</f>
        <v>61780</v>
      </c>
      <c r="Z3226" s="171">
        <f>_xll.qlInterestRateIndexValueDate(IborIndex,Y3226,Trigger)</f>
        <v>61784</v>
      </c>
      <c r="AA3226" s="172" t="e">
        <v>#N/A</v>
      </c>
      <c r="AB3226" s="169" t="e">
        <v>#N/A</v>
      </c>
    </row>
    <row r="3227" spans="20:28" x14ac:dyDescent="0.2">
      <c r="T3227" s="130"/>
      <c r="U3227" s="151"/>
      <c r="X3227" s="170" t="str">
        <f t="shared" si="59"/>
        <v>1w</v>
      </c>
      <c r="Y3227" s="168">
        <f>_xll.qlCalendarAdvance(LiborCalendar,Y3226,X3227,"f",FALSE)</f>
        <v>61787</v>
      </c>
      <c r="Z3227" s="171">
        <f>_xll.qlInterestRateIndexValueDate(IborIndex,Y3227,Trigger)</f>
        <v>61791</v>
      </c>
      <c r="AA3227" s="172" t="e">
        <v>#N/A</v>
      </c>
      <c r="AB3227" s="169" t="e">
        <v>#N/A</v>
      </c>
    </row>
    <row r="3228" spans="20:28" x14ac:dyDescent="0.2">
      <c r="T3228" s="130"/>
      <c r="U3228" s="151"/>
      <c r="X3228" s="170" t="str">
        <f t="shared" si="59"/>
        <v>1w</v>
      </c>
      <c r="Y3228" s="168">
        <f>_xll.qlCalendarAdvance(LiborCalendar,Y3227,X3228,"f",FALSE)</f>
        <v>61794</v>
      </c>
      <c r="Z3228" s="171">
        <f>_xll.qlInterestRateIndexValueDate(IborIndex,Y3228,Trigger)</f>
        <v>61798</v>
      </c>
      <c r="AA3228" s="172" t="e">
        <v>#N/A</v>
      </c>
      <c r="AB3228" s="169" t="e">
        <v>#N/A</v>
      </c>
    </row>
    <row r="3229" spans="20:28" x14ac:dyDescent="0.2">
      <c r="T3229" s="130"/>
      <c r="U3229" s="151"/>
      <c r="X3229" s="170" t="str">
        <f t="shared" si="59"/>
        <v>1w</v>
      </c>
      <c r="Y3229" s="168">
        <f>_xll.qlCalendarAdvance(LiborCalendar,Y3228,X3229,"f",FALSE)</f>
        <v>61801</v>
      </c>
      <c r="Z3229" s="171">
        <f>_xll.qlInterestRateIndexValueDate(IborIndex,Y3229,Trigger)</f>
        <v>61805</v>
      </c>
      <c r="AA3229" s="172" t="e">
        <v>#N/A</v>
      </c>
      <c r="AB3229" s="169" t="e">
        <v>#N/A</v>
      </c>
    </row>
    <row r="3230" spans="20:28" x14ac:dyDescent="0.2">
      <c r="T3230" s="130"/>
      <c r="U3230" s="151"/>
      <c r="X3230" s="170" t="str">
        <f t="shared" si="59"/>
        <v>1w</v>
      </c>
      <c r="Y3230" s="168">
        <f>_xll.qlCalendarAdvance(LiborCalendar,Y3229,X3230,"f",FALSE)</f>
        <v>61808</v>
      </c>
      <c r="Z3230" s="171">
        <f>_xll.qlInterestRateIndexValueDate(IborIndex,Y3230,Trigger)</f>
        <v>61812</v>
      </c>
      <c r="AA3230" s="172" t="e">
        <v>#N/A</v>
      </c>
      <c r="AB3230" s="169" t="e">
        <v>#N/A</v>
      </c>
    </row>
    <row r="3231" spans="20:28" x14ac:dyDescent="0.2">
      <c r="T3231" s="130"/>
      <c r="U3231" s="151"/>
      <c r="X3231" s="170" t="str">
        <f t="shared" si="59"/>
        <v>1w</v>
      </c>
      <c r="Y3231" s="168">
        <f>_xll.qlCalendarAdvance(LiborCalendar,Y3230,X3231,"f",FALSE)</f>
        <v>61815</v>
      </c>
      <c r="Z3231" s="171">
        <f>_xll.qlInterestRateIndexValueDate(IborIndex,Y3231,Trigger)</f>
        <v>61819</v>
      </c>
      <c r="AA3231" s="172" t="e">
        <v>#N/A</v>
      </c>
      <c r="AB3231" s="169" t="e">
        <v>#N/A</v>
      </c>
    </row>
    <row r="3232" spans="20:28" x14ac:dyDescent="0.2">
      <c r="T3232" s="130"/>
      <c r="U3232" s="151"/>
      <c r="X3232" s="170" t="str">
        <f t="shared" si="59"/>
        <v>1w</v>
      </c>
      <c r="Y3232" s="168">
        <f>_xll.qlCalendarAdvance(LiborCalendar,Y3231,X3232,"f",FALSE)</f>
        <v>61822</v>
      </c>
      <c r="Z3232" s="171">
        <f>_xll.qlInterestRateIndexValueDate(IborIndex,Y3232,Trigger)</f>
        <v>61826</v>
      </c>
      <c r="AA3232" s="172" t="e">
        <v>#N/A</v>
      </c>
      <c r="AB3232" s="169" t="e">
        <v>#N/A</v>
      </c>
    </row>
    <row r="3233" spans="20:28" x14ac:dyDescent="0.2">
      <c r="T3233" s="130"/>
      <c r="U3233" s="151"/>
      <c r="X3233" s="170" t="str">
        <f t="shared" si="59"/>
        <v>1w</v>
      </c>
      <c r="Y3233" s="168">
        <f>_xll.qlCalendarAdvance(LiborCalendar,Y3232,X3233,"f",FALSE)</f>
        <v>61829</v>
      </c>
      <c r="Z3233" s="171">
        <f>_xll.qlInterestRateIndexValueDate(IborIndex,Y3233,Trigger)</f>
        <v>61835</v>
      </c>
      <c r="AA3233" s="172" t="e">
        <v>#N/A</v>
      </c>
      <c r="AB3233" s="169" t="e">
        <v>#N/A</v>
      </c>
    </row>
    <row r="3234" spans="20:28" x14ac:dyDescent="0.2">
      <c r="T3234" s="130"/>
      <c r="U3234" s="151"/>
      <c r="X3234" s="170" t="str">
        <f t="shared" si="59"/>
        <v>1w</v>
      </c>
      <c r="Y3234" s="168">
        <f>_xll.qlCalendarAdvance(LiborCalendar,Y3233,X3234,"f",FALSE)</f>
        <v>61836</v>
      </c>
      <c r="Z3234" s="171">
        <f>_xll.qlInterestRateIndexValueDate(IborIndex,Y3234,Trigger)</f>
        <v>61840</v>
      </c>
      <c r="AA3234" s="172" t="e">
        <v>#N/A</v>
      </c>
      <c r="AB3234" s="169" t="e">
        <v>#N/A</v>
      </c>
    </row>
    <row r="3235" spans="20:28" x14ac:dyDescent="0.2">
      <c r="T3235" s="130"/>
      <c r="U3235" s="151"/>
      <c r="X3235" s="170" t="str">
        <f t="shared" si="59"/>
        <v>1w</v>
      </c>
      <c r="Y3235" s="168">
        <f>_xll.qlCalendarAdvance(LiborCalendar,Y3234,X3235,"f",FALSE)</f>
        <v>61843</v>
      </c>
      <c r="Z3235" s="171">
        <f>_xll.qlInterestRateIndexValueDate(IborIndex,Y3235,Trigger)</f>
        <v>61847</v>
      </c>
      <c r="AA3235" s="172" t="e">
        <v>#N/A</v>
      </c>
      <c r="AB3235" s="169" t="e">
        <v>#N/A</v>
      </c>
    </row>
    <row r="3236" spans="20:28" x14ac:dyDescent="0.2">
      <c r="T3236" s="130"/>
      <c r="U3236" s="151"/>
      <c r="X3236" s="170" t="str">
        <f t="shared" si="59"/>
        <v>1w</v>
      </c>
      <c r="Y3236" s="168">
        <f>_xll.qlCalendarAdvance(LiborCalendar,Y3235,X3236,"f",FALSE)</f>
        <v>61850</v>
      </c>
      <c r="Z3236" s="171">
        <f>_xll.qlInterestRateIndexValueDate(IborIndex,Y3236,Trigger)</f>
        <v>61855</v>
      </c>
      <c r="AA3236" s="172" t="e">
        <v>#N/A</v>
      </c>
      <c r="AB3236" s="169" t="e">
        <v>#N/A</v>
      </c>
    </row>
    <row r="3237" spans="20:28" x14ac:dyDescent="0.2">
      <c r="T3237" s="130"/>
      <c r="U3237" s="151"/>
      <c r="X3237" s="170" t="str">
        <f t="shared" si="59"/>
        <v>1w</v>
      </c>
      <c r="Y3237" s="168">
        <f>_xll.qlCalendarAdvance(LiborCalendar,Y3236,X3237,"f",FALSE)</f>
        <v>61857</v>
      </c>
      <c r="Z3237" s="171">
        <f>_xll.qlInterestRateIndexValueDate(IborIndex,Y3237,Trigger)</f>
        <v>61861</v>
      </c>
      <c r="AA3237" s="172" t="e">
        <v>#N/A</v>
      </c>
      <c r="AB3237" s="169" t="e">
        <v>#N/A</v>
      </c>
    </row>
    <row r="3238" spans="20:28" x14ac:dyDescent="0.2">
      <c r="T3238" s="130"/>
      <c r="U3238" s="151"/>
      <c r="X3238" s="170" t="str">
        <f t="shared" si="59"/>
        <v>1w</v>
      </c>
      <c r="Y3238" s="168">
        <f>_xll.qlCalendarAdvance(LiborCalendar,Y3237,X3238,"f",FALSE)</f>
        <v>61864</v>
      </c>
      <c r="Z3238" s="171">
        <f>_xll.qlInterestRateIndexValueDate(IborIndex,Y3238,Trigger)</f>
        <v>61868</v>
      </c>
      <c r="AA3238" s="172" t="e">
        <v>#N/A</v>
      </c>
      <c r="AB3238" s="169" t="e">
        <v>#N/A</v>
      </c>
    </row>
    <row r="3239" spans="20:28" x14ac:dyDescent="0.2">
      <c r="T3239" s="130"/>
      <c r="U3239" s="151"/>
      <c r="X3239" s="170" t="str">
        <f t="shared" si="59"/>
        <v>1w</v>
      </c>
      <c r="Y3239" s="168">
        <f>_xll.qlCalendarAdvance(LiborCalendar,Y3238,X3239,"f",FALSE)</f>
        <v>61871</v>
      </c>
      <c r="Z3239" s="171">
        <f>_xll.qlInterestRateIndexValueDate(IborIndex,Y3239,Trigger)</f>
        <v>61876</v>
      </c>
      <c r="AA3239" s="172" t="e">
        <v>#N/A</v>
      </c>
      <c r="AB3239" s="169" t="e">
        <v>#N/A</v>
      </c>
    </row>
    <row r="3240" spans="20:28" x14ac:dyDescent="0.2">
      <c r="T3240" s="130"/>
      <c r="U3240" s="151"/>
      <c r="X3240" s="170" t="str">
        <f t="shared" si="59"/>
        <v>1w</v>
      </c>
      <c r="Y3240" s="168">
        <f>_xll.qlCalendarAdvance(LiborCalendar,Y3239,X3240,"f",FALSE)</f>
        <v>61878</v>
      </c>
      <c r="Z3240" s="171">
        <f>_xll.qlInterestRateIndexValueDate(IborIndex,Y3240,Trigger)</f>
        <v>61883</v>
      </c>
      <c r="AA3240" s="172" t="e">
        <v>#N/A</v>
      </c>
      <c r="AB3240" s="169" t="e">
        <v>#N/A</v>
      </c>
    </row>
    <row r="3241" spans="20:28" x14ac:dyDescent="0.2">
      <c r="T3241" s="130"/>
      <c r="U3241" s="151"/>
      <c r="X3241" s="170" t="str">
        <f t="shared" si="59"/>
        <v>1w</v>
      </c>
      <c r="Y3241" s="168">
        <f>_xll.qlCalendarAdvance(LiborCalendar,Y3240,X3241,"f",FALSE)</f>
        <v>61885</v>
      </c>
      <c r="Z3241" s="171">
        <f>_xll.qlInterestRateIndexValueDate(IborIndex,Y3241,Trigger)</f>
        <v>61889</v>
      </c>
      <c r="AA3241" s="172" t="e">
        <v>#N/A</v>
      </c>
      <c r="AB3241" s="169" t="e">
        <v>#N/A</v>
      </c>
    </row>
    <row r="3242" spans="20:28" x14ac:dyDescent="0.2">
      <c r="T3242" s="130"/>
      <c r="U3242" s="151"/>
      <c r="X3242" s="170" t="str">
        <f t="shared" si="59"/>
        <v>1w</v>
      </c>
      <c r="Y3242" s="168">
        <f>_xll.qlCalendarAdvance(LiborCalendar,Y3241,X3242,"f",FALSE)</f>
        <v>61892</v>
      </c>
      <c r="Z3242" s="171">
        <f>_xll.qlInterestRateIndexValueDate(IborIndex,Y3242,Trigger)</f>
        <v>61896</v>
      </c>
      <c r="AA3242" s="172" t="e">
        <v>#N/A</v>
      </c>
      <c r="AB3242" s="169" t="e">
        <v>#N/A</v>
      </c>
    </row>
    <row r="3243" spans="20:28" x14ac:dyDescent="0.2">
      <c r="T3243" s="130"/>
      <c r="U3243" s="151"/>
      <c r="X3243" s="170" t="str">
        <f t="shared" si="59"/>
        <v>1w</v>
      </c>
      <c r="Y3243" s="168">
        <f>_xll.qlCalendarAdvance(LiborCalendar,Y3242,X3243,"f",FALSE)</f>
        <v>61899</v>
      </c>
      <c r="Z3243" s="171">
        <f>_xll.qlInterestRateIndexValueDate(IborIndex,Y3243,Trigger)</f>
        <v>61903</v>
      </c>
      <c r="AA3243" s="172" t="e">
        <v>#N/A</v>
      </c>
      <c r="AB3243" s="169" t="e">
        <v>#N/A</v>
      </c>
    </row>
    <row r="3244" spans="20:28" x14ac:dyDescent="0.2">
      <c r="T3244" s="130"/>
      <c r="U3244" s="151"/>
      <c r="X3244" s="170" t="str">
        <f t="shared" si="59"/>
        <v>1w</v>
      </c>
      <c r="Y3244" s="168">
        <f>_xll.qlCalendarAdvance(LiborCalendar,Y3243,X3244,"f",FALSE)</f>
        <v>61906</v>
      </c>
      <c r="Z3244" s="171">
        <f>_xll.qlInterestRateIndexValueDate(IborIndex,Y3244,Trigger)</f>
        <v>61910</v>
      </c>
      <c r="AA3244" s="172" t="e">
        <v>#N/A</v>
      </c>
      <c r="AB3244" s="169" t="e">
        <v>#N/A</v>
      </c>
    </row>
    <row r="3245" spans="20:28" x14ac:dyDescent="0.2">
      <c r="T3245" s="130"/>
      <c r="U3245" s="151"/>
      <c r="X3245" s="170" t="str">
        <f t="shared" si="59"/>
        <v>1w</v>
      </c>
      <c r="Y3245" s="168">
        <f>_xll.qlCalendarAdvance(LiborCalendar,Y3244,X3245,"f",FALSE)</f>
        <v>61913</v>
      </c>
      <c r="Z3245" s="171">
        <f>_xll.qlInterestRateIndexValueDate(IborIndex,Y3245,Trigger)</f>
        <v>61917</v>
      </c>
      <c r="AA3245" s="172" t="e">
        <v>#N/A</v>
      </c>
      <c r="AB3245" s="169" t="e">
        <v>#N/A</v>
      </c>
    </row>
    <row r="3246" spans="20:28" x14ac:dyDescent="0.2">
      <c r="T3246" s="130"/>
      <c r="U3246" s="151"/>
      <c r="X3246" s="170" t="str">
        <f t="shared" si="59"/>
        <v>1w</v>
      </c>
      <c r="Y3246" s="168">
        <f>_xll.qlCalendarAdvance(LiborCalendar,Y3245,X3246,"f",FALSE)</f>
        <v>61920</v>
      </c>
      <c r="Z3246" s="171">
        <f>_xll.qlInterestRateIndexValueDate(IborIndex,Y3246,Trigger)</f>
        <v>61924</v>
      </c>
      <c r="AA3246" s="172" t="e">
        <v>#N/A</v>
      </c>
      <c r="AB3246" s="169" t="e">
        <v>#N/A</v>
      </c>
    </row>
    <row r="3247" spans="20:28" x14ac:dyDescent="0.2">
      <c r="T3247" s="130"/>
      <c r="U3247" s="151"/>
      <c r="X3247" s="170" t="str">
        <f t="shared" si="59"/>
        <v>1w</v>
      </c>
      <c r="Y3247" s="168">
        <f>_xll.qlCalendarAdvance(LiborCalendar,Y3246,X3247,"f",FALSE)</f>
        <v>61927</v>
      </c>
      <c r="Z3247" s="171">
        <f>_xll.qlInterestRateIndexValueDate(IborIndex,Y3247,Trigger)</f>
        <v>61931</v>
      </c>
      <c r="AA3247" s="172" t="e">
        <v>#N/A</v>
      </c>
      <c r="AB3247" s="169" t="e">
        <v>#N/A</v>
      </c>
    </row>
    <row r="3248" spans="20:28" x14ac:dyDescent="0.2">
      <c r="T3248" s="130"/>
      <c r="U3248" s="151"/>
      <c r="X3248" s="170" t="str">
        <f t="shared" si="59"/>
        <v>1w</v>
      </c>
      <c r="Y3248" s="168">
        <f>_xll.qlCalendarAdvance(LiborCalendar,Y3247,X3248,"f",FALSE)</f>
        <v>61934</v>
      </c>
      <c r="Z3248" s="171">
        <f>_xll.qlInterestRateIndexValueDate(IborIndex,Y3248,Trigger)</f>
        <v>61938</v>
      </c>
      <c r="AA3248" s="172" t="e">
        <v>#N/A</v>
      </c>
      <c r="AB3248" s="169" t="e">
        <v>#N/A</v>
      </c>
    </row>
    <row r="3249" spans="20:28" x14ac:dyDescent="0.2">
      <c r="T3249" s="130"/>
      <c r="U3249" s="151"/>
      <c r="X3249" s="170" t="str">
        <f t="shared" si="59"/>
        <v>1w</v>
      </c>
      <c r="Y3249" s="168">
        <f>_xll.qlCalendarAdvance(LiborCalendar,Y3248,X3249,"f",FALSE)</f>
        <v>61941</v>
      </c>
      <c r="Z3249" s="171">
        <f>_xll.qlInterestRateIndexValueDate(IborIndex,Y3249,Trigger)</f>
        <v>61945</v>
      </c>
      <c r="AA3249" s="172" t="e">
        <v>#N/A</v>
      </c>
      <c r="AB3249" s="169" t="e">
        <v>#N/A</v>
      </c>
    </row>
    <row r="3250" spans="20:28" x14ac:dyDescent="0.2">
      <c r="T3250" s="130"/>
      <c r="U3250" s="151"/>
      <c r="X3250" s="170" t="str">
        <f t="shared" si="59"/>
        <v>1w</v>
      </c>
      <c r="Y3250" s="168">
        <f>_xll.qlCalendarAdvance(LiborCalendar,Y3249,X3250,"f",FALSE)</f>
        <v>61948</v>
      </c>
      <c r="Z3250" s="171">
        <f>_xll.qlInterestRateIndexValueDate(IborIndex,Y3250,Trigger)</f>
        <v>61952</v>
      </c>
      <c r="AA3250" s="172" t="e">
        <v>#N/A</v>
      </c>
      <c r="AB3250" s="169" t="e">
        <v>#N/A</v>
      </c>
    </row>
    <row r="3251" spans="20:28" x14ac:dyDescent="0.2">
      <c r="T3251" s="130"/>
      <c r="U3251" s="151"/>
      <c r="X3251" s="170" t="str">
        <f t="shared" si="59"/>
        <v>1w</v>
      </c>
      <c r="Y3251" s="168">
        <f>_xll.qlCalendarAdvance(LiborCalendar,Y3250,X3251,"f",FALSE)</f>
        <v>61955</v>
      </c>
      <c r="Z3251" s="171">
        <f>_xll.qlInterestRateIndexValueDate(IborIndex,Y3251,Trigger)</f>
        <v>61959</v>
      </c>
      <c r="AA3251" s="172" t="e">
        <v>#N/A</v>
      </c>
      <c r="AB3251" s="169" t="e">
        <v>#N/A</v>
      </c>
    </row>
    <row r="3252" spans="20:28" x14ac:dyDescent="0.2">
      <c r="T3252" s="130"/>
      <c r="U3252" s="151"/>
      <c r="X3252" s="170" t="str">
        <f t="shared" si="59"/>
        <v>1w</v>
      </c>
      <c r="Y3252" s="168">
        <f>_xll.qlCalendarAdvance(LiborCalendar,Y3251,X3252,"f",FALSE)</f>
        <v>61962</v>
      </c>
      <c r="Z3252" s="171">
        <f>_xll.qlInterestRateIndexValueDate(IborIndex,Y3252,Trigger)</f>
        <v>61967</v>
      </c>
      <c r="AA3252" s="172" t="e">
        <v>#N/A</v>
      </c>
      <c r="AB3252" s="169" t="e">
        <v>#N/A</v>
      </c>
    </row>
    <row r="3253" spans="20:28" x14ac:dyDescent="0.2">
      <c r="T3253" s="130"/>
      <c r="U3253" s="151"/>
      <c r="X3253" s="170" t="str">
        <f t="shared" si="59"/>
        <v>1w</v>
      </c>
      <c r="Y3253" s="168">
        <f>_xll.qlCalendarAdvance(LiborCalendar,Y3252,X3253,"f",FALSE)</f>
        <v>61969</v>
      </c>
      <c r="Z3253" s="171">
        <f>_xll.qlInterestRateIndexValueDate(IborIndex,Y3253,Trigger)</f>
        <v>61973</v>
      </c>
      <c r="AA3253" s="172" t="e">
        <v>#N/A</v>
      </c>
      <c r="AB3253" s="169" t="e">
        <v>#N/A</v>
      </c>
    </row>
    <row r="3254" spans="20:28" x14ac:dyDescent="0.2">
      <c r="T3254" s="130"/>
      <c r="U3254" s="151"/>
      <c r="X3254" s="170" t="str">
        <f t="shared" si="59"/>
        <v>1w</v>
      </c>
      <c r="Y3254" s="168">
        <f>_xll.qlCalendarAdvance(LiborCalendar,Y3253,X3254,"f",FALSE)</f>
        <v>61976</v>
      </c>
      <c r="Z3254" s="171">
        <f>_xll.qlInterestRateIndexValueDate(IborIndex,Y3254,Trigger)</f>
        <v>61980</v>
      </c>
      <c r="AA3254" s="172" t="e">
        <v>#N/A</v>
      </c>
      <c r="AB3254" s="169" t="e">
        <v>#N/A</v>
      </c>
    </row>
    <row r="3255" spans="20:28" x14ac:dyDescent="0.2">
      <c r="T3255" s="130"/>
      <c r="U3255" s="151"/>
      <c r="X3255" s="170" t="str">
        <f t="shared" si="59"/>
        <v>1w</v>
      </c>
      <c r="Y3255" s="168">
        <f>_xll.qlCalendarAdvance(LiborCalendar,Y3254,X3255,"f",FALSE)</f>
        <v>61983</v>
      </c>
      <c r="Z3255" s="171">
        <f>_xll.qlInterestRateIndexValueDate(IborIndex,Y3255,Trigger)</f>
        <v>61987</v>
      </c>
      <c r="AA3255" s="172" t="e">
        <v>#N/A</v>
      </c>
      <c r="AB3255" s="169" t="e">
        <v>#N/A</v>
      </c>
    </row>
    <row r="3256" spans="20:28" x14ac:dyDescent="0.2">
      <c r="T3256" s="130"/>
      <c r="U3256" s="151"/>
      <c r="X3256" s="170" t="str">
        <f t="shared" si="59"/>
        <v>1w</v>
      </c>
      <c r="Y3256" s="168">
        <f>_xll.qlCalendarAdvance(LiborCalendar,Y3255,X3256,"f",FALSE)</f>
        <v>61990</v>
      </c>
      <c r="Z3256" s="171">
        <f>_xll.qlInterestRateIndexValueDate(IborIndex,Y3256,Trigger)</f>
        <v>61994</v>
      </c>
      <c r="AA3256" s="172" t="e">
        <v>#N/A</v>
      </c>
      <c r="AB3256" s="169" t="e">
        <v>#N/A</v>
      </c>
    </row>
    <row r="3257" spans="20:28" x14ac:dyDescent="0.2">
      <c r="T3257" s="130"/>
      <c r="U3257" s="151"/>
      <c r="X3257" s="170" t="str">
        <f t="shared" si="59"/>
        <v>1w</v>
      </c>
      <c r="Y3257" s="168">
        <f>_xll.qlCalendarAdvance(LiborCalendar,Y3256,X3257,"f",FALSE)</f>
        <v>61997</v>
      </c>
      <c r="Z3257" s="171">
        <f>_xll.qlInterestRateIndexValueDate(IborIndex,Y3257,Trigger)</f>
        <v>62001</v>
      </c>
      <c r="AA3257" s="172" t="e">
        <v>#N/A</v>
      </c>
      <c r="AB3257" s="169" t="e">
        <v>#N/A</v>
      </c>
    </row>
    <row r="3258" spans="20:28" x14ac:dyDescent="0.2">
      <c r="T3258" s="130"/>
      <c r="U3258" s="151"/>
      <c r="X3258" s="170" t="str">
        <f t="shared" si="59"/>
        <v>1w</v>
      </c>
      <c r="Y3258" s="168">
        <f>_xll.qlCalendarAdvance(LiborCalendar,Y3257,X3258,"f",FALSE)</f>
        <v>62004</v>
      </c>
      <c r="Z3258" s="171">
        <f>_xll.qlInterestRateIndexValueDate(IborIndex,Y3258,Trigger)</f>
        <v>62008</v>
      </c>
      <c r="AA3258" s="172" t="e">
        <v>#N/A</v>
      </c>
      <c r="AB3258" s="169" t="e">
        <v>#N/A</v>
      </c>
    </row>
    <row r="3259" spans="20:28" x14ac:dyDescent="0.2">
      <c r="T3259" s="130"/>
      <c r="U3259" s="151"/>
      <c r="X3259" s="170" t="str">
        <f t="shared" si="59"/>
        <v>1w</v>
      </c>
      <c r="Y3259" s="168">
        <f>_xll.qlCalendarAdvance(LiborCalendar,Y3258,X3259,"f",FALSE)</f>
        <v>62011</v>
      </c>
      <c r="Z3259" s="171">
        <f>_xll.qlInterestRateIndexValueDate(IborIndex,Y3259,Trigger)</f>
        <v>62015</v>
      </c>
      <c r="AA3259" s="172" t="e">
        <v>#N/A</v>
      </c>
      <c r="AB3259" s="169" t="e">
        <v>#N/A</v>
      </c>
    </row>
    <row r="3260" spans="20:28" x14ac:dyDescent="0.2">
      <c r="T3260" s="130"/>
      <c r="U3260" s="151"/>
      <c r="X3260" s="170" t="str">
        <f t="shared" si="59"/>
        <v>1w</v>
      </c>
      <c r="Y3260" s="168">
        <f>_xll.qlCalendarAdvance(LiborCalendar,Y3259,X3260,"f",FALSE)</f>
        <v>62018</v>
      </c>
      <c r="Z3260" s="171">
        <f>_xll.qlInterestRateIndexValueDate(IborIndex,Y3260,Trigger)</f>
        <v>62022</v>
      </c>
      <c r="AA3260" s="172" t="e">
        <v>#N/A</v>
      </c>
      <c r="AB3260" s="169" t="e">
        <v>#N/A</v>
      </c>
    </row>
    <row r="3261" spans="20:28" x14ac:dyDescent="0.2">
      <c r="T3261" s="130"/>
      <c r="U3261" s="151"/>
      <c r="X3261" s="170" t="str">
        <f t="shared" si="59"/>
        <v>1w</v>
      </c>
      <c r="Y3261" s="168">
        <f>_xll.qlCalendarAdvance(LiborCalendar,Y3260,X3261,"f",FALSE)</f>
        <v>62025</v>
      </c>
      <c r="Z3261" s="171">
        <f>_xll.qlInterestRateIndexValueDate(IborIndex,Y3261,Trigger)</f>
        <v>62029</v>
      </c>
      <c r="AA3261" s="172" t="e">
        <v>#N/A</v>
      </c>
      <c r="AB3261" s="169" t="e">
        <v>#N/A</v>
      </c>
    </row>
    <row r="3262" spans="20:28" x14ac:dyDescent="0.2">
      <c r="T3262" s="130"/>
      <c r="U3262" s="151"/>
      <c r="X3262" s="170" t="str">
        <f t="shared" si="59"/>
        <v>1w</v>
      </c>
      <c r="Y3262" s="168">
        <f>_xll.qlCalendarAdvance(LiborCalendar,Y3261,X3262,"f",FALSE)</f>
        <v>62032</v>
      </c>
      <c r="Z3262" s="171">
        <f>_xll.qlInterestRateIndexValueDate(IborIndex,Y3262,Trigger)</f>
        <v>62036</v>
      </c>
      <c r="AA3262" s="172" t="e">
        <v>#N/A</v>
      </c>
      <c r="AB3262" s="169" t="e">
        <v>#N/A</v>
      </c>
    </row>
    <row r="3263" spans="20:28" x14ac:dyDescent="0.2">
      <c r="T3263" s="130"/>
      <c r="U3263" s="151"/>
      <c r="X3263" s="170" t="str">
        <f t="shared" si="59"/>
        <v>1w</v>
      </c>
      <c r="Y3263" s="168">
        <f>_xll.qlCalendarAdvance(LiborCalendar,Y3262,X3263,"f",FALSE)</f>
        <v>62039</v>
      </c>
      <c r="Z3263" s="171">
        <f>_xll.qlInterestRateIndexValueDate(IborIndex,Y3263,Trigger)</f>
        <v>62043</v>
      </c>
      <c r="AA3263" s="172" t="e">
        <v>#N/A</v>
      </c>
      <c r="AB3263" s="169" t="e">
        <v>#N/A</v>
      </c>
    </row>
    <row r="3264" spans="20:28" x14ac:dyDescent="0.2">
      <c r="T3264" s="130"/>
      <c r="U3264" s="151"/>
      <c r="X3264" s="170" t="str">
        <f t="shared" si="59"/>
        <v>1w</v>
      </c>
      <c r="Y3264" s="168">
        <f>_xll.qlCalendarAdvance(LiborCalendar,Y3263,X3264,"f",FALSE)</f>
        <v>62046</v>
      </c>
      <c r="Z3264" s="171">
        <f>_xll.qlInterestRateIndexValueDate(IborIndex,Y3264,Trigger)</f>
        <v>62050</v>
      </c>
      <c r="AA3264" s="172" t="e">
        <v>#N/A</v>
      </c>
      <c r="AB3264" s="169" t="e">
        <v>#N/A</v>
      </c>
    </row>
    <row r="3265" spans="20:28" x14ac:dyDescent="0.2">
      <c r="T3265" s="130"/>
      <c r="U3265" s="151"/>
      <c r="X3265" s="170" t="str">
        <f t="shared" si="59"/>
        <v>1w</v>
      </c>
      <c r="Y3265" s="168">
        <f>_xll.qlCalendarAdvance(LiborCalendar,Y3264,X3265,"f",FALSE)</f>
        <v>62053</v>
      </c>
      <c r="Z3265" s="171">
        <f>_xll.qlInterestRateIndexValueDate(IborIndex,Y3265,Trigger)</f>
        <v>62057</v>
      </c>
      <c r="AA3265" s="172" t="e">
        <v>#N/A</v>
      </c>
      <c r="AB3265" s="169" t="e">
        <v>#N/A</v>
      </c>
    </row>
    <row r="3266" spans="20:28" x14ac:dyDescent="0.2">
      <c r="T3266" s="130"/>
      <c r="U3266" s="151"/>
      <c r="X3266" s="170" t="str">
        <f t="shared" si="59"/>
        <v>1w</v>
      </c>
      <c r="Y3266" s="168">
        <f>_xll.qlCalendarAdvance(LiborCalendar,Y3265,X3266,"f",FALSE)</f>
        <v>62060</v>
      </c>
      <c r="Z3266" s="171">
        <f>_xll.qlInterestRateIndexValueDate(IborIndex,Y3266,Trigger)</f>
        <v>62064</v>
      </c>
      <c r="AA3266" s="172" t="e">
        <v>#N/A</v>
      </c>
      <c r="AB3266" s="169" t="e">
        <v>#N/A</v>
      </c>
    </row>
    <row r="3267" spans="20:28" x14ac:dyDescent="0.2">
      <c r="T3267" s="130"/>
      <c r="U3267" s="151"/>
      <c r="X3267" s="170" t="str">
        <f t="shared" si="59"/>
        <v>1w</v>
      </c>
      <c r="Y3267" s="168">
        <f>_xll.qlCalendarAdvance(LiborCalendar,Y3266,X3267,"f",FALSE)</f>
        <v>62067</v>
      </c>
      <c r="Z3267" s="171">
        <f>_xll.qlInterestRateIndexValueDate(IborIndex,Y3267,Trigger)</f>
        <v>62071</v>
      </c>
      <c r="AA3267" s="172" t="e">
        <v>#N/A</v>
      </c>
      <c r="AB3267" s="169" t="e">
        <v>#N/A</v>
      </c>
    </row>
    <row r="3268" spans="20:28" x14ac:dyDescent="0.2">
      <c r="T3268" s="130"/>
      <c r="U3268" s="151"/>
      <c r="X3268" s="170" t="str">
        <f t="shared" si="59"/>
        <v>1w</v>
      </c>
      <c r="Y3268" s="168">
        <f>_xll.qlCalendarAdvance(LiborCalendar,Y3267,X3268,"f",FALSE)</f>
        <v>62074</v>
      </c>
      <c r="Z3268" s="171">
        <f>_xll.qlInterestRateIndexValueDate(IborIndex,Y3268,Trigger)</f>
        <v>62078</v>
      </c>
      <c r="AA3268" s="172" t="e">
        <v>#N/A</v>
      </c>
      <c r="AB3268" s="169" t="e">
        <v>#N/A</v>
      </c>
    </row>
    <row r="3269" spans="20:28" x14ac:dyDescent="0.2">
      <c r="T3269" s="130"/>
      <c r="U3269" s="151"/>
      <c r="X3269" s="170" t="str">
        <f t="shared" si="59"/>
        <v>1w</v>
      </c>
      <c r="Y3269" s="168">
        <f>_xll.qlCalendarAdvance(LiborCalendar,Y3268,X3269,"f",FALSE)</f>
        <v>62081</v>
      </c>
      <c r="Z3269" s="171">
        <f>_xll.qlInterestRateIndexValueDate(IborIndex,Y3269,Trigger)</f>
        <v>62085</v>
      </c>
      <c r="AA3269" s="172" t="e">
        <v>#N/A</v>
      </c>
      <c r="AB3269" s="169" t="e">
        <v>#N/A</v>
      </c>
    </row>
    <row r="3270" spans="20:28" x14ac:dyDescent="0.2">
      <c r="T3270" s="130"/>
      <c r="U3270" s="151"/>
      <c r="X3270" s="170" t="str">
        <f t="shared" si="59"/>
        <v>1w</v>
      </c>
      <c r="Y3270" s="168">
        <f>_xll.qlCalendarAdvance(LiborCalendar,Y3269,X3270,"f",FALSE)</f>
        <v>62089</v>
      </c>
      <c r="Z3270" s="171">
        <f>_xll.qlInterestRateIndexValueDate(IborIndex,Y3270,Trigger)</f>
        <v>62093</v>
      </c>
      <c r="AA3270" s="172" t="e">
        <v>#N/A</v>
      </c>
      <c r="AB3270" s="169" t="e">
        <v>#N/A</v>
      </c>
    </row>
    <row r="3271" spans="20:28" x14ac:dyDescent="0.2">
      <c r="T3271" s="130"/>
      <c r="U3271" s="151"/>
      <c r="X3271" s="170" t="str">
        <f t="shared" si="59"/>
        <v>1w</v>
      </c>
      <c r="Y3271" s="168">
        <f>_xll.qlCalendarAdvance(LiborCalendar,Y3270,X3271,"f",FALSE)</f>
        <v>62096</v>
      </c>
      <c r="Z3271" s="171">
        <f>_xll.qlInterestRateIndexValueDate(IborIndex,Y3271,Trigger)</f>
        <v>62100</v>
      </c>
      <c r="AA3271" s="172" t="e">
        <v>#N/A</v>
      </c>
      <c r="AB3271" s="169" t="e">
        <v>#N/A</v>
      </c>
    </row>
    <row r="3272" spans="20:28" x14ac:dyDescent="0.2">
      <c r="T3272" s="130"/>
      <c r="U3272" s="151"/>
      <c r="X3272" s="170" t="str">
        <f t="shared" si="59"/>
        <v>1w</v>
      </c>
      <c r="Y3272" s="168">
        <f>_xll.qlCalendarAdvance(LiborCalendar,Y3271,X3272,"f",FALSE)</f>
        <v>62103</v>
      </c>
      <c r="Z3272" s="171">
        <f>_xll.qlInterestRateIndexValueDate(IborIndex,Y3272,Trigger)</f>
        <v>62107</v>
      </c>
      <c r="AA3272" s="172" t="e">
        <v>#N/A</v>
      </c>
      <c r="AB3272" s="169" t="e">
        <v>#N/A</v>
      </c>
    </row>
    <row r="3273" spans="20:28" x14ac:dyDescent="0.2">
      <c r="T3273" s="130"/>
      <c r="U3273" s="151"/>
      <c r="X3273" s="170" t="str">
        <f t="shared" si="59"/>
        <v>1w</v>
      </c>
      <c r="Y3273" s="168">
        <f>_xll.qlCalendarAdvance(LiborCalendar,Y3272,X3273,"f",FALSE)</f>
        <v>62110</v>
      </c>
      <c r="Z3273" s="171">
        <f>_xll.qlInterestRateIndexValueDate(IborIndex,Y3273,Trigger)</f>
        <v>62114</v>
      </c>
      <c r="AA3273" s="172" t="e">
        <v>#N/A</v>
      </c>
      <c r="AB3273" s="169" t="e">
        <v>#N/A</v>
      </c>
    </row>
    <row r="3274" spans="20:28" x14ac:dyDescent="0.2">
      <c r="T3274" s="130"/>
      <c r="U3274" s="151"/>
      <c r="X3274" s="170" t="str">
        <f t="shared" si="59"/>
        <v>1w</v>
      </c>
      <c r="Y3274" s="168">
        <f>_xll.qlCalendarAdvance(LiborCalendar,Y3273,X3274,"f",FALSE)</f>
        <v>62117</v>
      </c>
      <c r="Z3274" s="171">
        <f>_xll.qlInterestRateIndexValueDate(IborIndex,Y3274,Trigger)</f>
        <v>62121</v>
      </c>
      <c r="AA3274" s="172" t="e">
        <v>#N/A</v>
      </c>
      <c r="AB3274" s="169" t="e">
        <v>#N/A</v>
      </c>
    </row>
    <row r="3275" spans="20:28" x14ac:dyDescent="0.2">
      <c r="T3275" s="130"/>
      <c r="U3275" s="151"/>
      <c r="X3275" s="170" t="str">
        <f t="shared" si="59"/>
        <v>1w</v>
      </c>
      <c r="Y3275" s="168">
        <f>_xll.qlCalendarAdvance(LiborCalendar,Y3274,X3275,"f",FALSE)</f>
        <v>62124</v>
      </c>
      <c r="Z3275" s="171">
        <f>_xll.qlInterestRateIndexValueDate(IborIndex,Y3275,Trigger)</f>
        <v>62128</v>
      </c>
      <c r="AA3275" s="172" t="e">
        <v>#N/A</v>
      </c>
      <c r="AB3275" s="169" t="e">
        <v>#N/A</v>
      </c>
    </row>
    <row r="3276" spans="20:28" x14ac:dyDescent="0.2">
      <c r="T3276" s="130"/>
      <c r="U3276" s="151"/>
      <c r="X3276" s="170" t="str">
        <f t="shared" si="59"/>
        <v>1w</v>
      </c>
      <c r="Y3276" s="168">
        <f>_xll.qlCalendarAdvance(LiborCalendar,Y3275,X3276,"f",FALSE)</f>
        <v>62131</v>
      </c>
      <c r="Z3276" s="171">
        <f>_xll.qlInterestRateIndexValueDate(IborIndex,Y3276,Trigger)</f>
        <v>62135</v>
      </c>
      <c r="AA3276" s="172" t="e">
        <v>#N/A</v>
      </c>
      <c r="AB3276" s="169" t="e">
        <v>#N/A</v>
      </c>
    </row>
    <row r="3277" spans="20:28" x14ac:dyDescent="0.2">
      <c r="T3277" s="130"/>
      <c r="U3277" s="151"/>
      <c r="X3277" s="170" t="str">
        <f t="shared" si="59"/>
        <v>1w</v>
      </c>
      <c r="Y3277" s="168">
        <f>_xll.qlCalendarAdvance(LiborCalendar,Y3276,X3277,"f",FALSE)</f>
        <v>62138</v>
      </c>
      <c r="Z3277" s="171">
        <f>_xll.qlInterestRateIndexValueDate(IborIndex,Y3277,Trigger)</f>
        <v>62142</v>
      </c>
      <c r="AA3277" s="172" t="e">
        <v>#N/A</v>
      </c>
      <c r="AB3277" s="169" t="e">
        <v>#N/A</v>
      </c>
    </row>
    <row r="3278" spans="20:28" x14ac:dyDescent="0.2">
      <c r="T3278" s="130"/>
      <c r="U3278" s="151"/>
      <c r="X3278" s="170" t="str">
        <f t="shared" si="59"/>
        <v>1w</v>
      </c>
      <c r="Y3278" s="168">
        <f>_xll.qlCalendarAdvance(LiborCalendar,Y3277,X3278,"f",FALSE)</f>
        <v>62145</v>
      </c>
      <c r="Z3278" s="171">
        <f>_xll.qlInterestRateIndexValueDate(IborIndex,Y3278,Trigger)</f>
        <v>62149</v>
      </c>
      <c r="AA3278" s="172" t="e">
        <v>#N/A</v>
      </c>
      <c r="AB3278" s="169" t="e">
        <v>#N/A</v>
      </c>
    </row>
    <row r="3279" spans="20:28" x14ac:dyDescent="0.2">
      <c r="T3279" s="130"/>
      <c r="U3279" s="151"/>
      <c r="X3279" s="170" t="str">
        <f t="shared" si="59"/>
        <v>1w</v>
      </c>
      <c r="Y3279" s="168">
        <f>_xll.qlCalendarAdvance(LiborCalendar,Y3278,X3279,"f",FALSE)</f>
        <v>62152</v>
      </c>
      <c r="Z3279" s="171">
        <f>_xll.qlInterestRateIndexValueDate(IborIndex,Y3279,Trigger)</f>
        <v>62156</v>
      </c>
      <c r="AA3279" s="172" t="e">
        <v>#N/A</v>
      </c>
      <c r="AB3279" s="169" t="e">
        <v>#N/A</v>
      </c>
    </row>
    <row r="3280" spans="20:28" x14ac:dyDescent="0.2">
      <c r="T3280" s="130"/>
      <c r="U3280" s="151"/>
      <c r="X3280" s="170" t="str">
        <f t="shared" si="59"/>
        <v>1w</v>
      </c>
      <c r="Y3280" s="168">
        <f>_xll.qlCalendarAdvance(LiborCalendar,Y3279,X3280,"f",FALSE)</f>
        <v>62159</v>
      </c>
      <c r="Z3280" s="171">
        <f>_xll.qlInterestRateIndexValueDate(IborIndex,Y3280,Trigger)</f>
        <v>62163</v>
      </c>
      <c r="AA3280" s="172" t="e">
        <v>#N/A</v>
      </c>
      <c r="AB3280" s="169" t="e">
        <v>#N/A</v>
      </c>
    </row>
    <row r="3281" spans="20:28" x14ac:dyDescent="0.2">
      <c r="T3281" s="130"/>
      <c r="U3281" s="151"/>
      <c r="X3281" s="170" t="str">
        <f t="shared" si="59"/>
        <v>1w</v>
      </c>
      <c r="Y3281" s="168">
        <f>_xll.qlCalendarAdvance(LiborCalendar,Y3280,X3281,"f",FALSE)</f>
        <v>62166</v>
      </c>
      <c r="Z3281" s="171">
        <f>_xll.qlInterestRateIndexValueDate(IborIndex,Y3281,Trigger)</f>
        <v>62170</v>
      </c>
      <c r="AA3281" s="172" t="e">
        <v>#N/A</v>
      </c>
      <c r="AB3281" s="169" t="e">
        <v>#N/A</v>
      </c>
    </row>
    <row r="3282" spans="20:28" x14ac:dyDescent="0.2">
      <c r="T3282" s="130"/>
      <c r="U3282" s="151"/>
      <c r="X3282" s="170" t="str">
        <f t="shared" si="59"/>
        <v>1w</v>
      </c>
      <c r="Y3282" s="168">
        <f>_xll.qlCalendarAdvance(LiborCalendar,Y3281,X3282,"f",FALSE)</f>
        <v>62173</v>
      </c>
      <c r="Z3282" s="171">
        <f>_xll.qlInterestRateIndexValueDate(IborIndex,Y3282,Trigger)</f>
        <v>62177</v>
      </c>
      <c r="AA3282" s="172" t="e">
        <v>#N/A</v>
      </c>
      <c r="AB3282" s="169" t="e">
        <v>#N/A</v>
      </c>
    </row>
    <row r="3283" spans="20:28" x14ac:dyDescent="0.2">
      <c r="T3283" s="130"/>
      <c r="U3283" s="151"/>
      <c r="X3283" s="170" t="str">
        <f t="shared" si="59"/>
        <v>1w</v>
      </c>
      <c r="Y3283" s="168">
        <f>_xll.qlCalendarAdvance(LiborCalendar,Y3282,X3283,"f",FALSE)</f>
        <v>62184</v>
      </c>
      <c r="Z3283" s="171">
        <f>_xll.qlInterestRateIndexValueDate(IborIndex,Y3283,Trigger)</f>
        <v>62186</v>
      </c>
      <c r="AA3283" s="172" t="e">
        <v>#N/A</v>
      </c>
      <c r="AB3283" s="169" t="e">
        <v>#N/A</v>
      </c>
    </row>
    <row r="3284" spans="20:28" x14ac:dyDescent="0.2">
      <c r="T3284" s="130"/>
      <c r="U3284" s="151"/>
      <c r="X3284" s="170" t="str">
        <f t="shared" si="59"/>
        <v>1w</v>
      </c>
      <c r="Y3284" s="168">
        <f>_xll.qlCalendarAdvance(LiborCalendar,Y3283,X3284,"f",FALSE)</f>
        <v>62191</v>
      </c>
      <c r="Z3284" s="171">
        <f>_xll.qlInterestRateIndexValueDate(IborIndex,Y3284,Trigger)</f>
        <v>62193</v>
      </c>
      <c r="AA3284" s="172" t="e">
        <v>#N/A</v>
      </c>
      <c r="AB3284" s="169" t="e">
        <v>#N/A</v>
      </c>
    </row>
    <row r="3285" spans="20:28" x14ac:dyDescent="0.2">
      <c r="T3285" s="130"/>
      <c r="U3285" s="151"/>
      <c r="X3285" s="170" t="str">
        <f t="shared" ref="X3285:X3348" si="60">X3284</f>
        <v>1w</v>
      </c>
      <c r="Y3285" s="168">
        <f>_xll.qlCalendarAdvance(LiborCalendar,Y3284,X3285,"f",FALSE)</f>
        <v>62198</v>
      </c>
      <c r="Z3285" s="171">
        <f>_xll.qlInterestRateIndexValueDate(IborIndex,Y3285,Trigger)</f>
        <v>62200</v>
      </c>
      <c r="AA3285" s="172" t="e">
        <v>#N/A</v>
      </c>
      <c r="AB3285" s="169" t="e">
        <v>#N/A</v>
      </c>
    </row>
    <row r="3286" spans="20:28" x14ac:dyDescent="0.2">
      <c r="T3286" s="130"/>
      <c r="U3286" s="151"/>
      <c r="X3286" s="170" t="str">
        <f t="shared" si="60"/>
        <v>1w</v>
      </c>
      <c r="Y3286" s="168">
        <f>_xll.qlCalendarAdvance(LiborCalendar,Y3285,X3286,"f",FALSE)</f>
        <v>62205</v>
      </c>
      <c r="Z3286" s="171">
        <f>_xll.qlInterestRateIndexValueDate(IborIndex,Y3286,Trigger)</f>
        <v>62207</v>
      </c>
      <c r="AA3286" s="172" t="e">
        <v>#N/A</v>
      </c>
      <c r="AB3286" s="169" t="e">
        <v>#N/A</v>
      </c>
    </row>
    <row r="3287" spans="20:28" x14ac:dyDescent="0.2">
      <c r="T3287" s="130"/>
      <c r="U3287" s="151"/>
      <c r="X3287" s="170" t="str">
        <f t="shared" si="60"/>
        <v>1w</v>
      </c>
      <c r="Y3287" s="168">
        <f>_xll.qlCalendarAdvance(LiborCalendar,Y3286,X3287,"f",FALSE)</f>
        <v>62212</v>
      </c>
      <c r="Z3287" s="171">
        <f>_xll.qlInterestRateIndexValueDate(IborIndex,Y3287,Trigger)</f>
        <v>62215</v>
      </c>
      <c r="AA3287" s="172" t="e">
        <v>#N/A</v>
      </c>
      <c r="AB3287" s="169" t="e">
        <v>#N/A</v>
      </c>
    </row>
    <row r="3288" spans="20:28" x14ac:dyDescent="0.2">
      <c r="T3288" s="130"/>
      <c r="U3288" s="151"/>
      <c r="X3288" s="170" t="str">
        <f t="shared" si="60"/>
        <v>1w</v>
      </c>
      <c r="Y3288" s="168">
        <f>_xll.qlCalendarAdvance(LiborCalendar,Y3287,X3288,"f",FALSE)</f>
        <v>62219</v>
      </c>
      <c r="Z3288" s="171">
        <f>_xll.qlInterestRateIndexValueDate(IborIndex,Y3288,Trigger)</f>
        <v>62222</v>
      </c>
      <c r="AA3288" s="172" t="e">
        <v>#N/A</v>
      </c>
      <c r="AB3288" s="169" t="e">
        <v>#N/A</v>
      </c>
    </row>
    <row r="3289" spans="20:28" x14ac:dyDescent="0.2">
      <c r="T3289" s="130"/>
      <c r="U3289" s="151"/>
      <c r="X3289" s="170" t="str">
        <f t="shared" si="60"/>
        <v>1w</v>
      </c>
      <c r="Y3289" s="168">
        <f>_xll.qlCalendarAdvance(LiborCalendar,Y3288,X3289,"f",FALSE)</f>
        <v>62226</v>
      </c>
      <c r="Z3289" s="171">
        <f>_xll.qlInterestRateIndexValueDate(IborIndex,Y3289,Trigger)</f>
        <v>62228</v>
      </c>
      <c r="AA3289" s="172" t="e">
        <v>#N/A</v>
      </c>
      <c r="AB3289" s="169" t="e">
        <v>#N/A</v>
      </c>
    </row>
    <row r="3290" spans="20:28" x14ac:dyDescent="0.2">
      <c r="T3290" s="130"/>
      <c r="U3290" s="151"/>
      <c r="X3290" s="170" t="str">
        <f t="shared" si="60"/>
        <v>1w</v>
      </c>
      <c r="Y3290" s="168">
        <f>_xll.qlCalendarAdvance(LiborCalendar,Y3289,X3290,"f",FALSE)</f>
        <v>62233</v>
      </c>
      <c r="Z3290" s="171">
        <f>_xll.qlInterestRateIndexValueDate(IborIndex,Y3290,Trigger)</f>
        <v>62235</v>
      </c>
      <c r="AA3290" s="172" t="e">
        <v>#N/A</v>
      </c>
      <c r="AB3290" s="169" t="e">
        <v>#N/A</v>
      </c>
    </row>
    <row r="3291" spans="20:28" x14ac:dyDescent="0.2">
      <c r="T3291" s="130"/>
      <c r="U3291" s="151"/>
      <c r="X3291" s="170" t="str">
        <f t="shared" si="60"/>
        <v>1w</v>
      </c>
      <c r="Y3291" s="168">
        <f>_xll.qlCalendarAdvance(LiborCalendar,Y3290,X3291,"f",FALSE)</f>
        <v>62240</v>
      </c>
      <c r="Z3291" s="171">
        <f>_xll.qlInterestRateIndexValueDate(IborIndex,Y3291,Trigger)</f>
        <v>62242</v>
      </c>
      <c r="AA3291" s="172" t="e">
        <v>#N/A</v>
      </c>
      <c r="AB3291" s="169" t="e">
        <v>#N/A</v>
      </c>
    </row>
    <row r="3292" spans="20:28" x14ac:dyDescent="0.2">
      <c r="T3292" s="130"/>
      <c r="U3292" s="151"/>
      <c r="X3292" s="170" t="str">
        <f t="shared" si="60"/>
        <v>1w</v>
      </c>
      <c r="Y3292" s="168">
        <f>_xll.qlCalendarAdvance(LiborCalendar,Y3291,X3292,"f",FALSE)</f>
        <v>62247</v>
      </c>
      <c r="Z3292" s="171">
        <f>_xll.qlInterestRateIndexValueDate(IborIndex,Y3292,Trigger)</f>
        <v>62249</v>
      </c>
      <c r="AA3292" s="172" t="e">
        <v>#N/A</v>
      </c>
      <c r="AB3292" s="169" t="e">
        <v>#N/A</v>
      </c>
    </row>
    <row r="3293" spans="20:28" x14ac:dyDescent="0.2">
      <c r="T3293" s="130"/>
      <c r="U3293" s="151"/>
      <c r="X3293" s="170" t="str">
        <f t="shared" si="60"/>
        <v>1w</v>
      </c>
      <c r="Y3293" s="168">
        <f>_xll.qlCalendarAdvance(LiborCalendar,Y3292,X3293,"f",FALSE)</f>
        <v>62254</v>
      </c>
      <c r="Z3293" s="171">
        <f>_xll.qlInterestRateIndexValueDate(IborIndex,Y3293,Trigger)</f>
        <v>62256</v>
      </c>
      <c r="AA3293" s="172" t="e">
        <v>#N/A</v>
      </c>
      <c r="AB3293" s="169" t="e">
        <v>#N/A</v>
      </c>
    </row>
    <row r="3294" spans="20:28" x14ac:dyDescent="0.2">
      <c r="T3294" s="130"/>
      <c r="U3294" s="151"/>
      <c r="X3294" s="170" t="str">
        <f t="shared" si="60"/>
        <v>1w</v>
      </c>
      <c r="Y3294" s="168">
        <f>_xll.qlCalendarAdvance(LiborCalendar,Y3293,X3294,"f",FALSE)</f>
        <v>62261</v>
      </c>
      <c r="Z3294" s="171">
        <f>_xll.qlInterestRateIndexValueDate(IborIndex,Y3294,Trigger)</f>
        <v>62263</v>
      </c>
      <c r="AA3294" s="172" t="e">
        <v>#N/A</v>
      </c>
      <c r="AB3294" s="169" t="e">
        <v>#N/A</v>
      </c>
    </row>
    <row r="3295" spans="20:28" x14ac:dyDescent="0.2">
      <c r="T3295" s="130"/>
      <c r="U3295" s="151"/>
      <c r="X3295" s="170" t="str">
        <f t="shared" si="60"/>
        <v>1w</v>
      </c>
      <c r="Y3295" s="168">
        <f>_xll.qlCalendarAdvance(LiborCalendar,Y3294,X3295,"f",FALSE)</f>
        <v>62268</v>
      </c>
      <c r="Z3295" s="171">
        <f>_xll.qlInterestRateIndexValueDate(IborIndex,Y3295,Trigger)</f>
        <v>62270</v>
      </c>
      <c r="AA3295" s="172" t="e">
        <v>#N/A</v>
      </c>
      <c r="AB3295" s="169" t="e">
        <v>#N/A</v>
      </c>
    </row>
    <row r="3296" spans="20:28" x14ac:dyDescent="0.2">
      <c r="T3296" s="130"/>
      <c r="U3296" s="151"/>
      <c r="X3296" s="170" t="str">
        <f t="shared" si="60"/>
        <v>1w</v>
      </c>
      <c r="Y3296" s="168">
        <f>_xll.qlCalendarAdvance(LiborCalendar,Y3295,X3296,"f",FALSE)</f>
        <v>62275</v>
      </c>
      <c r="Z3296" s="171">
        <f>_xll.qlInterestRateIndexValueDate(IborIndex,Y3296,Trigger)</f>
        <v>62277</v>
      </c>
      <c r="AA3296" s="172" t="e">
        <v>#N/A</v>
      </c>
      <c r="AB3296" s="169" t="e">
        <v>#N/A</v>
      </c>
    </row>
    <row r="3297" spans="20:28" x14ac:dyDescent="0.2">
      <c r="T3297" s="130"/>
      <c r="U3297" s="151"/>
      <c r="X3297" s="170" t="str">
        <f t="shared" si="60"/>
        <v>1w</v>
      </c>
      <c r="Y3297" s="168">
        <f>_xll.qlCalendarAdvance(LiborCalendar,Y3296,X3297,"f",FALSE)</f>
        <v>62282</v>
      </c>
      <c r="Z3297" s="171">
        <f>_xll.qlInterestRateIndexValueDate(IborIndex,Y3297,Trigger)</f>
        <v>62284</v>
      </c>
      <c r="AA3297" s="172" t="e">
        <v>#N/A</v>
      </c>
      <c r="AB3297" s="169" t="e">
        <v>#N/A</v>
      </c>
    </row>
    <row r="3298" spans="20:28" x14ac:dyDescent="0.2">
      <c r="T3298" s="130"/>
      <c r="U3298" s="151"/>
      <c r="X3298" s="170" t="str">
        <f t="shared" si="60"/>
        <v>1w</v>
      </c>
      <c r="Y3298" s="168">
        <f>_xll.qlCalendarAdvance(LiborCalendar,Y3297,X3298,"f",FALSE)</f>
        <v>62289</v>
      </c>
      <c r="Z3298" s="171">
        <f>_xll.qlInterestRateIndexValueDate(IborIndex,Y3298,Trigger)</f>
        <v>62291</v>
      </c>
      <c r="AA3298" s="172" t="e">
        <v>#N/A</v>
      </c>
      <c r="AB3298" s="169" t="e">
        <v>#N/A</v>
      </c>
    </row>
    <row r="3299" spans="20:28" x14ac:dyDescent="0.2">
      <c r="T3299" s="130"/>
      <c r="U3299" s="151"/>
      <c r="X3299" s="170" t="str">
        <f t="shared" si="60"/>
        <v>1w</v>
      </c>
      <c r="Y3299" s="168">
        <f>_xll.qlCalendarAdvance(LiborCalendar,Y3298,X3299,"f",FALSE)</f>
        <v>62296</v>
      </c>
      <c r="Z3299" s="171">
        <f>_xll.qlInterestRateIndexValueDate(IborIndex,Y3299,Trigger)</f>
        <v>62298</v>
      </c>
      <c r="AA3299" s="172" t="e">
        <v>#N/A</v>
      </c>
      <c r="AB3299" s="169" t="e">
        <v>#N/A</v>
      </c>
    </row>
    <row r="3300" spans="20:28" x14ac:dyDescent="0.2">
      <c r="T3300" s="130"/>
      <c r="U3300" s="151"/>
      <c r="X3300" s="170" t="str">
        <f t="shared" si="60"/>
        <v>1w</v>
      </c>
      <c r="Y3300" s="168">
        <f>_xll.qlCalendarAdvance(LiborCalendar,Y3299,X3300,"f",FALSE)</f>
        <v>62303</v>
      </c>
      <c r="Z3300" s="171">
        <f>_xll.qlInterestRateIndexValueDate(IborIndex,Y3300,Trigger)</f>
        <v>62305</v>
      </c>
      <c r="AA3300" s="172" t="e">
        <v>#N/A</v>
      </c>
      <c r="AB3300" s="169" t="e">
        <v>#N/A</v>
      </c>
    </row>
    <row r="3301" spans="20:28" x14ac:dyDescent="0.2">
      <c r="T3301" s="130"/>
      <c r="U3301" s="151"/>
      <c r="X3301" s="170" t="str">
        <f t="shared" si="60"/>
        <v>1w</v>
      </c>
      <c r="Y3301" s="168">
        <f>_xll.qlCalendarAdvance(LiborCalendar,Y3300,X3301,"f",FALSE)</f>
        <v>62310</v>
      </c>
      <c r="Z3301" s="171">
        <f>_xll.qlInterestRateIndexValueDate(IborIndex,Y3301,Trigger)</f>
        <v>62312</v>
      </c>
      <c r="AA3301" s="172" t="e">
        <v>#N/A</v>
      </c>
      <c r="AB3301" s="169" t="e">
        <v>#N/A</v>
      </c>
    </row>
    <row r="3302" spans="20:28" x14ac:dyDescent="0.2">
      <c r="T3302" s="130"/>
      <c r="U3302" s="151"/>
      <c r="X3302" s="170" t="str">
        <f t="shared" si="60"/>
        <v>1w</v>
      </c>
      <c r="Y3302" s="168">
        <f>_xll.qlCalendarAdvance(LiborCalendar,Y3301,X3302,"f",FALSE)</f>
        <v>62317</v>
      </c>
      <c r="Z3302" s="171">
        <f>_xll.qlInterestRateIndexValueDate(IborIndex,Y3302,Trigger)</f>
        <v>62319</v>
      </c>
      <c r="AA3302" s="172" t="e">
        <v>#N/A</v>
      </c>
      <c r="AB3302" s="169" t="e">
        <v>#N/A</v>
      </c>
    </row>
    <row r="3303" spans="20:28" x14ac:dyDescent="0.2">
      <c r="T3303" s="130"/>
      <c r="U3303" s="151"/>
      <c r="X3303" s="170" t="str">
        <f t="shared" si="60"/>
        <v>1w</v>
      </c>
      <c r="Y3303" s="168">
        <f>_xll.qlCalendarAdvance(LiborCalendar,Y3302,X3303,"f",FALSE)</f>
        <v>62324</v>
      </c>
      <c r="Z3303" s="171">
        <f>_xll.qlInterestRateIndexValueDate(IborIndex,Y3303,Trigger)</f>
        <v>62326</v>
      </c>
      <c r="AA3303" s="172" t="e">
        <v>#N/A</v>
      </c>
      <c r="AB3303" s="169" t="e">
        <v>#N/A</v>
      </c>
    </row>
    <row r="3304" spans="20:28" x14ac:dyDescent="0.2">
      <c r="T3304" s="130"/>
      <c r="U3304" s="151"/>
      <c r="X3304" s="170" t="str">
        <f t="shared" si="60"/>
        <v>1w</v>
      </c>
      <c r="Y3304" s="168">
        <f>_xll.qlCalendarAdvance(LiborCalendar,Y3303,X3304,"f",FALSE)</f>
        <v>62331</v>
      </c>
      <c r="Z3304" s="171">
        <f>_xll.qlInterestRateIndexValueDate(IborIndex,Y3304,Trigger)</f>
        <v>62333</v>
      </c>
      <c r="AA3304" s="172" t="e">
        <v>#N/A</v>
      </c>
      <c r="AB3304" s="169" t="e">
        <v>#N/A</v>
      </c>
    </row>
    <row r="3305" spans="20:28" x14ac:dyDescent="0.2">
      <c r="T3305" s="130"/>
      <c r="U3305" s="151"/>
      <c r="X3305" s="170" t="str">
        <f t="shared" si="60"/>
        <v>1w</v>
      </c>
      <c r="Y3305" s="168">
        <f>_xll.qlCalendarAdvance(LiborCalendar,Y3304,X3305,"f",FALSE)</f>
        <v>62338</v>
      </c>
      <c r="Z3305" s="171">
        <f>_xll.qlInterestRateIndexValueDate(IborIndex,Y3305,Trigger)</f>
        <v>62340</v>
      </c>
      <c r="AA3305" s="172" t="e">
        <v>#N/A</v>
      </c>
      <c r="AB3305" s="169" t="e">
        <v>#N/A</v>
      </c>
    </row>
    <row r="3306" spans="20:28" x14ac:dyDescent="0.2">
      <c r="T3306" s="130"/>
      <c r="U3306" s="151"/>
      <c r="X3306" s="170" t="str">
        <f t="shared" si="60"/>
        <v>1w</v>
      </c>
      <c r="Y3306" s="168">
        <f>_xll.qlCalendarAdvance(LiborCalendar,Y3305,X3306,"f",FALSE)</f>
        <v>62345</v>
      </c>
      <c r="Z3306" s="171">
        <f>_xll.qlInterestRateIndexValueDate(IborIndex,Y3306,Trigger)</f>
        <v>62347</v>
      </c>
      <c r="AA3306" s="172" t="e">
        <v>#N/A</v>
      </c>
      <c r="AB3306" s="169" t="e">
        <v>#N/A</v>
      </c>
    </row>
    <row r="3307" spans="20:28" x14ac:dyDescent="0.2">
      <c r="T3307" s="130"/>
      <c r="U3307" s="151"/>
      <c r="X3307" s="170" t="str">
        <f t="shared" si="60"/>
        <v>1w</v>
      </c>
      <c r="Y3307" s="168">
        <f>_xll.qlCalendarAdvance(LiborCalendar,Y3306,X3307,"f",FALSE)</f>
        <v>62352</v>
      </c>
      <c r="Z3307" s="171">
        <f>_xll.qlInterestRateIndexValueDate(IborIndex,Y3307,Trigger)</f>
        <v>62354</v>
      </c>
      <c r="AA3307" s="172" t="e">
        <v>#N/A</v>
      </c>
      <c r="AB3307" s="169" t="e">
        <v>#N/A</v>
      </c>
    </row>
    <row r="3308" spans="20:28" x14ac:dyDescent="0.2">
      <c r="T3308" s="130"/>
      <c r="U3308" s="151"/>
      <c r="X3308" s="170" t="str">
        <f t="shared" si="60"/>
        <v>1w</v>
      </c>
      <c r="Y3308" s="168">
        <f>_xll.qlCalendarAdvance(LiborCalendar,Y3307,X3308,"f",FALSE)</f>
        <v>62359</v>
      </c>
      <c r="Z3308" s="171">
        <f>_xll.qlInterestRateIndexValueDate(IborIndex,Y3308,Trigger)</f>
        <v>62361</v>
      </c>
      <c r="AA3308" s="172" t="e">
        <v>#N/A</v>
      </c>
      <c r="AB3308" s="169" t="e">
        <v>#N/A</v>
      </c>
    </row>
    <row r="3309" spans="20:28" x14ac:dyDescent="0.2">
      <c r="T3309" s="130"/>
      <c r="U3309" s="151"/>
      <c r="X3309" s="170" t="str">
        <f t="shared" si="60"/>
        <v>1w</v>
      </c>
      <c r="Y3309" s="168">
        <f>_xll.qlCalendarAdvance(LiborCalendar,Y3308,X3309,"f",FALSE)</f>
        <v>62366</v>
      </c>
      <c r="Z3309" s="171">
        <f>_xll.qlInterestRateIndexValueDate(IborIndex,Y3309,Trigger)</f>
        <v>62368</v>
      </c>
      <c r="AA3309" s="172" t="e">
        <v>#N/A</v>
      </c>
      <c r="AB3309" s="169" t="e">
        <v>#N/A</v>
      </c>
    </row>
    <row r="3310" spans="20:28" x14ac:dyDescent="0.2">
      <c r="T3310" s="130"/>
      <c r="U3310" s="151"/>
      <c r="X3310" s="170" t="str">
        <f t="shared" si="60"/>
        <v>1w</v>
      </c>
      <c r="Y3310" s="168">
        <f>_xll.qlCalendarAdvance(LiborCalendar,Y3309,X3310,"f",FALSE)</f>
        <v>62373</v>
      </c>
      <c r="Z3310" s="171">
        <f>_xll.qlInterestRateIndexValueDate(IborIndex,Y3310,Trigger)</f>
        <v>62375</v>
      </c>
      <c r="AA3310" s="172" t="e">
        <v>#N/A</v>
      </c>
      <c r="AB3310" s="169" t="e">
        <v>#N/A</v>
      </c>
    </row>
    <row r="3311" spans="20:28" x14ac:dyDescent="0.2">
      <c r="T3311" s="130"/>
      <c r="U3311" s="151"/>
      <c r="X3311" s="170" t="str">
        <f t="shared" si="60"/>
        <v>1w</v>
      </c>
      <c r="Y3311" s="168">
        <f>_xll.qlCalendarAdvance(LiborCalendar,Y3310,X3311,"f",FALSE)</f>
        <v>62380</v>
      </c>
      <c r="Z3311" s="171">
        <f>_xll.qlInterestRateIndexValueDate(IborIndex,Y3311,Trigger)</f>
        <v>62382</v>
      </c>
      <c r="AA3311" s="172" t="e">
        <v>#N/A</v>
      </c>
      <c r="AB3311" s="169" t="e">
        <v>#N/A</v>
      </c>
    </row>
    <row r="3312" spans="20:28" x14ac:dyDescent="0.2">
      <c r="T3312" s="130"/>
      <c r="U3312" s="151"/>
      <c r="X3312" s="170" t="str">
        <f t="shared" si="60"/>
        <v>1w</v>
      </c>
      <c r="Y3312" s="168">
        <f>_xll.qlCalendarAdvance(LiborCalendar,Y3311,X3312,"f",FALSE)</f>
        <v>62387</v>
      </c>
      <c r="Z3312" s="171">
        <f>_xll.qlInterestRateIndexValueDate(IborIndex,Y3312,Trigger)</f>
        <v>62389</v>
      </c>
      <c r="AA3312" s="172" t="e">
        <v>#N/A</v>
      </c>
      <c r="AB3312" s="169" t="e">
        <v>#N/A</v>
      </c>
    </row>
    <row r="3313" spans="20:28" x14ac:dyDescent="0.2">
      <c r="T3313" s="130"/>
      <c r="U3313" s="151"/>
      <c r="X3313" s="170" t="str">
        <f t="shared" si="60"/>
        <v>1w</v>
      </c>
      <c r="Y3313" s="168">
        <f>_xll.qlCalendarAdvance(LiborCalendar,Y3312,X3313,"f",FALSE)</f>
        <v>62394</v>
      </c>
      <c r="Z3313" s="171">
        <f>_xll.qlInterestRateIndexValueDate(IborIndex,Y3313,Trigger)</f>
        <v>62396</v>
      </c>
      <c r="AA3313" s="172" t="e">
        <v>#N/A</v>
      </c>
      <c r="AB3313" s="169" t="e">
        <v>#N/A</v>
      </c>
    </row>
    <row r="3314" spans="20:28" x14ac:dyDescent="0.2">
      <c r="T3314" s="130"/>
      <c r="U3314" s="151"/>
      <c r="X3314" s="170" t="str">
        <f t="shared" si="60"/>
        <v>1w</v>
      </c>
      <c r="Y3314" s="168">
        <f>_xll.qlCalendarAdvance(LiborCalendar,Y3313,X3314,"f",FALSE)</f>
        <v>62401</v>
      </c>
      <c r="Z3314" s="171">
        <f>_xll.qlInterestRateIndexValueDate(IborIndex,Y3314,Trigger)</f>
        <v>62403</v>
      </c>
      <c r="AA3314" s="172" t="e">
        <v>#N/A</v>
      </c>
      <c r="AB3314" s="169" t="e">
        <v>#N/A</v>
      </c>
    </row>
    <row r="3315" spans="20:28" x14ac:dyDescent="0.2">
      <c r="T3315" s="130"/>
      <c r="U3315" s="151"/>
      <c r="X3315" s="170" t="str">
        <f t="shared" si="60"/>
        <v>1w</v>
      </c>
      <c r="Y3315" s="168">
        <f>_xll.qlCalendarAdvance(LiborCalendar,Y3314,X3315,"f",FALSE)</f>
        <v>62408</v>
      </c>
      <c r="Z3315" s="171">
        <f>_xll.qlInterestRateIndexValueDate(IborIndex,Y3315,Trigger)</f>
        <v>62410</v>
      </c>
      <c r="AA3315" s="172" t="e">
        <v>#N/A</v>
      </c>
      <c r="AB3315" s="169" t="e">
        <v>#N/A</v>
      </c>
    </row>
    <row r="3316" spans="20:28" x14ac:dyDescent="0.2">
      <c r="T3316" s="130"/>
      <c r="U3316" s="151"/>
      <c r="X3316" s="170" t="str">
        <f t="shared" si="60"/>
        <v>1w</v>
      </c>
      <c r="Y3316" s="168">
        <f>_xll.qlCalendarAdvance(LiborCalendar,Y3315,X3316,"f",FALSE)</f>
        <v>62415</v>
      </c>
      <c r="Z3316" s="171">
        <f>_xll.qlInterestRateIndexValueDate(IborIndex,Y3316,Trigger)</f>
        <v>62417</v>
      </c>
      <c r="AA3316" s="172" t="e">
        <v>#N/A</v>
      </c>
      <c r="AB3316" s="169" t="e">
        <v>#N/A</v>
      </c>
    </row>
    <row r="3317" spans="20:28" x14ac:dyDescent="0.2">
      <c r="T3317" s="130"/>
      <c r="U3317" s="151"/>
      <c r="X3317" s="170" t="str">
        <f t="shared" si="60"/>
        <v>1w</v>
      </c>
      <c r="Y3317" s="168">
        <f>_xll.qlCalendarAdvance(LiborCalendar,Y3316,X3317,"f",FALSE)</f>
        <v>62422</v>
      </c>
      <c r="Z3317" s="171">
        <f>_xll.qlInterestRateIndexValueDate(IborIndex,Y3317,Trigger)</f>
        <v>62424</v>
      </c>
      <c r="AA3317" s="172" t="e">
        <v>#N/A</v>
      </c>
      <c r="AB3317" s="169" t="e">
        <v>#N/A</v>
      </c>
    </row>
    <row r="3318" spans="20:28" x14ac:dyDescent="0.2">
      <c r="T3318" s="130"/>
      <c r="U3318" s="151"/>
      <c r="X3318" s="170" t="str">
        <f t="shared" si="60"/>
        <v>1w</v>
      </c>
      <c r="Y3318" s="168">
        <f>_xll.qlCalendarAdvance(LiborCalendar,Y3317,X3318,"f",FALSE)</f>
        <v>62429</v>
      </c>
      <c r="Z3318" s="171">
        <f>_xll.qlInterestRateIndexValueDate(IborIndex,Y3318,Trigger)</f>
        <v>62431</v>
      </c>
      <c r="AA3318" s="172" t="e">
        <v>#N/A</v>
      </c>
      <c r="AB3318" s="169" t="e">
        <v>#N/A</v>
      </c>
    </row>
    <row r="3319" spans="20:28" x14ac:dyDescent="0.2">
      <c r="T3319" s="130"/>
      <c r="U3319" s="151"/>
      <c r="X3319" s="170" t="str">
        <f t="shared" si="60"/>
        <v>1w</v>
      </c>
      <c r="Y3319" s="168">
        <f>_xll.qlCalendarAdvance(LiborCalendar,Y3318,X3319,"f",FALSE)</f>
        <v>62436</v>
      </c>
      <c r="Z3319" s="171">
        <f>_xll.qlInterestRateIndexValueDate(IborIndex,Y3319,Trigger)</f>
        <v>62438</v>
      </c>
      <c r="AA3319" s="172" t="e">
        <v>#N/A</v>
      </c>
      <c r="AB3319" s="169" t="e">
        <v>#N/A</v>
      </c>
    </row>
    <row r="3320" spans="20:28" x14ac:dyDescent="0.2">
      <c r="T3320" s="130"/>
      <c r="U3320" s="151"/>
      <c r="X3320" s="170" t="str">
        <f t="shared" si="60"/>
        <v>1w</v>
      </c>
      <c r="Y3320" s="168">
        <f>_xll.qlCalendarAdvance(LiborCalendar,Y3319,X3320,"f",FALSE)</f>
        <v>62443</v>
      </c>
      <c r="Z3320" s="171">
        <f>_xll.qlInterestRateIndexValueDate(IborIndex,Y3320,Trigger)</f>
        <v>62445</v>
      </c>
      <c r="AA3320" s="172" t="e">
        <v>#N/A</v>
      </c>
      <c r="AB3320" s="169" t="e">
        <v>#N/A</v>
      </c>
    </row>
    <row r="3321" spans="20:28" x14ac:dyDescent="0.2">
      <c r="T3321" s="130"/>
      <c r="U3321" s="151"/>
      <c r="X3321" s="170" t="str">
        <f t="shared" si="60"/>
        <v>1w</v>
      </c>
      <c r="Y3321" s="168">
        <f>_xll.qlCalendarAdvance(LiborCalendar,Y3320,X3321,"f",FALSE)</f>
        <v>62450</v>
      </c>
      <c r="Z3321" s="171">
        <f>_xll.qlInterestRateIndexValueDate(IborIndex,Y3321,Trigger)</f>
        <v>62456</v>
      </c>
      <c r="AA3321" s="172" t="e">
        <v>#N/A</v>
      </c>
      <c r="AB3321" s="169" t="e">
        <v>#N/A</v>
      </c>
    </row>
    <row r="3322" spans="20:28" x14ac:dyDescent="0.2">
      <c r="T3322" s="130"/>
      <c r="U3322" s="151"/>
      <c r="X3322" s="170" t="str">
        <f t="shared" si="60"/>
        <v>1w</v>
      </c>
      <c r="Y3322" s="168">
        <f>_xll.qlCalendarAdvance(LiborCalendar,Y3321,X3322,"f",FALSE)</f>
        <v>62457</v>
      </c>
      <c r="Z3322" s="171">
        <f>_xll.qlInterestRateIndexValueDate(IborIndex,Y3322,Trigger)</f>
        <v>62463</v>
      </c>
      <c r="AA3322" s="172" t="e">
        <v>#N/A</v>
      </c>
      <c r="AB3322" s="169" t="e">
        <v>#N/A</v>
      </c>
    </row>
    <row r="3323" spans="20:28" x14ac:dyDescent="0.2">
      <c r="T3323" s="130"/>
      <c r="U3323" s="151"/>
      <c r="X3323" s="170" t="str">
        <f t="shared" si="60"/>
        <v>1w</v>
      </c>
      <c r="Y3323" s="168">
        <f>_xll.qlCalendarAdvance(LiborCalendar,Y3322,X3323,"f",FALSE)</f>
        <v>62464</v>
      </c>
      <c r="Z3323" s="171">
        <f>_xll.qlInterestRateIndexValueDate(IborIndex,Y3323,Trigger)</f>
        <v>62466</v>
      </c>
      <c r="AA3323" s="172" t="e">
        <v>#N/A</v>
      </c>
      <c r="AB3323" s="169" t="e">
        <v>#N/A</v>
      </c>
    </row>
    <row r="3324" spans="20:28" x14ac:dyDescent="0.2">
      <c r="T3324" s="130"/>
      <c r="U3324" s="151"/>
      <c r="X3324" s="170" t="str">
        <f t="shared" si="60"/>
        <v>1w</v>
      </c>
      <c r="Y3324" s="168">
        <f>_xll.qlCalendarAdvance(LiborCalendar,Y3323,X3324,"f",FALSE)</f>
        <v>62471</v>
      </c>
      <c r="Z3324" s="171">
        <f>_xll.qlInterestRateIndexValueDate(IborIndex,Y3324,Trigger)</f>
        <v>62473</v>
      </c>
      <c r="AA3324" s="172" t="e">
        <v>#N/A</v>
      </c>
      <c r="AB3324" s="169" t="e">
        <v>#N/A</v>
      </c>
    </row>
    <row r="3325" spans="20:28" x14ac:dyDescent="0.2">
      <c r="T3325" s="130"/>
      <c r="U3325" s="151"/>
      <c r="X3325" s="170" t="str">
        <f t="shared" si="60"/>
        <v>1w</v>
      </c>
      <c r="Y3325" s="168">
        <f>_xll.qlCalendarAdvance(LiborCalendar,Y3324,X3325,"f",FALSE)</f>
        <v>62478</v>
      </c>
      <c r="Z3325" s="171">
        <f>_xll.qlInterestRateIndexValueDate(IborIndex,Y3325,Trigger)</f>
        <v>62480</v>
      </c>
      <c r="AA3325" s="172" t="e">
        <v>#N/A</v>
      </c>
      <c r="AB3325" s="169" t="e">
        <v>#N/A</v>
      </c>
    </row>
    <row r="3326" spans="20:28" x14ac:dyDescent="0.2">
      <c r="T3326" s="130"/>
      <c r="U3326" s="151"/>
      <c r="X3326" s="170" t="str">
        <f t="shared" si="60"/>
        <v>1w</v>
      </c>
      <c r="Y3326" s="168">
        <f>_xll.qlCalendarAdvance(LiborCalendar,Y3325,X3326,"f",FALSE)</f>
        <v>62485</v>
      </c>
      <c r="Z3326" s="171">
        <f>_xll.qlInterestRateIndexValueDate(IborIndex,Y3326,Trigger)</f>
        <v>62487</v>
      </c>
      <c r="AA3326" s="172" t="e">
        <v>#N/A</v>
      </c>
      <c r="AB3326" s="169" t="e">
        <v>#N/A</v>
      </c>
    </row>
    <row r="3327" spans="20:28" x14ac:dyDescent="0.2">
      <c r="T3327" s="130"/>
      <c r="U3327" s="151"/>
      <c r="X3327" s="170" t="str">
        <f t="shared" si="60"/>
        <v>1w</v>
      </c>
      <c r="Y3327" s="168">
        <f>_xll.qlCalendarAdvance(LiborCalendar,Y3326,X3327,"f",FALSE)</f>
        <v>62492</v>
      </c>
      <c r="Z3327" s="171">
        <f>_xll.qlInterestRateIndexValueDate(IborIndex,Y3327,Trigger)</f>
        <v>62494</v>
      </c>
      <c r="AA3327" s="172" t="e">
        <v>#N/A</v>
      </c>
      <c r="AB3327" s="169" t="e">
        <v>#N/A</v>
      </c>
    </row>
    <row r="3328" spans="20:28" x14ac:dyDescent="0.2">
      <c r="T3328" s="130"/>
      <c r="U3328" s="151"/>
      <c r="X3328" s="170" t="str">
        <f t="shared" si="60"/>
        <v>1w</v>
      </c>
      <c r="Y3328" s="168">
        <f>_xll.qlCalendarAdvance(LiborCalendar,Y3327,X3328,"f",FALSE)</f>
        <v>62499</v>
      </c>
      <c r="Z3328" s="171">
        <f>_xll.qlInterestRateIndexValueDate(IborIndex,Y3328,Trigger)</f>
        <v>62501</v>
      </c>
      <c r="AA3328" s="172" t="e">
        <v>#N/A</v>
      </c>
      <c r="AB3328" s="169" t="e">
        <v>#N/A</v>
      </c>
    </row>
    <row r="3329" spans="20:28" x14ac:dyDescent="0.2">
      <c r="T3329" s="130"/>
      <c r="U3329" s="151"/>
      <c r="X3329" s="170" t="str">
        <f t="shared" si="60"/>
        <v>1w</v>
      </c>
      <c r="Y3329" s="168">
        <f>_xll.qlCalendarAdvance(LiborCalendar,Y3328,X3329,"f",FALSE)</f>
        <v>62506</v>
      </c>
      <c r="Z3329" s="171">
        <f>_xll.qlInterestRateIndexValueDate(IborIndex,Y3329,Trigger)</f>
        <v>62508</v>
      </c>
      <c r="AA3329" s="172" t="e">
        <v>#N/A</v>
      </c>
      <c r="AB3329" s="169" t="e">
        <v>#N/A</v>
      </c>
    </row>
    <row r="3330" spans="20:28" x14ac:dyDescent="0.2">
      <c r="T3330" s="130"/>
      <c r="U3330" s="151"/>
      <c r="X3330" s="170" t="str">
        <f t="shared" si="60"/>
        <v>1w</v>
      </c>
      <c r="Y3330" s="168">
        <f>_xll.qlCalendarAdvance(LiborCalendar,Y3329,X3330,"f",FALSE)</f>
        <v>62513</v>
      </c>
      <c r="Z3330" s="171">
        <f>_xll.qlInterestRateIndexValueDate(IborIndex,Y3330,Trigger)</f>
        <v>62515</v>
      </c>
      <c r="AA3330" s="172" t="e">
        <v>#N/A</v>
      </c>
      <c r="AB3330" s="169" t="e">
        <v>#N/A</v>
      </c>
    </row>
    <row r="3331" spans="20:28" x14ac:dyDescent="0.2">
      <c r="T3331" s="130"/>
      <c r="U3331" s="151"/>
      <c r="X3331" s="170" t="str">
        <f t="shared" si="60"/>
        <v>1w</v>
      </c>
      <c r="Y3331" s="168">
        <f>_xll.qlCalendarAdvance(LiborCalendar,Y3330,X3331,"f",FALSE)</f>
        <v>62520</v>
      </c>
      <c r="Z3331" s="171">
        <f>_xll.qlInterestRateIndexValueDate(IborIndex,Y3331,Trigger)</f>
        <v>62522</v>
      </c>
      <c r="AA3331" s="172" t="e">
        <v>#N/A</v>
      </c>
      <c r="AB3331" s="169" t="e">
        <v>#N/A</v>
      </c>
    </row>
    <row r="3332" spans="20:28" x14ac:dyDescent="0.2">
      <c r="T3332" s="130"/>
      <c r="U3332" s="151"/>
      <c r="X3332" s="170" t="str">
        <f t="shared" si="60"/>
        <v>1w</v>
      </c>
      <c r="Y3332" s="168">
        <f>_xll.qlCalendarAdvance(LiborCalendar,Y3331,X3332,"f",FALSE)</f>
        <v>62527</v>
      </c>
      <c r="Z3332" s="171">
        <f>_xll.qlInterestRateIndexValueDate(IborIndex,Y3332,Trigger)</f>
        <v>62529</v>
      </c>
      <c r="AA3332" s="172" t="e">
        <v>#N/A</v>
      </c>
      <c r="AB3332" s="169" t="e">
        <v>#N/A</v>
      </c>
    </row>
    <row r="3333" spans="20:28" x14ac:dyDescent="0.2">
      <c r="T3333" s="130"/>
      <c r="U3333" s="151"/>
      <c r="X3333" s="170" t="str">
        <f t="shared" si="60"/>
        <v>1w</v>
      </c>
      <c r="Y3333" s="168">
        <f>_xll.qlCalendarAdvance(LiborCalendar,Y3332,X3333,"f",FALSE)</f>
        <v>62534</v>
      </c>
      <c r="Z3333" s="171">
        <f>_xll.qlInterestRateIndexValueDate(IborIndex,Y3333,Trigger)</f>
        <v>62536</v>
      </c>
      <c r="AA3333" s="172" t="e">
        <v>#N/A</v>
      </c>
      <c r="AB3333" s="169" t="e">
        <v>#N/A</v>
      </c>
    </row>
    <row r="3334" spans="20:28" x14ac:dyDescent="0.2">
      <c r="T3334" s="130"/>
      <c r="U3334" s="151"/>
      <c r="X3334" s="170" t="str">
        <f t="shared" si="60"/>
        <v>1w</v>
      </c>
      <c r="Y3334" s="168">
        <f>_xll.qlCalendarAdvance(LiborCalendar,Y3333,X3334,"f",FALSE)</f>
        <v>62541</v>
      </c>
      <c r="Z3334" s="171">
        <f>_xll.qlInterestRateIndexValueDate(IborIndex,Y3334,Trigger)</f>
        <v>62543</v>
      </c>
      <c r="AA3334" s="172" t="e">
        <v>#N/A</v>
      </c>
      <c r="AB3334" s="169" t="e">
        <v>#N/A</v>
      </c>
    </row>
    <row r="3335" spans="20:28" x14ac:dyDescent="0.2">
      <c r="T3335" s="130"/>
      <c r="U3335" s="151"/>
      <c r="X3335" s="170" t="str">
        <f t="shared" si="60"/>
        <v>1w</v>
      </c>
      <c r="Y3335" s="168">
        <f>_xll.qlCalendarAdvance(LiborCalendar,Y3334,X3335,"f",FALSE)</f>
        <v>62548</v>
      </c>
      <c r="Z3335" s="171">
        <f>_xll.qlInterestRateIndexValueDate(IborIndex,Y3335,Trigger)</f>
        <v>62550</v>
      </c>
      <c r="AA3335" s="172" t="e">
        <v>#N/A</v>
      </c>
      <c r="AB3335" s="169" t="e">
        <v>#N/A</v>
      </c>
    </row>
    <row r="3336" spans="20:28" x14ac:dyDescent="0.2">
      <c r="T3336" s="130"/>
      <c r="U3336" s="151"/>
      <c r="X3336" s="170" t="str">
        <f t="shared" si="60"/>
        <v>1w</v>
      </c>
      <c r="Y3336" s="168">
        <f>_xll.qlCalendarAdvance(LiborCalendar,Y3335,X3336,"f",FALSE)</f>
        <v>62555</v>
      </c>
      <c r="Z3336" s="171">
        <f>_xll.qlInterestRateIndexValueDate(IborIndex,Y3336,Trigger)</f>
        <v>62557</v>
      </c>
      <c r="AA3336" s="172" t="e">
        <v>#N/A</v>
      </c>
      <c r="AB3336" s="169" t="e">
        <v>#N/A</v>
      </c>
    </row>
    <row r="3337" spans="20:28" x14ac:dyDescent="0.2">
      <c r="T3337" s="130"/>
      <c r="U3337" s="151"/>
      <c r="X3337" s="170" t="str">
        <f t="shared" si="60"/>
        <v>1w</v>
      </c>
      <c r="Y3337" s="168">
        <f>_xll.qlCalendarAdvance(LiborCalendar,Y3336,X3337,"f",FALSE)</f>
        <v>62562</v>
      </c>
      <c r="Z3337" s="171">
        <f>_xll.qlInterestRateIndexValueDate(IborIndex,Y3337,Trigger)</f>
        <v>62564</v>
      </c>
      <c r="AA3337" s="172" t="e">
        <v>#N/A</v>
      </c>
      <c r="AB3337" s="169" t="e">
        <v>#N/A</v>
      </c>
    </row>
    <row r="3338" spans="20:28" x14ac:dyDescent="0.2">
      <c r="T3338" s="130"/>
      <c r="U3338" s="151"/>
      <c r="X3338" s="170" t="str">
        <f t="shared" si="60"/>
        <v>1w</v>
      </c>
      <c r="Y3338" s="168">
        <f>_xll.qlCalendarAdvance(LiborCalendar,Y3337,X3338,"f",FALSE)</f>
        <v>62569</v>
      </c>
      <c r="Z3338" s="171">
        <f>_xll.qlInterestRateIndexValueDate(IborIndex,Y3338,Trigger)</f>
        <v>62571</v>
      </c>
      <c r="AA3338" s="172" t="e">
        <v>#N/A</v>
      </c>
      <c r="AB3338" s="169" t="e">
        <v>#N/A</v>
      </c>
    </row>
    <row r="3339" spans="20:28" x14ac:dyDescent="0.2">
      <c r="T3339" s="130"/>
      <c r="U3339" s="151"/>
      <c r="X3339" s="170" t="str">
        <f t="shared" si="60"/>
        <v>1w</v>
      </c>
      <c r="Y3339" s="168">
        <f>_xll.qlCalendarAdvance(LiborCalendar,Y3338,X3339,"f",FALSE)</f>
        <v>62576</v>
      </c>
      <c r="Z3339" s="171">
        <f>_xll.qlInterestRateIndexValueDate(IborIndex,Y3339,Trigger)</f>
        <v>62578</v>
      </c>
      <c r="AA3339" s="172" t="e">
        <v>#N/A</v>
      </c>
      <c r="AB3339" s="169" t="e">
        <v>#N/A</v>
      </c>
    </row>
    <row r="3340" spans="20:28" x14ac:dyDescent="0.2">
      <c r="T3340" s="130"/>
      <c r="U3340" s="151"/>
      <c r="X3340" s="170" t="str">
        <f t="shared" si="60"/>
        <v>1w</v>
      </c>
      <c r="Y3340" s="168">
        <f>_xll.qlCalendarAdvance(LiborCalendar,Y3339,X3340,"f",FALSE)</f>
        <v>62583</v>
      </c>
      <c r="Z3340" s="171">
        <f>_xll.qlInterestRateIndexValueDate(IborIndex,Y3340,Trigger)</f>
        <v>62585</v>
      </c>
      <c r="AA3340" s="172" t="e">
        <v>#N/A</v>
      </c>
      <c r="AB3340" s="169" t="e">
        <v>#N/A</v>
      </c>
    </row>
    <row r="3341" spans="20:28" x14ac:dyDescent="0.2">
      <c r="T3341" s="130"/>
      <c r="U3341" s="151"/>
      <c r="X3341" s="170" t="str">
        <f t="shared" si="60"/>
        <v>1w</v>
      </c>
      <c r="Y3341" s="168">
        <f>_xll.qlCalendarAdvance(LiborCalendar,Y3340,X3341,"f",FALSE)</f>
        <v>62590</v>
      </c>
      <c r="Z3341" s="171">
        <f>_xll.qlInterestRateIndexValueDate(IborIndex,Y3341,Trigger)</f>
        <v>62592</v>
      </c>
      <c r="AA3341" s="172" t="e">
        <v>#N/A</v>
      </c>
      <c r="AB3341" s="169" t="e">
        <v>#N/A</v>
      </c>
    </row>
    <row r="3342" spans="20:28" x14ac:dyDescent="0.2">
      <c r="T3342" s="130"/>
      <c r="U3342" s="151"/>
      <c r="X3342" s="170" t="str">
        <f t="shared" si="60"/>
        <v>1w</v>
      </c>
      <c r="Y3342" s="168">
        <f>_xll.qlCalendarAdvance(LiborCalendar,Y3341,X3342,"f",FALSE)</f>
        <v>62597</v>
      </c>
      <c r="Z3342" s="171">
        <f>_xll.qlInterestRateIndexValueDate(IborIndex,Y3342,Trigger)</f>
        <v>62599</v>
      </c>
      <c r="AA3342" s="172" t="e">
        <v>#N/A</v>
      </c>
      <c r="AB3342" s="169" t="e">
        <v>#N/A</v>
      </c>
    </row>
    <row r="3343" spans="20:28" x14ac:dyDescent="0.2">
      <c r="T3343" s="130"/>
      <c r="U3343" s="151"/>
      <c r="X3343" s="170" t="str">
        <f t="shared" si="60"/>
        <v>1w</v>
      </c>
      <c r="Y3343" s="168">
        <f>_xll.qlCalendarAdvance(LiborCalendar,Y3342,X3343,"f",FALSE)</f>
        <v>62604</v>
      </c>
      <c r="Z3343" s="171">
        <f>_xll.qlInterestRateIndexValueDate(IborIndex,Y3343,Trigger)</f>
        <v>62607</v>
      </c>
      <c r="AA3343" s="172" t="e">
        <v>#N/A</v>
      </c>
      <c r="AB3343" s="169" t="e">
        <v>#N/A</v>
      </c>
    </row>
    <row r="3344" spans="20:28" x14ac:dyDescent="0.2">
      <c r="T3344" s="130"/>
      <c r="U3344" s="151"/>
      <c r="X3344" s="170" t="str">
        <f t="shared" si="60"/>
        <v>1w</v>
      </c>
      <c r="Y3344" s="168">
        <f>_xll.qlCalendarAdvance(LiborCalendar,Y3343,X3344,"f",FALSE)</f>
        <v>62611</v>
      </c>
      <c r="Z3344" s="171">
        <f>_xll.qlInterestRateIndexValueDate(IborIndex,Y3344,Trigger)</f>
        <v>62613</v>
      </c>
      <c r="AA3344" s="172" t="e">
        <v>#N/A</v>
      </c>
      <c r="AB3344" s="169" t="e">
        <v>#N/A</v>
      </c>
    </row>
    <row r="3345" spans="20:28" x14ac:dyDescent="0.2">
      <c r="T3345" s="130"/>
      <c r="U3345" s="151"/>
      <c r="X3345" s="170" t="str">
        <f t="shared" si="60"/>
        <v>1w</v>
      </c>
      <c r="Y3345" s="168">
        <f>_xll.qlCalendarAdvance(LiborCalendar,Y3344,X3345,"f",FALSE)</f>
        <v>62618</v>
      </c>
      <c r="Z3345" s="171">
        <f>_xll.qlInterestRateIndexValueDate(IborIndex,Y3345,Trigger)</f>
        <v>62620</v>
      </c>
      <c r="AA3345" s="172" t="e">
        <v>#N/A</v>
      </c>
      <c r="AB3345" s="169" t="e">
        <v>#N/A</v>
      </c>
    </row>
    <row r="3346" spans="20:28" x14ac:dyDescent="0.2">
      <c r="T3346" s="130"/>
      <c r="U3346" s="151"/>
      <c r="X3346" s="170" t="str">
        <f t="shared" si="60"/>
        <v>1w</v>
      </c>
      <c r="Y3346" s="168">
        <f>_xll.qlCalendarAdvance(LiborCalendar,Y3345,X3346,"f",FALSE)</f>
        <v>62625</v>
      </c>
      <c r="Z3346" s="171">
        <f>_xll.qlInterestRateIndexValueDate(IborIndex,Y3346,Trigger)</f>
        <v>62627</v>
      </c>
      <c r="AA3346" s="172" t="e">
        <v>#N/A</v>
      </c>
      <c r="AB3346" s="169" t="e">
        <v>#N/A</v>
      </c>
    </row>
    <row r="3347" spans="20:28" x14ac:dyDescent="0.2">
      <c r="T3347" s="130"/>
      <c r="U3347" s="151"/>
      <c r="X3347" s="170" t="str">
        <f t="shared" si="60"/>
        <v>1w</v>
      </c>
      <c r="Y3347" s="168">
        <f>_xll.qlCalendarAdvance(LiborCalendar,Y3346,X3347,"f",FALSE)</f>
        <v>62632</v>
      </c>
      <c r="Z3347" s="171">
        <f>_xll.qlInterestRateIndexValueDate(IborIndex,Y3347,Trigger)</f>
        <v>62634</v>
      </c>
      <c r="AA3347" s="172" t="e">
        <v>#N/A</v>
      </c>
      <c r="AB3347" s="169" t="e">
        <v>#N/A</v>
      </c>
    </row>
    <row r="3348" spans="20:28" x14ac:dyDescent="0.2">
      <c r="T3348" s="130"/>
      <c r="U3348" s="151"/>
      <c r="X3348" s="170" t="str">
        <f t="shared" si="60"/>
        <v>1w</v>
      </c>
      <c r="Y3348" s="168">
        <f>_xll.qlCalendarAdvance(LiborCalendar,Y3347,X3348,"f",FALSE)</f>
        <v>62639</v>
      </c>
      <c r="Z3348" s="171">
        <f>_xll.qlInterestRateIndexValueDate(IborIndex,Y3348,Trigger)</f>
        <v>62641</v>
      </c>
      <c r="AA3348" s="172" t="e">
        <v>#N/A</v>
      </c>
      <c r="AB3348" s="169" t="e">
        <v>#N/A</v>
      </c>
    </row>
    <row r="3349" spans="20:28" x14ac:dyDescent="0.2">
      <c r="T3349" s="130"/>
      <c r="U3349" s="151"/>
      <c r="X3349" s="170" t="str">
        <f t="shared" ref="X3349:X3412" si="61">X3348</f>
        <v>1w</v>
      </c>
      <c r="Y3349" s="168">
        <f>_xll.qlCalendarAdvance(LiborCalendar,Y3348,X3349,"f",FALSE)</f>
        <v>62646</v>
      </c>
      <c r="Z3349" s="171">
        <f>_xll.qlInterestRateIndexValueDate(IborIndex,Y3349,Trigger)</f>
        <v>62648</v>
      </c>
      <c r="AA3349" s="172" t="e">
        <v>#N/A</v>
      </c>
      <c r="AB3349" s="169" t="e">
        <v>#N/A</v>
      </c>
    </row>
    <row r="3350" spans="20:28" x14ac:dyDescent="0.2">
      <c r="T3350" s="130"/>
      <c r="U3350" s="151"/>
      <c r="X3350" s="170" t="str">
        <f t="shared" si="61"/>
        <v>1w</v>
      </c>
      <c r="Y3350" s="168">
        <f>_xll.qlCalendarAdvance(LiborCalendar,Y3349,X3350,"f",FALSE)</f>
        <v>62653</v>
      </c>
      <c r="Z3350" s="171">
        <f>_xll.qlInterestRateIndexValueDate(IborIndex,Y3350,Trigger)</f>
        <v>62655</v>
      </c>
      <c r="AA3350" s="172" t="e">
        <v>#N/A</v>
      </c>
      <c r="AB3350" s="169" t="e">
        <v>#N/A</v>
      </c>
    </row>
    <row r="3351" spans="20:28" x14ac:dyDescent="0.2">
      <c r="T3351" s="130"/>
      <c r="U3351" s="151"/>
      <c r="X3351" s="170" t="str">
        <f t="shared" si="61"/>
        <v>1w</v>
      </c>
      <c r="Y3351" s="168">
        <f>_xll.qlCalendarAdvance(LiborCalendar,Y3350,X3351,"f",FALSE)</f>
        <v>62660</v>
      </c>
      <c r="Z3351" s="171">
        <f>_xll.qlInterestRateIndexValueDate(IborIndex,Y3351,Trigger)</f>
        <v>62662</v>
      </c>
      <c r="AA3351" s="172" t="e">
        <v>#N/A</v>
      </c>
      <c r="AB3351" s="169" t="e">
        <v>#N/A</v>
      </c>
    </row>
    <row r="3352" spans="20:28" x14ac:dyDescent="0.2">
      <c r="T3352" s="130"/>
      <c r="U3352" s="151"/>
      <c r="X3352" s="170" t="str">
        <f t="shared" si="61"/>
        <v>1w</v>
      </c>
      <c r="Y3352" s="168">
        <f>_xll.qlCalendarAdvance(LiborCalendar,Y3351,X3352,"f",FALSE)</f>
        <v>62667</v>
      </c>
      <c r="Z3352" s="171">
        <f>_xll.qlInterestRateIndexValueDate(IborIndex,Y3352,Trigger)</f>
        <v>62669</v>
      </c>
      <c r="AA3352" s="172" t="e">
        <v>#N/A</v>
      </c>
      <c r="AB3352" s="169" t="e">
        <v>#N/A</v>
      </c>
    </row>
    <row r="3353" spans="20:28" x14ac:dyDescent="0.2">
      <c r="T3353" s="130"/>
      <c r="U3353" s="151"/>
      <c r="X3353" s="170" t="str">
        <f t="shared" si="61"/>
        <v>1w</v>
      </c>
      <c r="Y3353" s="168">
        <f>_xll.qlCalendarAdvance(LiborCalendar,Y3352,X3353,"f",FALSE)</f>
        <v>62674</v>
      </c>
      <c r="Z3353" s="171">
        <f>_xll.qlInterestRateIndexValueDate(IborIndex,Y3353,Trigger)</f>
        <v>62676</v>
      </c>
      <c r="AA3353" s="172" t="e">
        <v>#N/A</v>
      </c>
      <c r="AB3353" s="169" t="e">
        <v>#N/A</v>
      </c>
    </row>
    <row r="3354" spans="20:28" x14ac:dyDescent="0.2">
      <c r="T3354" s="130"/>
      <c r="U3354" s="151"/>
      <c r="X3354" s="170" t="str">
        <f t="shared" si="61"/>
        <v>1w</v>
      </c>
      <c r="Y3354" s="168">
        <f>_xll.qlCalendarAdvance(LiborCalendar,Y3353,X3354,"f",FALSE)</f>
        <v>62681</v>
      </c>
      <c r="Z3354" s="171">
        <f>_xll.qlInterestRateIndexValueDate(IborIndex,Y3354,Trigger)</f>
        <v>62683</v>
      </c>
      <c r="AA3354" s="172" t="e">
        <v>#N/A</v>
      </c>
      <c r="AB3354" s="169" t="e">
        <v>#N/A</v>
      </c>
    </row>
    <row r="3355" spans="20:28" x14ac:dyDescent="0.2">
      <c r="T3355" s="130"/>
      <c r="U3355" s="151"/>
      <c r="X3355" s="170" t="str">
        <f t="shared" si="61"/>
        <v>1w</v>
      </c>
      <c r="Y3355" s="168">
        <f>_xll.qlCalendarAdvance(LiborCalendar,Y3354,X3355,"f",FALSE)</f>
        <v>62688</v>
      </c>
      <c r="Z3355" s="171">
        <f>_xll.qlInterestRateIndexValueDate(IborIndex,Y3355,Trigger)</f>
        <v>62690</v>
      </c>
      <c r="AA3355" s="172" t="e">
        <v>#N/A</v>
      </c>
      <c r="AB3355" s="169" t="e">
        <v>#N/A</v>
      </c>
    </row>
    <row r="3356" spans="20:28" x14ac:dyDescent="0.2">
      <c r="T3356" s="130"/>
      <c r="U3356" s="151"/>
      <c r="X3356" s="170" t="str">
        <f t="shared" si="61"/>
        <v>1w</v>
      </c>
      <c r="Y3356" s="168">
        <f>_xll.qlCalendarAdvance(LiborCalendar,Y3355,X3356,"f",FALSE)</f>
        <v>62695</v>
      </c>
      <c r="Z3356" s="171">
        <f>_xll.qlInterestRateIndexValueDate(IborIndex,Y3356,Trigger)</f>
        <v>62697</v>
      </c>
      <c r="AA3356" s="172" t="e">
        <v>#N/A</v>
      </c>
      <c r="AB3356" s="169" t="e">
        <v>#N/A</v>
      </c>
    </row>
    <row r="3357" spans="20:28" x14ac:dyDescent="0.2">
      <c r="T3357" s="130"/>
      <c r="U3357" s="151"/>
      <c r="X3357" s="170" t="str">
        <f t="shared" si="61"/>
        <v>1w</v>
      </c>
      <c r="Y3357" s="168">
        <f>_xll.qlCalendarAdvance(LiborCalendar,Y3356,X3357,"f",FALSE)</f>
        <v>62702</v>
      </c>
      <c r="Z3357" s="171">
        <f>_xll.qlInterestRateIndexValueDate(IborIndex,Y3357,Trigger)</f>
        <v>62704</v>
      </c>
      <c r="AA3357" s="172" t="e">
        <v>#N/A</v>
      </c>
      <c r="AB3357" s="169" t="e">
        <v>#N/A</v>
      </c>
    </row>
    <row r="3358" spans="20:28" x14ac:dyDescent="0.2">
      <c r="T3358" s="130"/>
      <c r="U3358" s="151"/>
      <c r="X3358" s="170" t="str">
        <f t="shared" si="61"/>
        <v>1w</v>
      </c>
      <c r="Y3358" s="168">
        <f>_xll.qlCalendarAdvance(LiborCalendar,Y3357,X3358,"f",FALSE)</f>
        <v>62709</v>
      </c>
      <c r="Z3358" s="171">
        <f>_xll.qlInterestRateIndexValueDate(IborIndex,Y3358,Trigger)</f>
        <v>62711</v>
      </c>
      <c r="AA3358" s="172" t="e">
        <v>#N/A</v>
      </c>
      <c r="AB3358" s="169" t="e">
        <v>#N/A</v>
      </c>
    </row>
    <row r="3359" spans="20:28" x14ac:dyDescent="0.2">
      <c r="T3359" s="130"/>
      <c r="U3359" s="151"/>
      <c r="X3359" s="170" t="str">
        <f t="shared" si="61"/>
        <v>1w</v>
      </c>
      <c r="Y3359" s="168">
        <f>_xll.qlCalendarAdvance(LiborCalendar,Y3358,X3359,"f",FALSE)</f>
        <v>62716</v>
      </c>
      <c r="Z3359" s="171">
        <f>_xll.qlInterestRateIndexValueDate(IborIndex,Y3359,Trigger)</f>
        <v>62718</v>
      </c>
      <c r="AA3359" s="172" t="e">
        <v>#N/A</v>
      </c>
      <c r="AB3359" s="169" t="e">
        <v>#N/A</v>
      </c>
    </row>
    <row r="3360" spans="20:28" x14ac:dyDescent="0.2">
      <c r="T3360" s="130"/>
      <c r="U3360" s="151"/>
      <c r="X3360" s="170" t="str">
        <f t="shared" si="61"/>
        <v>1w</v>
      </c>
      <c r="Y3360" s="168">
        <f>_xll.qlCalendarAdvance(LiborCalendar,Y3359,X3360,"f",FALSE)</f>
        <v>62723</v>
      </c>
      <c r="Z3360" s="171">
        <f>_xll.qlInterestRateIndexValueDate(IborIndex,Y3360,Trigger)</f>
        <v>62725</v>
      </c>
      <c r="AA3360" s="172" t="e">
        <v>#N/A</v>
      </c>
      <c r="AB3360" s="169" t="e">
        <v>#N/A</v>
      </c>
    </row>
    <row r="3361" spans="20:28" x14ac:dyDescent="0.2">
      <c r="T3361" s="130"/>
      <c r="U3361" s="151"/>
      <c r="X3361" s="170" t="str">
        <f t="shared" si="61"/>
        <v>1w</v>
      </c>
      <c r="Y3361" s="168">
        <f>_xll.qlCalendarAdvance(LiborCalendar,Y3360,X3361,"f",FALSE)</f>
        <v>62730</v>
      </c>
      <c r="Z3361" s="171">
        <f>_xll.qlInterestRateIndexValueDate(IborIndex,Y3361,Trigger)</f>
        <v>62732</v>
      </c>
      <c r="AA3361" s="172" t="e">
        <v>#N/A</v>
      </c>
      <c r="AB3361" s="169" t="e">
        <v>#N/A</v>
      </c>
    </row>
    <row r="3362" spans="20:28" x14ac:dyDescent="0.2">
      <c r="T3362" s="130"/>
      <c r="U3362" s="151"/>
      <c r="X3362" s="170" t="str">
        <f t="shared" si="61"/>
        <v>1w</v>
      </c>
      <c r="Y3362" s="168">
        <f>_xll.qlCalendarAdvance(LiborCalendar,Y3361,X3362,"f",FALSE)</f>
        <v>62737</v>
      </c>
      <c r="Z3362" s="171">
        <f>_xll.qlInterestRateIndexValueDate(IborIndex,Y3362,Trigger)</f>
        <v>62739</v>
      </c>
      <c r="AA3362" s="172" t="e">
        <v>#N/A</v>
      </c>
      <c r="AB3362" s="169" t="e">
        <v>#N/A</v>
      </c>
    </row>
    <row r="3363" spans="20:28" x14ac:dyDescent="0.2">
      <c r="T3363" s="130"/>
      <c r="U3363" s="151"/>
      <c r="X3363" s="170" t="str">
        <f t="shared" si="61"/>
        <v>1w</v>
      </c>
      <c r="Y3363" s="168">
        <f>_xll.qlCalendarAdvance(LiborCalendar,Y3362,X3363,"f",FALSE)</f>
        <v>62744</v>
      </c>
      <c r="Z3363" s="171">
        <f>_xll.qlInterestRateIndexValueDate(IborIndex,Y3363,Trigger)</f>
        <v>62746</v>
      </c>
      <c r="AA3363" s="172" t="e">
        <v>#N/A</v>
      </c>
      <c r="AB3363" s="169" t="e">
        <v>#N/A</v>
      </c>
    </row>
    <row r="3364" spans="20:28" x14ac:dyDescent="0.2">
      <c r="T3364" s="130"/>
      <c r="U3364" s="151"/>
      <c r="X3364" s="170" t="str">
        <f t="shared" si="61"/>
        <v>1w</v>
      </c>
      <c r="Y3364" s="168">
        <f>_xll.qlCalendarAdvance(LiborCalendar,Y3363,X3364,"f",FALSE)</f>
        <v>62751</v>
      </c>
      <c r="Z3364" s="171">
        <f>_xll.qlInterestRateIndexValueDate(IborIndex,Y3364,Trigger)</f>
        <v>62753</v>
      </c>
      <c r="AA3364" s="172" t="e">
        <v>#N/A</v>
      </c>
      <c r="AB3364" s="169" t="e">
        <v>#N/A</v>
      </c>
    </row>
    <row r="3365" spans="20:28" x14ac:dyDescent="0.2">
      <c r="T3365" s="130"/>
      <c r="U3365" s="151"/>
      <c r="X3365" s="170" t="str">
        <f t="shared" si="61"/>
        <v>1w</v>
      </c>
      <c r="Y3365" s="168">
        <f>_xll.qlCalendarAdvance(LiborCalendar,Y3364,X3365,"f",FALSE)</f>
        <v>62758</v>
      </c>
      <c r="Z3365" s="171">
        <f>_xll.qlInterestRateIndexValueDate(IborIndex,Y3365,Trigger)</f>
        <v>62760</v>
      </c>
      <c r="AA3365" s="172" t="e">
        <v>#N/A</v>
      </c>
      <c r="AB3365" s="169" t="e">
        <v>#N/A</v>
      </c>
    </row>
    <row r="3366" spans="20:28" x14ac:dyDescent="0.2">
      <c r="T3366" s="130"/>
      <c r="U3366" s="151"/>
      <c r="X3366" s="170" t="str">
        <f t="shared" si="61"/>
        <v>1w</v>
      </c>
      <c r="Y3366" s="168">
        <f>_xll.qlCalendarAdvance(LiborCalendar,Y3365,X3366,"f",FALSE)</f>
        <v>62765</v>
      </c>
      <c r="Z3366" s="171">
        <f>_xll.qlInterestRateIndexValueDate(IborIndex,Y3366,Trigger)</f>
        <v>62767</v>
      </c>
      <c r="AA3366" s="172" t="e">
        <v>#N/A</v>
      </c>
      <c r="AB3366" s="169" t="e">
        <v>#N/A</v>
      </c>
    </row>
    <row r="3367" spans="20:28" x14ac:dyDescent="0.2">
      <c r="T3367" s="130"/>
      <c r="U3367" s="151"/>
      <c r="X3367" s="170" t="str">
        <f t="shared" si="61"/>
        <v>1w</v>
      </c>
      <c r="Y3367" s="168">
        <f>_xll.qlCalendarAdvance(LiborCalendar,Y3366,X3367,"f",FALSE)</f>
        <v>62772</v>
      </c>
      <c r="Z3367" s="171">
        <f>_xll.qlInterestRateIndexValueDate(IborIndex,Y3367,Trigger)</f>
        <v>62774</v>
      </c>
      <c r="AA3367" s="172" t="e">
        <v>#N/A</v>
      </c>
      <c r="AB3367" s="169" t="e">
        <v>#N/A</v>
      </c>
    </row>
    <row r="3368" spans="20:28" x14ac:dyDescent="0.2">
      <c r="T3368" s="130"/>
      <c r="U3368" s="151"/>
      <c r="X3368" s="170" t="str">
        <f t="shared" si="61"/>
        <v>1w</v>
      </c>
      <c r="Y3368" s="168">
        <f>_xll.qlCalendarAdvance(LiborCalendar,Y3367,X3368,"f",FALSE)</f>
        <v>62779</v>
      </c>
      <c r="Z3368" s="171">
        <f>_xll.qlInterestRateIndexValueDate(IborIndex,Y3368,Trigger)</f>
        <v>62781</v>
      </c>
      <c r="AA3368" s="172" t="e">
        <v>#N/A</v>
      </c>
      <c r="AB3368" s="169" t="e">
        <v>#N/A</v>
      </c>
    </row>
    <row r="3369" spans="20:28" x14ac:dyDescent="0.2">
      <c r="T3369" s="130"/>
      <c r="U3369" s="151"/>
      <c r="X3369" s="170" t="str">
        <f t="shared" si="61"/>
        <v>1w</v>
      </c>
      <c r="Y3369" s="168">
        <f>_xll.qlCalendarAdvance(LiborCalendar,Y3368,X3369,"f",FALSE)</f>
        <v>62786</v>
      </c>
      <c r="Z3369" s="171">
        <f>_xll.qlInterestRateIndexValueDate(IborIndex,Y3369,Trigger)</f>
        <v>62788</v>
      </c>
      <c r="AA3369" s="172" t="e">
        <v>#N/A</v>
      </c>
      <c r="AB3369" s="169" t="e">
        <v>#N/A</v>
      </c>
    </row>
    <row r="3370" spans="20:28" x14ac:dyDescent="0.2">
      <c r="T3370" s="130"/>
      <c r="U3370" s="151"/>
      <c r="X3370" s="170" t="str">
        <f t="shared" si="61"/>
        <v>1w</v>
      </c>
      <c r="Y3370" s="168">
        <f>_xll.qlCalendarAdvance(LiborCalendar,Y3369,X3370,"f",FALSE)</f>
        <v>62793</v>
      </c>
      <c r="Z3370" s="171">
        <f>_xll.qlInterestRateIndexValueDate(IborIndex,Y3370,Trigger)</f>
        <v>62795</v>
      </c>
      <c r="AA3370" s="172" t="e">
        <v>#N/A</v>
      </c>
      <c r="AB3370" s="169" t="e">
        <v>#N/A</v>
      </c>
    </row>
    <row r="3371" spans="20:28" x14ac:dyDescent="0.2">
      <c r="T3371" s="130"/>
      <c r="U3371" s="151"/>
      <c r="X3371" s="170" t="str">
        <f t="shared" si="61"/>
        <v>1w</v>
      </c>
      <c r="Y3371" s="168">
        <f>_xll.qlCalendarAdvance(LiborCalendar,Y3370,X3371,"f",FALSE)</f>
        <v>62800</v>
      </c>
      <c r="Z3371" s="171">
        <f>_xll.qlInterestRateIndexValueDate(IborIndex,Y3371,Trigger)</f>
        <v>62802</v>
      </c>
      <c r="AA3371" s="172" t="e">
        <v>#N/A</v>
      </c>
      <c r="AB3371" s="169" t="e">
        <v>#N/A</v>
      </c>
    </row>
    <row r="3372" spans="20:28" x14ac:dyDescent="0.2">
      <c r="T3372" s="130"/>
      <c r="U3372" s="151"/>
      <c r="X3372" s="170" t="str">
        <f t="shared" si="61"/>
        <v>1w</v>
      </c>
      <c r="Y3372" s="168">
        <f>_xll.qlCalendarAdvance(LiborCalendar,Y3371,X3372,"f",FALSE)</f>
        <v>62807</v>
      </c>
      <c r="Z3372" s="171">
        <f>_xll.qlInterestRateIndexValueDate(IborIndex,Y3372,Trigger)</f>
        <v>62809</v>
      </c>
      <c r="AA3372" s="172" t="e">
        <v>#N/A</v>
      </c>
      <c r="AB3372" s="169" t="e">
        <v>#N/A</v>
      </c>
    </row>
    <row r="3373" spans="20:28" x14ac:dyDescent="0.2">
      <c r="T3373" s="130"/>
      <c r="U3373" s="151"/>
      <c r="X3373" s="170" t="str">
        <f t="shared" si="61"/>
        <v>1w</v>
      </c>
      <c r="Y3373" s="168">
        <f>_xll.qlCalendarAdvance(LiborCalendar,Y3372,X3373,"f",FALSE)</f>
        <v>62814</v>
      </c>
      <c r="Z3373" s="171">
        <f>_xll.qlInterestRateIndexValueDate(IborIndex,Y3373,Trigger)</f>
        <v>62816</v>
      </c>
      <c r="AA3373" s="172" t="e">
        <v>#N/A</v>
      </c>
      <c r="AB3373" s="169" t="e">
        <v>#N/A</v>
      </c>
    </row>
    <row r="3374" spans="20:28" x14ac:dyDescent="0.2">
      <c r="T3374" s="130"/>
      <c r="U3374" s="151"/>
      <c r="X3374" s="170" t="str">
        <f t="shared" si="61"/>
        <v>1w</v>
      </c>
      <c r="Y3374" s="168">
        <f>_xll.qlCalendarAdvance(LiborCalendar,Y3373,X3374,"f",FALSE)</f>
        <v>62821</v>
      </c>
      <c r="Z3374" s="171">
        <f>_xll.qlInterestRateIndexValueDate(IborIndex,Y3374,Trigger)</f>
        <v>62823</v>
      </c>
      <c r="AA3374" s="172" t="e">
        <v>#N/A</v>
      </c>
      <c r="AB3374" s="169" t="e">
        <v>#N/A</v>
      </c>
    </row>
    <row r="3375" spans="20:28" x14ac:dyDescent="0.2">
      <c r="T3375" s="130"/>
      <c r="U3375" s="151"/>
      <c r="X3375" s="170" t="str">
        <f t="shared" si="61"/>
        <v>1w</v>
      </c>
      <c r="Y3375" s="168">
        <f>_xll.qlCalendarAdvance(LiborCalendar,Y3374,X3375,"f",FALSE)</f>
        <v>62828</v>
      </c>
      <c r="Z3375" s="171">
        <f>_xll.qlInterestRateIndexValueDate(IborIndex,Y3375,Trigger)</f>
        <v>62830</v>
      </c>
      <c r="AA3375" s="172" t="e">
        <v>#N/A</v>
      </c>
      <c r="AB3375" s="169" t="e">
        <v>#N/A</v>
      </c>
    </row>
    <row r="3376" spans="20:28" x14ac:dyDescent="0.2">
      <c r="T3376" s="130"/>
      <c r="U3376" s="151"/>
      <c r="X3376" s="170" t="str">
        <f t="shared" si="61"/>
        <v>1w</v>
      </c>
      <c r="Y3376" s="168">
        <f>_xll.qlCalendarAdvance(LiborCalendar,Y3375,X3376,"f",FALSE)</f>
        <v>62835</v>
      </c>
      <c r="Z3376" s="171">
        <f>_xll.qlInterestRateIndexValueDate(IborIndex,Y3376,Trigger)</f>
        <v>62837</v>
      </c>
      <c r="AA3376" s="172" t="e">
        <v>#N/A</v>
      </c>
      <c r="AB3376" s="169" t="e">
        <v>#N/A</v>
      </c>
    </row>
    <row r="3377" spans="20:28" x14ac:dyDescent="0.2">
      <c r="T3377" s="130"/>
      <c r="U3377" s="151"/>
      <c r="X3377" s="170" t="str">
        <f t="shared" si="61"/>
        <v>1w</v>
      </c>
      <c r="Y3377" s="168">
        <f>_xll.qlCalendarAdvance(LiborCalendar,Y3376,X3377,"f",FALSE)</f>
        <v>62842</v>
      </c>
      <c r="Z3377" s="171">
        <f>_xll.qlInterestRateIndexValueDate(IborIndex,Y3377,Trigger)</f>
        <v>62844</v>
      </c>
      <c r="AA3377" s="172" t="e">
        <v>#N/A</v>
      </c>
      <c r="AB3377" s="169" t="e">
        <v>#N/A</v>
      </c>
    </row>
    <row r="3378" spans="20:28" x14ac:dyDescent="0.2">
      <c r="T3378" s="130"/>
      <c r="U3378" s="151"/>
      <c r="X3378" s="170" t="str">
        <f t="shared" si="61"/>
        <v>1w</v>
      </c>
      <c r="Y3378" s="168">
        <f>_xll.qlCalendarAdvance(LiborCalendar,Y3377,X3378,"f",FALSE)</f>
        <v>62849</v>
      </c>
      <c r="Z3378" s="171">
        <f>_xll.qlInterestRateIndexValueDate(IborIndex,Y3378,Trigger)</f>
        <v>62851</v>
      </c>
      <c r="AA3378" s="172" t="e">
        <v>#N/A</v>
      </c>
      <c r="AB3378" s="169" t="e">
        <v>#N/A</v>
      </c>
    </row>
    <row r="3379" spans="20:28" x14ac:dyDescent="0.2">
      <c r="T3379" s="130"/>
      <c r="U3379" s="151"/>
      <c r="X3379" s="170" t="str">
        <f t="shared" si="61"/>
        <v>1w</v>
      </c>
      <c r="Y3379" s="168">
        <f>_xll.qlCalendarAdvance(LiborCalendar,Y3378,X3379,"f",FALSE)</f>
        <v>62856</v>
      </c>
      <c r="Z3379" s="171">
        <f>_xll.qlInterestRateIndexValueDate(IborIndex,Y3379,Trigger)</f>
        <v>62858</v>
      </c>
      <c r="AA3379" s="172" t="e">
        <v>#N/A</v>
      </c>
      <c r="AB3379" s="169" t="e">
        <v>#N/A</v>
      </c>
    </row>
    <row r="3380" spans="20:28" x14ac:dyDescent="0.2">
      <c r="T3380" s="130"/>
      <c r="U3380" s="151"/>
      <c r="X3380" s="170" t="str">
        <f t="shared" si="61"/>
        <v>1w</v>
      </c>
      <c r="Y3380" s="168">
        <f>_xll.qlCalendarAdvance(LiborCalendar,Y3379,X3380,"f",FALSE)</f>
        <v>62863</v>
      </c>
      <c r="Z3380" s="171">
        <f>_xll.qlInterestRateIndexValueDate(IborIndex,Y3380,Trigger)</f>
        <v>62865</v>
      </c>
      <c r="AA3380" s="172" t="e">
        <v>#N/A</v>
      </c>
      <c r="AB3380" s="169" t="e">
        <v>#N/A</v>
      </c>
    </row>
    <row r="3381" spans="20:28" x14ac:dyDescent="0.2">
      <c r="T3381" s="130"/>
      <c r="U3381" s="151"/>
      <c r="X3381" s="170" t="str">
        <f t="shared" si="61"/>
        <v>1w</v>
      </c>
      <c r="Y3381" s="168">
        <f>_xll.qlCalendarAdvance(LiborCalendar,Y3380,X3381,"f",FALSE)</f>
        <v>62870</v>
      </c>
      <c r="Z3381" s="171">
        <f>_xll.qlInterestRateIndexValueDate(IborIndex,Y3381,Trigger)</f>
        <v>62872</v>
      </c>
      <c r="AA3381" s="172" t="e">
        <v>#N/A</v>
      </c>
      <c r="AB3381" s="169" t="e">
        <v>#N/A</v>
      </c>
    </row>
    <row r="3382" spans="20:28" x14ac:dyDescent="0.2">
      <c r="T3382" s="130"/>
      <c r="U3382" s="151"/>
      <c r="X3382" s="170" t="str">
        <f t="shared" si="61"/>
        <v>1w</v>
      </c>
      <c r="Y3382" s="168">
        <f>_xll.qlCalendarAdvance(LiborCalendar,Y3381,X3382,"f",FALSE)</f>
        <v>62877</v>
      </c>
      <c r="Z3382" s="171">
        <f>_xll.qlInterestRateIndexValueDate(IborIndex,Y3382,Trigger)</f>
        <v>62879</v>
      </c>
      <c r="AA3382" s="172" t="e">
        <v>#N/A</v>
      </c>
      <c r="AB3382" s="169" t="e">
        <v>#N/A</v>
      </c>
    </row>
    <row r="3383" spans="20:28" x14ac:dyDescent="0.2">
      <c r="T3383" s="130"/>
      <c r="U3383" s="151"/>
      <c r="X3383" s="170" t="str">
        <f t="shared" si="61"/>
        <v>1w</v>
      </c>
      <c r="Y3383" s="168">
        <f>_xll.qlCalendarAdvance(LiborCalendar,Y3382,X3383,"f",FALSE)</f>
        <v>62884</v>
      </c>
      <c r="Z3383" s="171">
        <f>_xll.qlInterestRateIndexValueDate(IborIndex,Y3383,Trigger)</f>
        <v>62886</v>
      </c>
      <c r="AA3383" s="172" t="e">
        <v>#N/A</v>
      </c>
      <c r="AB3383" s="169" t="e">
        <v>#N/A</v>
      </c>
    </row>
    <row r="3384" spans="20:28" x14ac:dyDescent="0.2">
      <c r="T3384" s="130"/>
      <c r="U3384" s="151"/>
      <c r="X3384" s="170" t="str">
        <f t="shared" si="61"/>
        <v>1w</v>
      </c>
      <c r="Y3384" s="168">
        <f>_xll.qlCalendarAdvance(LiborCalendar,Y3383,X3384,"f",FALSE)</f>
        <v>62891</v>
      </c>
      <c r="Z3384" s="171">
        <f>_xll.qlInterestRateIndexValueDate(IborIndex,Y3384,Trigger)</f>
        <v>62893</v>
      </c>
      <c r="AA3384" s="172" t="e">
        <v>#N/A</v>
      </c>
      <c r="AB3384" s="169" t="e">
        <v>#N/A</v>
      </c>
    </row>
    <row r="3385" spans="20:28" x14ac:dyDescent="0.2">
      <c r="T3385" s="130"/>
      <c r="U3385" s="151"/>
      <c r="X3385" s="170" t="str">
        <f t="shared" si="61"/>
        <v>1w</v>
      </c>
      <c r="Y3385" s="168">
        <f>_xll.qlCalendarAdvance(LiborCalendar,Y3384,X3385,"f",FALSE)</f>
        <v>62898</v>
      </c>
      <c r="Z3385" s="171">
        <f>_xll.qlInterestRateIndexValueDate(IborIndex,Y3385,Trigger)</f>
        <v>62900</v>
      </c>
      <c r="AA3385" s="172" t="e">
        <v>#N/A</v>
      </c>
      <c r="AB3385" s="169" t="e">
        <v>#N/A</v>
      </c>
    </row>
    <row r="3386" spans="20:28" x14ac:dyDescent="0.2">
      <c r="T3386" s="130"/>
      <c r="U3386" s="151"/>
      <c r="X3386" s="170" t="str">
        <f t="shared" si="61"/>
        <v>1w</v>
      </c>
      <c r="Y3386" s="168">
        <f>_xll.qlCalendarAdvance(LiborCalendar,Y3385,X3386,"f",FALSE)</f>
        <v>62905</v>
      </c>
      <c r="Z3386" s="171">
        <f>_xll.qlInterestRateIndexValueDate(IborIndex,Y3386,Trigger)</f>
        <v>62907</v>
      </c>
      <c r="AA3386" s="172" t="e">
        <v>#N/A</v>
      </c>
      <c r="AB3386" s="169" t="e">
        <v>#N/A</v>
      </c>
    </row>
    <row r="3387" spans="20:28" x14ac:dyDescent="0.2">
      <c r="T3387" s="130"/>
      <c r="U3387" s="151"/>
      <c r="X3387" s="170" t="str">
        <f t="shared" si="61"/>
        <v>1w</v>
      </c>
      <c r="Y3387" s="168">
        <f>_xll.qlCalendarAdvance(LiborCalendar,Y3386,X3387,"f",FALSE)</f>
        <v>62912</v>
      </c>
      <c r="Z3387" s="171">
        <f>_xll.qlInterestRateIndexValueDate(IborIndex,Y3387,Trigger)</f>
        <v>62914</v>
      </c>
      <c r="AA3387" s="172" t="e">
        <v>#N/A</v>
      </c>
      <c r="AB3387" s="169" t="e">
        <v>#N/A</v>
      </c>
    </row>
    <row r="3388" spans="20:28" x14ac:dyDescent="0.2">
      <c r="T3388" s="130"/>
      <c r="U3388" s="151"/>
      <c r="X3388" s="170" t="str">
        <f t="shared" si="61"/>
        <v>1w</v>
      </c>
      <c r="Y3388" s="168">
        <f>_xll.qlCalendarAdvance(LiborCalendar,Y3387,X3388,"f",FALSE)</f>
        <v>62919</v>
      </c>
      <c r="Z3388" s="171">
        <f>_xll.qlInterestRateIndexValueDate(IborIndex,Y3388,Trigger)</f>
        <v>62921</v>
      </c>
      <c r="AA3388" s="172" t="e">
        <v>#N/A</v>
      </c>
      <c r="AB3388" s="169" t="e">
        <v>#N/A</v>
      </c>
    </row>
    <row r="3389" spans="20:28" x14ac:dyDescent="0.2">
      <c r="T3389" s="130"/>
      <c r="U3389" s="151"/>
      <c r="X3389" s="170" t="str">
        <f t="shared" si="61"/>
        <v>1w</v>
      </c>
      <c r="Y3389" s="168">
        <f>_xll.qlCalendarAdvance(LiborCalendar,Y3388,X3389,"f",FALSE)</f>
        <v>62926</v>
      </c>
      <c r="Z3389" s="171">
        <f>_xll.qlInterestRateIndexValueDate(IborIndex,Y3389,Trigger)</f>
        <v>62928</v>
      </c>
      <c r="AA3389" s="172" t="e">
        <v>#N/A</v>
      </c>
      <c r="AB3389" s="169" t="e">
        <v>#N/A</v>
      </c>
    </row>
    <row r="3390" spans="20:28" x14ac:dyDescent="0.2">
      <c r="T3390" s="130"/>
      <c r="U3390" s="151"/>
      <c r="X3390" s="170" t="str">
        <f t="shared" si="61"/>
        <v>1w</v>
      </c>
      <c r="Y3390" s="168">
        <f>_xll.qlCalendarAdvance(LiborCalendar,Y3389,X3390,"f",FALSE)</f>
        <v>62933</v>
      </c>
      <c r="Z3390" s="171">
        <f>_xll.qlInterestRateIndexValueDate(IborIndex,Y3390,Trigger)</f>
        <v>62935</v>
      </c>
      <c r="AA3390" s="172" t="e">
        <v>#N/A</v>
      </c>
      <c r="AB3390" s="169" t="e">
        <v>#N/A</v>
      </c>
    </row>
    <row r="3391" spans="20:28" x14ac:dyDescent="0.2">
      <c r="T3391" s="130"/>
      <c r="U3391" s="151"/>
      <c r="X3391" s="170" t="str">
        <f t="shared" si="61"/>
        <v>1w</v>
      </c>
      <c r="Y3391" s="168">
        <f>_xll.qlCalendarAdvance(LiborCalendar,Y3390,X3391,"f",FALSE)</f>
        <v>62940</v>
      </c>
      <c r="Z3391" s="171">
        <f>_xll.qlInterestRateIndexValueDate(IborIndex,Y3391,Trigger)</f>
        <v>62942</v>
      </c>
      <c r="AA3391" s="172" t="e">
        <v>#N/A</v>
      </c>
      <c r="AB3391" s="169" t="e">
        <v>#N/A</v>
      </c>
    </row>
    <row r="3392" spans="20:28" x14ac:dyDescent="0.2">
      <c r="T3392" s="130"/>
      <c r="U3392" s="151"/>
      <c r="X3392" s="170" t="str">
        <f t="shared" si="61"/>
        <v>1w</v>
      </c>
      <c r="Y3392" s="168">
        <f>_xll.qlCalendarAdvance(LiborCalendar,Y3391,X3392,"f",FALSE)</f>
        <v>62947</v>
      </c>
      <c r="Z3392" s="171">
        <f>_xll.qlInterestRateIndexValueDate(IborIndex,Y3392,Trigger)</f>
        <v>62949</v>
      </c>
      <c r="AA3392" s="172" t="e">
        <v>#N/A</v>
      </c>
      <c r="AB3392" s="169" t="e">
        <v>#N/A</v>
      </c>
    </row>
    <row r="3393" spans="20:28" x14ac:dyDescent="0.2">
      <c r="T3393" s="130"/>
      <c r="U3393" s="151"/>
      <c r="X3393" s="170" t="str">
        <f t="shared" si="61"/>
        <v>1w</v>
      </c>
      <c r="Y3393" s="168">
        <f>_xll.qlCalendarAdvance(LiborCalendar,Y3392,X3393,"f",FALSE)</f>
        <v>62954</v>
      </c>
      <c r="Z3393" s="171">
        <f>_xll.qlInterestRateIndexValueDate(IborIndex,Y3393,Trigger)</f>
        <v>62956</v>
      </c>
      <c r="AA3393" s="172" t="e">
        <v>#N/A</v>
      </c>
      <c r="AB3393" s="169" t="e">
        <v>#N/A</v>
      </c>
    </row>
    <row r="3394" spans="20:28" x14ac:dyDescent="0.2">
      <c r="T3394" s="130"/>
      <c r="U3394" s="151"/>
      <c r="X3394" s="170" t="str">
        <f t="shared" si="61"/>
        <v>1w</v>
      </c>
      <c r="Y3394" s="168">
        <f>_xll.qlCalendarAdvance(LiborCalendar,Y3393,X3394,"f",FALSE)</f>
        <v>62961</v>
      </c>
      <c r="Z3394" s="171">
        <f>_xll.qlInterestRateIndexValueDate(IborIndex,Y3394,Trigger)</f>
        <v>62964</v>
      </c>
      <c r="AA3394" s="172" t="e">
        <v>#N/A</v>
      </c>
      <c r="AB3394" s="169" t="e">
        <v>#N/A</v>
      </c>
    </row>
    <row r="3395" spans="20:28" x14ac:dyDescent="0.2">
      <c r="T3395" s="130"/>
      <c r="U3395" s="151"/>
      <c r="X3395" s="170" t="str">
        <f t="shared" si="61"/>
        <v>1w</v>
      </c>
      <c r="Y3395" s="168">
        <f>_xll.qlCalendarAdvance(LiborCalendar,Y3394,X3395,"f",FALSE)</f>
        <v>62968</v>
      </c>
      <c r="Z3395" s="171">
        <f>_xll.qlInterestRateIndexValueDate(IborIndex,Y3395,Trigger)</f>
        <v>62970</v>
      </c>
      <c r="AA3395" s="172" t="e">
        <v>#N/A</v>
      </c>
      <c r="AB3395" s="169" t="e">
        <v>#N/A</v>
      </c>
    </row>
    <row r="3396" spans="20:28" x14ac:dyDescent="0.2">
      <c r="T3396" s="130"/>
      <c r="U3396" s="151"/>
      <c r="X3396" s="170" t="str">
        <f t="shared" si="61"/>
        <v>1w</v>
      </c>
      <c r="Y3396" s="168">
        <f>_xll.qlCalendarAdvance(LiborCalendar,Y3395,X3396,"f",FALSE)</f>
        <v>62975</v>
      </c>
      <c r="Z3396" s="171">
        <f>_xll.qlInterestRateIndexValueDate(IborIndex,Y3396,Trigger)</f>
        <v>62977</v>
      </c>
      <c r="AA3396" s="172" t="e">
        <v>#N/A</v>
      </c>
      <c r="AB3396" s="169" t="e">
        <v>#N/A</v>
      </c>
    </row>
    <row r="3397" spans="20:28" x14ac:dyDescent="0.2">
      <c r="T3397" s="130"/>
      <c r="U3397" s="151"/>
      <c r="X3397" s="170" t="str">
        <f t="shared" si="61"/>
        <v>1w</v>
      </c>
      <c r="Y3397" s="168">
        <f>_xll.qlCalendarAdvance(LiborCalendar,Y3396,X3397,"f",FALSE)</f>
        <v>62982</v>
      </c>
      <c r="Z3397" s="171">
        <f>_xll.qlInterestRateIndexValueDate(IborIndex,Y3397,Trigger)</f>
        <v>62984</v>
      </c>
      <c r="AA3397" s="172" t="e">
        <v>#N/A</v>
      </c>
      <c r="AB3397" s="169" t="e">
        <v>#N/A</v>
      </c>
    </row>
    <row r="3398" spans="20:28" x14ac:dyDescent="0.2">
      <c r="T3398" s="130"/>
      <c r="U3398" s="151"/>
      <c r="X3398" s="170" t="str">
        <f t="shared" si="61"/>
        <v>1w</v>
      </c>
      <c r="Y3398" s="168">
        <f>_xll.qlCalendarAdvance(LiborCalendar,Y3397,X3398,"f",FALSE)</f>
        <v>62989</v>
      </c>
      <c r="Z3398" s="171">
        <f>_xll.qlInterestRateIndexValueDate(IborIndex,Y3398,Trigger)</f>
        <v>62991</v>
      </c>
      <c r="AA3398" s="172" t="e">
        <v>#N/A</v>
      </c>
      <c r="AB3398" s="169" t="e">
        <v>#N/A</v>
      </c>
    </row>
    <row r="3399" spans="20:28" x14ac:dyDescent="0.2">
      <c r="T3399" s="130"/>
      <c r="U3399" s="151"/>
      <c r="X3399" s="170" t="str">
        <f t="shared" si="61"/>
        <v>1w</v>
      </c>
      <c r="Y3399" s="168">
        <f>_xll.qlCalendarAdvance(LiborCalendar,Y3398,X3399,"f",FALSE)</f>
        <v>62996</v>
      </c>
      <c r="Z3399" s="171">
        <f>_xll.qlInterestRateIndexValueDate(IborIndex,Y3399,Trigger)</f>
        <v>62998</v>
      </c>
      <c r="AA3399" s="172" t="e">
        <v>#N/A</v>
      </c>
      <c r="AB3399" s="169" t="e">
        <v>#N/A</v>
      </c>
    </row>
    <row r="3400" spans="20:28" x14ac:dyDescent="0.2">
      <c r="T3400" s="130"/>
      <c r="U3400" s="151"/>
      <c r="X3400" s="170" t="str">
        <f t="shared" si="61"/>
        <v>1w</v>
      </c>
      <c r="Y3400" s="168">
        <f>_xll.qlCalendarAdvance(LiborCalendar,Y3399,X3400,"f",FALSE)</f>
        <v>63003</v>
      </c>
      <c r="Z3400" s="171">
        <f>_xll.qlInterestRateIndexValueDate(IborIndex,Y3400,Trigger)</f>
        <v>63005</v>
      </c>
      <c r="AA3400" s="172" t="e">
        <v>#N/A</v>
      </c>
      <c r="AB3400" s="169" t="e">
        <v>#N/A</v>
      </c>
    </row>
    <row r="3401" spans="20:28" x14ac:dyDescent="0.2">
      <c r="T3401" s="130"/>
      <c r="U3401" s="151"/>
      <c r="X3401" s="170" t="str">
        <f t="shared" si="61"/>
        <v>1w</v>
      </c>
      <c r="Y3401" s="168">
        <f>_xll.qlCalendarAdvance(LiborCalendar,Y3400,X3401,"f",FALSE)</f>
        <v>63010</v>
      </c>
      <c r="Z3401" s="171">
        <f>_xll.qlInterestRateIndexValueDate(IborIndex,Y3401,Trigger)</f>
        <v>63012</v>
      </c>
      <c r="AA3401" s="172" t="e">
        <v>#N/A</v>
      </c>
      <c r="AB3401" s="169" t="e">
        <v>#N/A</v>
      </c>
    </row>
    <row r="3402" spans="20:28" x14ac:dyDescent="0.2">
      <c r="T3402" s="130"/>
      <c r="U3402" s="151"/>
      <c r="X3402" s="170" t="str">
        <f t="shared" si="61"/>
        <v>1w</v>
      </c>
      <c r="Y3402" s="168">
        <f>_xll.qlCalendarAdvance(LiborCalendar,Y3401,X3402,"f",FALSE)</f>
        <v>63017</v>
      </c>
      <c r="Z3402" s="171">
        <f>_xll.qlInterestRateIndexValueDate(IborIndex,Y3402,Trigger)</f>
        <v>63019</v>
      </c>
      <c r="AA3402" s="172" t="e">
        <v>#N/A</v>
      </c>
      <c r="AB3402" s="169" t="e">
        <v>#N/A</v>
      </c>
    </row>
    <row r="3403" spans="20:28" x14ac:dyDescent="0.2">
      <c r="T3403" s="130"/>
      <c r="U3403" s="151"/>
      <c r="X3403" s="170" t="str">
        <f t="shared" si="61"/>
        <v>1w</v>
      </c>
      <c r="Y3403" s="168">
        <f>_xll.qlCalendarAdvance(LiborCalendar,Y3402,X3403,"f",FALSE)</f>
        <v>63024</v>
      </c>
      <c r="Z3403" s="171">
        <f>_xll.qlInterestRateIndexValueDate(IborIndex,Y3403,Trigger)</f>
        <v>63026</v>
      </c>
      <c r="AA3403" s="172" t="e">
        <v>#N/A</v>
      </c>
      <c r="AB3403" s="169" t="e">
        <v>#N/A</v>
      </c>
    </row>
    <row r="3404" spans="20:28" x14ac:dyDescent="0.2">
      <c r="T3404" s="130"/>
      <c r="U3404" s="151"/>
      <c r="X3404" s="170" t="str">
        <f t="shared" si="61"/>
        <v>1w</v>
      </c>
      <c r="Y3404" s="168">
        <f>_xll.qlCalendarAdvance(LiborCalendar,Y3403,X3404,"f",FALSE)</f>
        <v>63031</v>
      </c>
      <c r="Z3404" s="171">
        <f>_xll.qlInterestRateIndexValueDate(IborIndex,Y3404,Trigger)</f>
        <v>63033</v>
      </c>
      <c r="AA3404" s="172" t="e">
        <v>#N/A</v>
      </c>
      <c r="AB3404" s="169" t="e">
        <v>#N/A</v>
      </c>
    </row>
    <row r="3405" spans="20:28" x14ac:dyDescent="0.2">
      <c r="T3405" s="130"/>
      <c r="U3405" s="151"/>
      <c r="X3405" s="170" t="str">
        <f t="shared" si="61"/>
        <v>1w</v>
      </c>
      <c r="Y3405" s="168">
        <f>_xll.qlCalendarAdvance(LiborCalendar,Y3404,X3405,"f",FALSE)</f>
        <v>63038</v>
      </c>
      <c r="Z3405" s="171">
        <f>_xll.qlInterestRateIndexValueDate(IborIndex,Y3405,Trigger)</f>
        <v>63040</v>
      </c>
      <c r="AA3405" s="172" t="e">
        <v>#N/A</v>
      </c>
      <c r="AB3405" s="169" t="e">
        <v>#N/A</v>
      </c>
    </row>
    <row r="3406" spans="20:28" x14ac:dyDescent="0.2">
      <c r="T3406" s="130"/>
      <c r="U3406" s="151"/>
      <c r="X3406" s="170" t="str">
        <f t="shared" si="61"/>
        <v>1w</v>
      </c>
      <c r="Y3406" s="168">
        <f>_xll.qlCalendarAdvance(LiborCalendar,Y3405,X3406,"f",FALSE)</f>
        <v>63045</v>
      </c>
      <c r="Z3406" s="171">
        <f>_xll.qlInterestRateIndexValueDate(IborIndex,Y3406,Trigger)</f>
        <v>63047</v>
      </c>
      <c r="AA3406" s="172" t="e">
        <v>#N/A</v>
      </c>
      <c r="AB3406" s="169" t="e">
        <v>#N/A</v>
      </c>
    </row>
    <row r="3407" spans="20:28" x14ac:dyDescent="0.2">
      <c r="T3407" s="130"/>
      <c r="U3407" s="151"/>
      <c r="X3407" s="170" t="str">
        <f t="shared" si="61"/>
        <v>1w</v>
      </c>
      <c r="Y3407" s="168">
        <f>_xll.qlCalendarAdvance(LiborCalendar,Y3406,X3407,"f",FALSE)</f>
        <v>63052</v>
      </c>
      <c r="Z3407" s="171">
        <f>_xll.qlInterestRateIndexValueDate(IborIndex,Y3407,Trigger)</f>
        <v>63054</v>
      </c>
      <c r="AA3407" s="172" t="e">
        <v>#N/A</v>
      </c>
      <c r="AB3407" s="169" t="e">
        <v>#N/A</v>
      </c>
    </row>
    <row r="3408" spans="20:28" x14ac:dyDescent="0.2">
      <c r="T3408" s="130"/>
      <c r="U3408" s="151"/>
      <c r="X3408" s="170" t="str">
        <f t="shared" si="61"/>
        <v>1w</v>
      </c>
      <c r="Y3408" s="168">
        <f>_xll.qlCalendarAdvance(LiborCalendar,Y3407,X3408,"f",FALSE)</f>
        <v>63059</v>
      </c>
      <c r="Z3408" s="171">
        <f>_xll.qlInterestRateIndexValueDate(IborIndex,Y3408,Trigger)</f>
        <v>63061</v>
      </c>
      <c r="AA3408" s="172" t="e">
        <v>#N/A</v>
      </c>
      <c r="AB3408" s="169" t="e">
        <v>#N/A</v>
      </c>
    </row>
    <row r="3409" spans="20:28" x14ac:dyDescent="0.2">
      <c r="T3409" s="130"/>
      <c r="U3409" s="151"/>
      <c r="X3409" s="170" t="str">
        <f t="shared" si="61"/>
        <v>1w</v>
      </c>
      <c r="Y3409" s="168">
        <f>_xll.qlCalendarAdvance(LiborCalendar,Y3408,X3409,"f",FALSE)</f>
        <v>63066</v>
      </c>
      <c r="Z3409" s="171">
        <f>_xll.qlInterestRateIndexValueDate(IborIndex,Y3409,Trigger)</f>
        <v>63068</v>
      </c>
      <c r="AA3409" s="172" t="e">
        <v>#N/A</v>
      </c>
      <c r="AB3409" s="169" t="e">
        <v>#N/A</v>
      </c>
    </row>
    <row r="3410" spans="20:28" x14ac:dyDescent="0.2">
      <c r="T3410" s="130"/>
      <c r="U3410" s="151"/>
      <c r="X3410" s="170" t="str">
        <f t="shared" si="61"/>
        <v>1w</v>
      </c>
      <c r="Y3410" s="168">
        <f>_xll.qlCalendarAdvance(LiborCalendar,Y3409,X3410,"f",FALSE)</f>
        <v>63073</v>
      </c>
      <c r="Z3410" s="171">
        <f>_xll.qlInterestRateIndexValueDate(IborIndex,Y3410,Trigger)</f>
        <v>63075</v>
      </c>
      <c r="AA3410" s="172" t="e">
        <v>#N/A</v>
      </c>
      <c r="AB3410" s="169" t="e">
        <v>#N/A</v>
      </c>
    </row>
    <row r="3411" spans="20:28" x14ac:dyDescent="0.2">
      <c r="T3411" s="130"/>
      <c r="U3411" s="151"/>
      <c r="X3411" s="170" t="str">
        <f t="shared" si="61"/>
        <v>1w</v>
      </c>
      <c r="Y3411" s="168">
        <f>_xll.qlCalendarAdvance(LiborCalendar,Y3410,X3411,"f",FALSE)</f>
        <v>63080</v>
      </c>
      <c r="Z3411" s="171">
        <f>_xll.qlInterestRateIndexValueDate(IborIndex,Y3411,Trigger)</f>
        <v>63082</v>
      </c>
      <c r="AA3411" s="172" t="e">
        <v>#N/A</v>
      </c>
      <c r="AB3411" s="169" t="e">
        <v>#N/A</v>
      </c>
    </row>
    <row r="3412" spans="20:28" x14ac:dyDescent="0.2">
      <c r="T3412" s="130"/>
      <c r="U3412" s="151"/>
      <c r="X3412" s="170" t="str">
        <f t="shared" si="61"/>
        <v>1w</v>
      </c>
      <c r="Y3412" s="168">
        <f>_xll.qlCalendarAdvance(LiborCalendar,Y3411,X3412,"f",FALSE)</f>
        <v>63087</v>
      </c>
      <c r="Z3412" s="171">
        <f>_xll.qlInterestRateIndexValueDate(IborIndex,Y3412,Trigger)</f>
        <v>63089</v>
      </c>
      <c r="AA3412" s="172" t="e">
        <v>#N/A</v>
      </c>
      <c r="AB3412" s="169" t="e">
        <v>#N/A</v>
      </c>
    </row>
    <row r="3413" spans="20:28" x14ac:dyDescent="0.2">
      <c r="T3413" s="130"/>
      <c r="U3413" s="151"/>
      <c r="X3413" s="170" t="str">
        <f t="shared" ref="X3413:X3476" si="62">X3412</f>
        <v>1w</v>
      </c>
      <c r="Y3413" s="168">
        <f>_xll.qlCalendarAdvance(LiborCalendar,Y3412,X3413,"f",FALSE)</f>
        <v>63094</v>
      </c>
      <c r="Z3413" s="171">
        <f>_xll.qlInterestRateIndexValueDate(IborIndex,Y3413,Trigger)</f>
        <v>63096</v>
      </c>
      <c r="AA3413" s="172" t="e">
        <v>#N/A</v>
      </c>
      <c r="AB3413" s="169" t="e">
        <v>#N/A</v>
      </c>
    </row>
    <row r="3414" spans="20:28" x14ac:dyDescent="0.2">
      <c r="T3414" s="130"/>
      <c r="U3414" s="151"/>
      <c r="X3414" s="170" t="str">
        <f t="shared" si="62"/>
        <v>1w</v>
      </c>
      <c r="Y3414" s="168">
        <f>_xll.qlCalendarAdvance(LiborCalendar,Y3413,X3414,"f",FALSE)</f>
        <v>63101</v>
      </c>
      <c r="Z3414" s="171">
        <f>_xll.qlInterestRateIndexValueDate(IborIndex,Y3414,Trigger)</f>
        <v>63103</v>
      </c>
      <c r="AA3414" s="172" t="e">
        <v>#N/A</v>
      </c>
      <c r="AB3414" s="169" t="e">
        <v>#N/A</v>
      </c>
    </row>
    <row r="3415" spans="20:28" x14ac:dyDescent="0.2">
      <c r="T3415" s="130"/>
      <c r="U3415" s="151"/>
      <c r="X3415" s="170" t="str">
        <f t="shared" si="62"/>
        <v>1w</v>
      </c>
      <c r="Y3415" s="168">
        <f>_xll.qlCalendarAdvance(LiborCalendar,Y3414,X3415,"f",FALSE)</f>
        <v>63108</v>
      </c>
      <c r="Z3415" s="171">
        <f>_xll.qlInterestRateIndexValueDate(IborIndex,Y3415,Trigger)</f>
        <v>63110</v>
      </c>
      <c r="AA3415" s="172" t="e">
        <v>#N/A</v>
      </c>
      <c r="AB3415" s="169" t="e">
        <v>#N/A</v>
      </c>
    </row>
    <row r="3416" spans="20:28" x14ac:dyDescent="0.2">
      <c r="T3416" s="130"/>
      <c r="U3416" s="151"/>
      <c r="X3416" s="170" t="str">
        <f t="shared" si="62"/>
        <v>1w</v>
      </c>
      <c r="Y3416" s="168">
        <f>_xll.qlCalendarAdvance(LiborCalendar,Y3415,X3416,"f",FALSE)</f>
        <v>63115</v>
      </c>
      <c r="Z3416" s="171">
        <f>_xll.qlInterestRateIndexValueDate(IborIndex,Y3416,Trigger)</f>
        <v>63117</v>
      </c>
      <c r="AA3416" s="172" t="e">
        <v>#N/A</v>
      </c>
      <c r="AB3416" s="169" t="e">
        <v>#N/A</v>
      </c>
    </row>
    <row r="3417" spans="20:28" x14ac:dyDescent="0.2">
      <c r="T3417" s="130"/>
      <c r="U3417" s="151"/>
      <c r="X3417" s="170" t="str">
        <f t="shared" si="62"/>
        <v>1w</v>
      </c>
      <c r="Y3417" s="168">
        <f>_xll.qlCalendarAdvance(LiborCalendar,Y3416,X3417,"f",FALSE)</f>
        <v>63122</v>
      </c>
      <c r="Z3417" s="171">
        <f>_xll.qlInterestRateIndexValueDate(IborIndex,Y3417,Trigger)</f>
        <v>63124</v>
      </c>
      <c r="AA3417" s="172" t="e">
        <v>#N/A</v>
      </c>
      <c r="AB3417" s="169" t="e">
        <v>#N/A</v>
      </c>
    </row>
    <row r="3418" spans="20:28" x14ac:dyDescent="0.2">
      <c r="T3418" s="130"/>
      <c r="U3418" s="151"/>
      <c r="X3418" s="170" t="str">
        <f t="shared" si="62"/>
        <v>1w</v>
      </c>
      <c r="Y3418" s="168">
        <f>_xll.qlCalendarAdvance(LiborCalendar,Y3417,X3418,"f",FALSE)</f>
        <v>63129</v>
      </c>
      <c r="Z3418" s="171">
        <f>_xll.qlInterestRateIndexValueDate(IborIndex,Y3418,Trigger)</f>
        <v>63131</v>
      </c>
      <c r="AA3418" s="172" t="e">
        <v>#N/A</v>
      </c>
      <c r="AB3418" s="169" t="e">
        <v>#N/A</v>
      </c>
    </row>
    <row r="3419" spans="20:28" x14ac:dyDescent="0.2">
      <c r="T3419" s="130"/>
      <c r="U3419" s="151"/>
      <c r="X3419" s="170" t="str">
        <f t="shared" si="62"/>
        <v>1w</v>
      </c>
      <c r="Y3419" s="168">
        <f>_xll.qlCalendarAdvance(LiborCalendar,Y3418,X3419,"f",FALSE)</f>
        <v>63136</v>
      </c>
      <c r="Z3419" s="171">
        <f>_xll.qlInterestRateIndexValueDate(IborIndex,Y3419,Trigger)</f>
        <v>63138</v>
      </c>
      <c r="AA3419" s="172" t="e">
        <v>#N/A</v>
      </c>
      <c r="AB3419" s="169" t="e">
        <v>#N/A</v>
      </c>
    </row>
    <row r="3420" spans="20:28" x14ac:dyDescent="0.2">
      <c r="T3420" s="130"/>
      <c r="U3420" s="151"/>
      <c r="X3420" s="170" t="str">
        <f t="shared" si="62"/>
        <v>1w</v>
      </c>
      <c r="Y3420" s="168">
        <f>_xll.qlCalendarAdvance(LiborCalendar,Y3419,X3420,"f",FALSE)</f>
        <v>63143</v>
      </c>
      <c r="Z3420" s="171">
        <f>_xll.qlInterestRateIndexValueDate(IborIndex,Y3420,Trigger)</f>
        <v>63145</v>
      </c>
      <c r="AA3420" s="172" t="e">
        <v>#N/A</v>
      </c>
      <c r="AB3420" s="169" t="e">
        <v>#N/A</v>
      </c>
    </row>
    <row r="3421" spans="20:28" x14ac:dyDescent="0.2">
      <c r="T3421" s="130"/>
      <c r="U3421" s="151"/>
      <c r="X3421" s="170" t="str">
        <f t="shared" si="62"/>
        <v>1w</v>
      </c>
      <c r="Y3421" s="168">
        <f>_xll.qlCalendarAdvance(LiborCalendar,Y3420,X3421,"f",FALSE)</f>
        <v>63150</v>
      </c>
      <c r="Z3421" s="171">
        <f>_xll.qlInterestRateIndexValueDate(IborIndex,Y3421,Trigger)</f>
        <v>63152</v>
      </c>
      <c r="AA3421" s="172" t="e">
        <v>#N/A</v>
      </c>
      <c r="AB3421" s="169" t="e">
        <v>#N/A</v>
      </c>
    </row>
    <row r="3422" spans="20:28" x14ac:dyDescent="0.2">
      <c r="T3422" s="130"/>
      <c r="U3422" s="151"/>
      <c r="X3422" s="170" t="str">
        <f t="shared" si="62"/>
        <v>1w</v>
      </c>
      <c r="Y3422" s="168">
        <f>_xll.qlCalendarAdvance(LiborCalendar,Y3421,X3422,"f",FALSE)</f>
        <v>63157</v>
      </c>
      <c r="Z3422" s="171">
        <f>_xll.qlInterestRateIndexValueDate(IborIndex,Y3422,Trigger)</f>
        <v>63159</v>
      </c>
      <c r="AA3422" s="172" t="e">
        <v>#N/A</v>
      </c>
      <c r="AB3422" s="169" t="e">
        <v>#N/A</v>
      </c>
    </row>
    <row r="3423" spans="20:28" x14ac:dyDescent="0.2">
      <c r="T3423" s="130"/>
      <c r="U3423" s="151"/>
      <c r="X3423" s="170" t="str">
        <f t="shared" si="62"/>
        <v>1w</v>
      </c>
      <c r="Y3423" s="168">
        <f>_xll.qlCalendarAdvance(LiborCalendar,Y3422,X3423,"f",FALSE)</f>
        <v>63164</v>
      </c>
      <c r="Z3423" s="171">
        <f>_xll.qlInterestRateIndexValueDate(IborIndex,Y3423,Trigger)</f>
        <v>63166</v>
      </c>
      <c r="AA3423" s="172" t="e">
        <v>#N/A</v>
      </c>
      <c r="AB3423" s="169" t="e">
        <v>#N/A</v>
      </c>
    </row>
    <row r="3424" spans="20:28" x14ac:dyDescent="0.2">
      <c r="T3424" s="130"/>
      <c r="U3424" s="151"/>
      <c r="X3424" s="170" t="str">
        <f t="shared" si="62"/>
        <v>1w</v>
      </c>
      <c r="Y3424" s="168">
        <f>_xll.qlCalendarAdvance(LiborCalendar,Y3423,X3424,"f",FALSE)</f>
        <v>63171</v>
      </c>
      <c r="Z3424" s="171">
        <f>_xll.qlInterestRateIndexValueDate(IborIndex,Y3424,Trigger)</f>
        <v>63173</v>
      </c>
      <c r="AA3424" s="172" t="e">
        <v>#N/A</v>
      </c>
      <c r="AB3424" s="169" t="e">
        <v>#N/A</v>
      </c>
    </row>
    <row r="3425" spans="20:28" x14ac:dyDescent="0.2">
      <c r="T3425" s="130"/>
      <c r="U3425" s="151"/>
      <c r="X3425" s="170" t="str">
        <f t="shared" si="62"/>
        <v>1w</v>
      </c>
      <c r="Y3425" s="168">
        <f>_xll.qlCalendarAdvance(LiborCalendar,Y3424,X3425,"f",FALSE)</f>
        <v>63178</v>
      </c>
      <c r="Z3425" s="171">
        <f>_xll.qlInterestRateIndexValueDate(IborIndex,Y3425,Trigger)</f>
        <v>63180</v>
      </c>
      <c r="AA3425" s="172" t="e">
        <v>#N/A</v>
      </c>
      <c r="AB3425" s="169" t="e">
        <v>#N/A</v>
      </c>
    </row>
    <row r="3426" spans="20:28" x14ac:dyDescent="0.2">
      <c r="T3426" s="130"/>
      <c r="U3426" s="151"/>
      <c r="X3426" s="170" t="str">
        <f t="shared" si="62"/>
        <v>1w</v>
      </c>
      <c r="Y3426" s="168">
        <f>_xll.qlCalendarAdvance(LiborCalendar,Y3425,X3426,"f",FALSE)</f>
        <v>63186</v>
      </c>
      <c r="Z3426" s="171">
        <f>_xll.qlInterestRateIndexValueDate(IborIndex,Y3426,Trigger)</f>
        <v>63188</v>
      </c>
      <c r="AA3426" s="172" t="e">
        <v>#N/A</v>
      </c>
      <c r="AB3426" s="169" t="e">
        <v>#N/A</v>
      </c>
    </row>
    <row r="3427" spans="20:28" x14ac:dyDescent="0.2">
      <c r="T3427" s="130"/>
      <c r="U3427" s="151"/>
      <c r="X3427" s="170" t="str">
        <f t="shared" si="62"/>
        <v>1w</v>
      </c>
      <c r="Y3427" s="168">
        <f>_xll.qlCalendarAdvance(LiborCalendar,Y3426,X3427,"f",FALSE)</f>
        <v>63193</v>
      </c>
      <c r="Z3427" s="171">
        <f>_xll.qlInterestRateIndexValueDate(IborIndex,Y3427,Trigger)</f>
        <v>63195</v>
      </c>
      <c r="AA3427" s="172" t="e">
        <v>#N/A</v>
      </c>
      <c r="AB3427" s="169" t="e">
        <v>#N/A</v>
      </c>
    </row>
    <row r="3428" spans="20:28" x14ac:dyDescent="0.2">
      <c r="T3428" s="130"/>
      <c r="U3428" s="151"/>
      <c r="X3428" s="170" t="str">
        <f t="shared" si="62"/>
        <v>1w</v>
      </c>
      <c r="Y3428" s="168">
        <f>_xll.qlCalendarAdvance(LiborCalendar,Y3427,X3428,"f",FALSE)</f>
        <v>63200</v>
      </c>
      <c r="Z3428" s="171">
        <f>_xll.qlInterestRateIndexValueDate(IborIndex,Y3428,Trigger)</f>
        <v>63202</v>
      </c>
      <c r="AA3428" s="172" t="e">
        <v>#N/A</v>
      </c>
      <c r="AB3428" s="169" t="e">
        <v>#N/A</v>
      </c>
    </row>
    <row r="3429" spans="20:28" x14ac:dyDescent="0.2">
      <c r="T3429" s="130"/>
      <c r="U3429" s="151"/>
      <c r="X3429" s="170" t="str">
        <f t="shared" si="62"/>
        <v>1w</v>
      </c>
      <c r="Y3429" s="168">
        <f>_xll.qlCalendarAdvance(LiborCalendar,Y3428,X3429,"f",FALSE)</f>
        <v>63207</v>
      </c>
      <c r="Z3429" s="171">
        <f>_xll.qlInterestRateIndexValueDate(IborIndex,Y3429,Trigger)</f>
        <v>63209</v>
      </c>
      <c r="AA3429" s="172" t="e">
        <v>#N/A</v>
      </c>
      <c r="AB3429" s="169" t="e">
        <v>#N/A</v>
      </c>
    </row>
    <row r="3430" spans="20:28" x14ac:dyDescent="0.2">
      <c r="T3430" s="130"/>
      <c r="U3430" s="151"/>
      <c r="X3430" s="170" t="str">
        <f t="shared" si="62"/>
        <v>1w</v>
      </c>
      <c r="Y3430" s="168">
        <f>_xll.qlCalendarAdvance(LiborCalendar,Y3429,X3430,"f",FALSE)</f>
        <v>63214</v>
      </c>
      <c r="Z3430" s="171">
        <f>_xll.qlInterestRateIndexValueDate(IborIndex,Y3430,Trigger)</f>
        <v>63216</v>
      </c>
      <c r="AA3430" s="172" t="e">
        <v>#N/A</v>
      </c>
      <c r="AB3430" s="169" t="e">
        <v>#N/A</v>
      </c>
    </row>
    <row r="3431" spans="20:28" x14ac:dyDescent="0.2">
      <c r="T3431" s="130"/>
      <c r="U3431" s="151"/>
      <c r="X3431" s="170" t="str">
        <f t="shared" si="62"/>
        <v>1w</v>
      </c>
      <c r="Y3431" s="168">
        <f>_xll.qlCalendarAdvance(LiborCalendar,Y3430,X3431,"f",FALSE)</f>
        <v>63221</v>
      </c>
      <c r="Z3431" s="171">
        <f>_xll.qlInterestRateIndexValueDate(IborIndex,Y3431,Trigger)</f>
        <v>63223</v>
      </c>
      <c r="AA3431" s="172" t="e">
        <v>#N/A</v>
      </c>
      <c r="AB3431" s="169" t="e">
        <v>#N/A</v>
      </c>
    </row>
    <row r="3432" spans="20:28" x14ac:dyDescent="0.2">
      <c r="T3432" s="130"/>
      <c r="U3432" s="151"/>
      <c r="X3432" s="170" t="str">
        <f t="shared" si="62"/>
        <v>1w</v>
      </c>
      <c r="Y3432" s="168">
        <f>_xll.qlCalendarAdvance(LiborCalendar,Y3431,X3432,"f",FALSE)</f>
        <v>63228</v>
      </c>
      <c r="Z3432" s="171">
        <f>_xll.qlInterestRateIndexValueDate(IborIndex,Y3432,Trigger)</f>
        <v>63230</v>
      </c>
      <c r="AA3432" s="172" t="e">
        <v>#N/A</v>
      </c>
      <c r="AB3432" s="169" t="e">
        <v>#N/A</v>
      </c>
    </row>
    <row r="3433" spans="20:28" x14ac:dyDescent="0.2">
      <c r="T3433" s="130"/>
      <c r="U3433" s="151"/>
      <c r="X3433" s="170" t="str">
        <f t="shared" si="62"/>
        <v>1w</v>
      </c>
      <c r="Y3433" s="168">
        <f>_xll.qlCalendarAdvance(LiborCalendar,Y3432,X3433,"f",FALSE)</f>
        <v>63235</v>
      </c>
      <c r="Z3433" s="171">
        <f>_xll.qlInterestRateIndexValueDate(IborIndex,Y3433,Trigger)</f>
        <v>63237</v>
      </c>
      <c r="AA3433" s="172" t="e">
        <v>#N/A</v>
      </c>
      <c r="AB3433" s="169" t="e">
        <v>#N/A</v>
      </c>
    </row>
    <row r="3434" spans="20:28" x14ac:dyDescent="0.2">
      <c r="T3434" s="130"/>
      <c r="U3434" s="151"/>
      <c r="X3434" s="170" t="str">
        <f t="shared" si="62"/>
        <v>1w</v>
      </c>
      <c r="Y3434" s="168">
        <f>_xll.qlCalendarAdvance(LiborCalendar,Y3433,X3434,"f",FALSE)</f>
        <v>63242</v>
      </c>
      <c r="Z3434" s="171">
        <f>_xll.qlInterestRateIndexValueDate(IborIndex,Y3434,Trigger)</f>
        <v>63244</v>
      </c>
      <c r="AA3434" s="172" t="e">
        <v>#N/A</v>
      </c>
      <c r="AB3434" s="169" t="e">
        <v>#N/A</v>
      </c>
    </row>
    <row r="3435" spans="20:28" x14ac:dyDescent="0.2">
      <c r="T3435" s="130"/>
      <c r="U3435" s="151"/>
      <c r="X3435" s="170" t="str">
        <f t="shared" si="62"/>
        <v>1w</v>
      </c>
      <c r="Y3435" s="168">
        <f>_xll.qlCalendarAdvance(LiborCalendar,Y3434,X3435,"f",FALSE)</f>
        <v>63249</v>
      </c>
      <c r="Z3435" s="171">
        <f>_xll.qlInterestRateIndexValueDate(IborIndex,Y3435,Trigger)</f>
        <v>63251</v>
      </c>
      <c r="AA3435" s="172" t="e">
        <v>#N/A</v>
      </c>
      <c r="AB3435" s="169" t="e">
        <v>#N/A</v>
      </c>
    </row>
    <row r="3436" spans="20:28" x14ac:dyDescent="0.2">
      <c r="T3436" s="130"/>
      <c r="U3436" s="151"/>
      <c r="X3436" s="170" t="str">
        <f t="shared" si="62"/>
        <v>1w</v>
      </c>
      <c r="Y3436" s="168">
        <f>_xll.qlCalendarAdvance(LiborCalendar,Y3435,X3436,"f",FALSE)</f>
        <v>63256</v>
      </c>
      <c r="Z3436" s="171">
        <f>_xll.qlInterestRateIndexValueDate(IborIndex,Y3436,Trigger)</f>
        <v>63258</v>
      </c>
      <c r="AA3436" s="172" t="e">
        <v>#N/A</v>
      </c>
      <c r="AB3436" s="169" t="e">
        <v>#N/A</v>
      </c>
    </row>
    <row r="3437" spans="20:28" x14ac:dyDescent="0.2">
      <c r="T3437" s="130"/>
      <c r="U3437" s="151"/>
      <c r="X3437" s="170" t="str">
        <f t="shared" si="62"/>
        <v>1w</v>
      </c>
      <c r="Y3437" s="168">
        <f>_xll.qlCalendarAdvance(LiborCalendar,Y3436,X3437,"f",FALSE)</f>
        <v>63263</v>
      </c>
      <c r="Z3437" s="171">
        <f>_xll.qlInterestRateIndexValueDate(IborIndex,Y3437,Trigger)</f>
        <v>63265</v>
      </c>
      <c r="AA3437" s="172" t="e">
        <v>#N/A</v>
      </c>
      <c r="AB3437" s="169" t="e">
        <v>#N/A</v>
      </c>
    </row>
    <row r="3438" spans="20:28" x14ac:dyDescent="0.2">
      <c r="T3438" s="130"/>
      <c r="U3438" s="151"/>
      <c r="X3438" s="170" t="str">
        <f t="shared" si="62"/>
        <v>1w</v>
      </c>
      <c r="Y3438" s="168">
        <f>_xll.qlCalendarAdvance(LiborCalendar,Y3437,X3438,"f",FALSE)</f>
        <v>63270</v>
      </c>
      <c r="Z3438" s="171">
        <f>_xll.qlInterestRateIndexValueDate(IborIndex,Y3438,Trigger)</f>
        <v>63276</v>
      </c>
      <c r="AA3438" s="172" t="e">
        <v>#N/A</v>
      </c>
      <c r="AB3438" s="169" t="e">
        <v>#N/A</v>
      </c>
    </row>
    <row r="3439" spans="20:28" x14ac:dyDescent="0.2">
      <c r="T3439" s="130"/>
      <c r="U3439" s="151"/>
      <c r="X3439" s="170" t="str">
        <f t="shared" si="62"/>
        <v>1w</v>
      </c>
      <c r="Y3439" s="168">
        <f>_xll.qlCalendarAdvance(LiborCalendar,Y3438,X3439,"f",FALSE)</f>
        <v>63277</v>
      </c>
      <c r="Z3439" s="171">
        <f>_xll.qlInterestRateIndexValueDate(IborIndex,Y3439,Trigger)</f>
        <v>63279</v>
      </c>
      <c r="AA3439" s="172" t="e">
        <v>#N/A</v>
      </c>
      <c r="AB3439" s="169" t="e">
        <v>#N/A</v>
      </c>
    </row>
    <row r="3440" spans="20:28" x14ac:dyDescent="0.2">
      <c r="T3440" s="130"/>
      <c r="U3440" s="151"/>
      <c r="X3440" s="170" t="str">
        <f t="shared" si="62"/>
        <v>1w</v>
      </c>
      <c r="Y3440" s="168">
        <f>_xll.qlCalendarAdvance(LiborCalendar,Y3439,X3440,"f",FALSE)</f>
        <v>63284</v>
      </c>
      <c r="Z3440" s="171">
        <f>_xll.qlInterestRateIndexValueDate(IborIndex,Y3440,Trigger)</f>
        <v>63286</v>
      </c>
      <c r="AA3440" s="172" t="e">
        <v>#N/A</v>
      </c>
      <c r="AB3440" s="169" t="e">
        <v>#N/A</v>
      </c>
    </row>
    <row r="3441" spans="20:28" x14ac:dyDescent="0.2">
      <c r="T3441" s="130"/>
      <c r="U3441" s="151"/>
      <c r="X3441" s="170" t="str">
        <f t="shared" si="62"/>
        <v>1w</v>
      </c>
      <c r="Y3441" s="168">
        <f>_xll.qlCalendarAdvance(LiborCalendar,Y3440,X3441,"f",FALSE)</f>
        <v>63291</v>
      </c>
      <c r="Z3441" s="171">
        <f>_xll.qlInterestRateIndexValueDate(IborIndex,Y3441,Trigger)</f>
        <v>63293</v>
      </c>
      <c r="AA3441" s="172" t="e">
        <v>#N/A</v>
      </c>
      <c r="AB3441" s="169" t="e">
        <v>#N/A</v>
      </c>
    </row>
    <row r="3442" spans="20:28" x14ac:dyDescent="0.2">
      <c r="T3442" s="130"/>
      <c r="U3442" s="151"/>
      <c r="X3442" s="170" t="str">
        <f t="shared" si="62"/>
        <v>1w</v>
      </c>
      <c r="Y3442" s="168">
        <f>_xll.qlCalendarAdvance(LiborCalendar,Y3441,X3442,"f",FALSE)</f>
        <v>63298</v>
      </c>
      <c r="Z3442" s="171">
        <f>_xll.qlInterestRateIndexValueDate(IborIndex,Y3442,Trigger)</f>
        <v>63300</v>
      </c>
      <c r="AA3442" s="172" t="e">
        <v>#N/A</v>
      </c>
      <c r="AB3442" s="169" t="e">
        <v>#N/A</v>
      </c>
    </row>
    <row r="3443" spans="20:28" x14ac:dyDescent="0.2">
      <c r="T3443" s="130"/>
      <c r="U3443" s="151"/>
      <c r="X3443" s="170" t="str">
        <f t="shared" si="62"/>
        <v>1w</v>
      </c>
      <c r="Y3443" s="168">
        <f>_xll.qlCalendarAdvance(LiborCalendar,Y3442,X3443,"f",FALSE)</f>
        <v>63305</v>
      </c>
      <c r="Z3443" s="171">
        <f>_xll.qlInterestRateIndexValueDate(IborIndex,Y3443,Trigger)</f>
        <v>63307</v>
      </c>
      <c r="AA3443" s="172" t="e">
        <v>#N/A</v>
      </c>
      <c r="AB3443" s="169" t="e">
        <v>#N/A</v>
      </c>
    </row>
    <row r="3444" spans="20:28" x14ac:dyDescent="0.2">
      <c r="T3444" s="130"/>
      <c r="U3444" s="151"/>
      <c r="X3444" s="170" t="str">
        <f t="shared" si="62"/>
        <v>1w</v>
      </c>
      <c r="Y3444" s="168">
        <f>_xll.qlCalendarAdvance(LiborCalendar,Y3443,X3444,"f",FALSE)</f>
        <v>63312</v>
      </c>
      <c r="Z3444" s="171">
        <f>_xll.qlInterestRateIndexValueDate(IborIndex,Y3444,Trigger)</f>
        <v>63314</v>
      </c>
      <c r="AA3444" s="172" t="e">
        <v>#N/A</v>
      </c>
      <c r="AB3444" s="169" t="e">
        <v>#N/A</v>
      </c>
    </row>
    <row r="3445" spans="20:28" x14ac:dyDescent="0.2">
      <c r="T3445" s="130"/>
      <c r="U3445" s="151"/>
      <c r="X3445" s="170" t="str">
        <f t="shared" si="62"/>
        <v>1w</v>
      </c>
      <c r="Y3445" s="168">
        <f>_xll.qlCalendarAdvance(LiborCalendar,Y3444,X3445,"f",FALSE)</f>
        <v>63319</v>
      </c>
      <c r="Z3445" s="171">
        <f>_xll.qlInterestRateIndexValueDate(IborIndex,Y3445,Trigger)</f>
        <v>63321</v>
      </c>
      <c r="AA3445" s="172" t="e">
        <v>#N/A</v>
      </c>
      <c r="AB3445" s="169" t="e">
        <v>#N/A</v>
      </c>
    </row>
    <row r="3446" spans="20:28" x14ac:dyDescent="0.2">
      <c r="T3446" s="130"/>
      <c r="U3446" s="151"/>
      <c r="X3446" s="170" t="str">
        <f t="shared" si="62"/>
        <v>1w</v>
      </c>
      <c r="Y3446" s="168">
        <f>_xll.qlCalendarAdvance(LiborCalendar,Y3445,X3446,"f",FALSE)</f>
        <v>63326</v>
      </c>
      <c r="Z3446" s="171">
        <f>_xll.qlInterestRateIndexValueDate(IborIndex,Y3446,Trigger)</f>
        <v>63328</v>
      </c>
      <c r="AA3446" s="172" t="e">
        <v>#N/A</v>
      </c>
      <c r="AB3446" s="169" t="e">
        <v>#N/A</v>
      </c>
    </row>
    <row r="3447" spans="20:28" x14ac:dyDescent="0.2">
      <c r="T3447" s="130"/>
      <c r="U3447" s="151"/>
      <c r="X3447" s="170" t="str">
        <f t="shared" si="62"/>
        <v>1w</v>
      </c>
      <c r="Y3447" s="168">
        <f>_xll.qlCalendarAdvance(LiborCalendar,Y3446,X3447,"f",FALSE)</f>
        <v>63333</v>
      </c>
      <c r="Z3447" s="171">
        <f>_xll.qlInterestRateIndexValueDate(IborIndex,Y3447,Trigger)</f>
        <v>63335</v>
      </c>
      <c r="AA3447" s="172" t="e">
        <v>#N/A</v>
      </c>
      <c r="AB3447" s="169" t="e">
        <v>#N/A</v>
      </c>
    </row>
    <row r="3448" spans="20:28" x14ac:dyDescent="0.2">
      <c r="T3448" s="130"/>
      <c r="U3448" s="151"/>
      <c r="X3448" s="170" t="str">
        <f t="shared" si="62"/>
        <v>1w</v>
      </c>
      <c r="Y3448" s="168">
        <f>_xll.qlCalendarAdvance(LiborCalendar,Y3447,X3448,"f",FALSE)</f>
        <v>63340</v>
      </c>
      <c r="Z3448" s="171">
        <f>_xll.qlInterestRateIndexValueDate(IborIndex,Y3448,Trigger)</f>
        <v>63342</v>
      </c>
      <c r="AA3448" s="172" t="e">
        <v>#N/A</v>
      </c>
      <c r="AB3448" s="169" t="e">
        <v>#N/A</v>
      </c>
    </row>
    <row r="3449" spans="20:28" x14ac:dyDescent="0.2">
      <c r="T3449" s="130"/>
      <c r="U3449" s="151"/>
      <c r="X3449" s="170" t="str">
        <f t="shared" si="62"/>
        <v>1w</v>
      </c>
      <c r="Y3449" s="168">
        <f>_xll.qlCalendarAdvance(LiborCalendar,Y3448,X3449,"f",FALSE)</f>
        <v>63347</v>
      </c>
      <c r="Z3449" s="171">
        <f>_xll.qlInterestRateIndexValueDate(IborIndex,Y3449,Trigger)</f>
        <v>63349</v>
      </c>
      <c r="AA3449" s="172" t="e">
        <v>#N/A</v>
      </c>
      <c r="AB3449" s="169" t="e">
        <v>#N/A</v>
      </c>
    </row>
    <row r="3450" spans="20:28" x14ac:dyDescent="0.2">
      <c r="T3450" s="130"/>
      <c r="U3450" s="151"/>
      <c r="X3450" s="170" t="str">
        <f t="shared" si="62"/>
        <v>1w</v>
      </c>
      <c r="Y3450" s="168">
        <f>_xll.qlCalendarAdvance(LiborCalendar,Y3449,X3450,"f",FALSE)</f>
        <v>63354</v>
      </c>
      <c r="Z3450" s="171">
        <f>_xll.qlInterestRateIndexValueDate(IborIndex,Y3450,Trigger)</f>
        <v>63356</v>
      </c>
      <c r="AA3450" s="172" t="e">
        <v>#N/A</v>
      </c>
      <c r="AB3450" s="169" t="e">
        <v>#N/A</v>
      </c>
    </row>
    <row r="3451" spans="20:28" x14ac:dyDescent="0.2">
      <c r="T3451" s="130"/>
      <c r="U3451" s="151"/>
      <c r="X3451" s="170" t="str">
        <f t="shared" si="62"/>
        <v>1w</v>
      </c>
      <c r="Y3451" s="168">
        <f>_xll.qlCalendarAdvance(LiborCalendar,Y3450,X3451,"f",FALSE)</f>
        <v>63361</v>
      </c>
      <c r="Z3451" s="171">
        <f>_xll.qlInterestRateIndexValueDate(IborIndex,Y3451,Trigger)</f>
        <v>63363</v>
      </c>
      <c r="AA3451" s="172" t="e">
        <v>#N/A</v>
      </c>
      <c r="AB3451" s="169" t="e">
        <v>#N/A</v>
      </c>
    </row>
    <row r="3452" spans="20:28" x14ac:dyDescent="0.2">
      <c r="T3452" s="130"/>
      <c r="U3452" s="151"/>
      <c r="X3452" s="170" t="str">
        <f t="shared" si="62"/>
        <v>1w</v>
      </c>
      <c r="Y3452" s="168">
        <f>_xll.qlCalendarAdvance(LiborCalendar,Y3451,X3452,"f",FALSE)</f>
        <v>63368</v>
      </c>
      <c r="Z3452" s="171">
        <f>_xll.qlInterestRateIndexValueDate(IborIndex,Y3452,Trigger)</f>
        <v>63370</v>
      </c>
      <c r="AA3452" s="172" t="e">
        <v>#N/A</v>
      </c>
      <c r="AB3452" s="169" t="e">
        <v>#N/A</v>
      </c>
    </row>
    <row r="3453" spans="20:28" x14ac:dyDescent="0.2">
      <c r="T3453" s="130"/>
      <c r="U3453" s="151"/>
      <c r="X3453" s="170" t="str">
        <f t="shared" si="62"/>
        <v>1w</v>
      </c>
      <c r="Y3453" s="168">
        <f>_xll.qlCalendarAdvance(LiborCalendar,Y3452,X3453,"f",FALSE)</f>
        <v>63375</v>
      </c>
      <c r="Z3453" s="171">
        <f>_xll.qlInterestRateIndexValueDate(IborIndex,Y3453,Trigger)</f>
        <v>63377</v>
      </c>
      <c r="AA3453" s="172" t="e">
        <v>#N/A</v>
      </c>
      <c r="AB3453" s="169" t="e">
        <v>#N/A</v>
      </c>
    </row>
    <row r="3454" spans="20:28" x14ac:dyDescent="0.2">
      <c r="T3454" s="130"/>
      <c r="U3454" s="151"/>
      <c r="X3454" s="170" t="str">
        <f t="shared" si="62"/>
        <v>1w</v>
      </c>
      <c r="Y3454" s="168">
        <f>_xll.qlCalendarAdvance(LiborCalendar,Y3453,X3454,"f",FALSE)</f>
        <v>63382</v>
      </c>
      <c r="Z3454" s="171">
        <f>_xll.qlInterestRateIndexValueDate(IborIndex,Y3454,Trigger)</f>
        <v>63384</v>
      </c>
      <c r="AA3454" s="172" t="e">
        <v>#N/A</v>
      </c>
      <c r="AB3454" s="169" t="e">
        <v>#N/A</v>
      </c>
    </row>
    <row r="3455" spans="20:28" x14ac:dyDescent="0.2">
      <c r="T3455" s="130"/>
      <c r="U3455" s="151"/>
      <c r="X3455" s="170" t="str">
        <f t="shared" si="62"/>
        <v>1w</v>
      </c>
      <c r="Y3455" s="168">
        <f>_xll.qlCalendarAdvance(LiborCalendar,Y3454,X3455,"f",FALSE)</f>
        <v>63389</v>
      </c>
      <c r="Z3455" s="171">
        <f>_xll.qlInterestRateIndexValueDate(IborIndex,Y3455,Trigger)</f>
        <v>63391</v>
      </c>
      <c r="AA3455" s="172" t="e">
        <v>#N/A</v>
      </c>
      <c r="AB3455" s="169" t="e">
        <v>#N/A</v>
      </c>
    </row>
    <row r="3456" spans="20:28" x14ac:dyDescent="0.2">
      <c r="T3456" s="130"/>
      <c r="U3456" s="151"/>
      <c r="X3456" s="170" t="str">
        <f t="shared" si="62"/>
        <v>1w</v>
      </c>
      <c r="Y3456" s="168">
        <f>_xll.qlCalendarAdvance(LiborCalendar,Y3455,X3456,"f",FALSE)</f>
        <v>63396</v>
      </c>
      <c r="Z3456" s="171">
        <f>_xll.qlInterestRateIndexValueDate(IborIndex,Y3456,Trigger)</f>
        <v>63398</v>
      </c>
      <c r="AA3456" s="172" t="e">
        <v>#N/A</v>
      </c>
      <c r="AB3456" s="169" t="e">
        <v>#N/A</v>
      </c>
    </row>
    <row r="3457" spans="20:28" x14ac:dyDescent="0.2">
      <c r="T3457" s="130"/>
      <c r="U3457" s="151"/>
      <c r="X3457" s="170" t="str">
        <f t="shared" si="62"/>
        <v>1w</v>
      </c>
      <c r="Y3457" s="168">
        <f>_xll.qlCalendarAdvance(LiborCalendar,Y3456,X3457,"f",FALSE)</f>
        <v>63403</v>
      </c>
      <c r="Z3457" s="171">
        <f>_xll.qlInterestRateIndexValueDate(IborIndex,Y3457,Trigger)</f>
        <v>63405</v>
      </c>
      <c r="AA3457" s="172" t="e">
        <v>#N/A</v>
      </c>
      <c r="AB3457" s="169" t="e">
        <v>#N/A</v>
      </c>
    </row>
    <row r="3458" spans="20:28" x14ac:dyDescent="0.2">
      <c r="T3458" s="130"/>
      <c r="U3458" s="151"/>
      <c r="X3458" s="170" t="str">
        <f t="shared" si="62"/>
        <v>1w</v>
      </c>
      <c r="Y3458" s="168">
        <f>_xll.qlCalendarAdvance(LiborCalendar,Y3457,X3458,"f",FALSE)</f>
        <v>63410</v>
      </c>
      <c r="Z3458" s="171">
        <f>_xll.qlInterestRateIndexValueDate(IborIndex,Y3458,Trigger)</f>
        <v>63412</v>
      </c>
      <c r="AA3458" s="172" t="e">
        <v>#N/A</v>
      </c>
      <c r="AB3458" s="169" t="e">
        <v>#N/A</v>
      </c>
    </row>
    <row r="3459" spans="20:28" x14ac:dyDescent="0.2">
      <c r="T3459" s="130"/>
      <c r="U3459" s="151"/>
      <c r="X3459" s="170" t="str">
        <f t="shared" si="62"/>
        <v>1w</v>
      </c>
      <c r="Y3459" s="168">
        <f>_xll.qlCalendarAdvance(LiborCalendar,Y3458,X3459,"f",FALSE)</f>
        <v>63417</v>
      </c>
      <c r="Z3459" s="171">
        <f>_xll.qlInterestRateIndexValueDate(IborIndex,Y3459,Trigger)</f>
        <v>63419</v>
      </c>
      <c r="AA3459" s="172" t="e">
        <v>#N/A</v>
      </c>
      <c r="AB3459" s="169" t="e">
        <v>#N/A</v>
      </c>
    </row>
    <row r="3460" spans="20:28" x14ac:dyDescent="0.2">
      <c r="T3460" s="130"/>
      <c r="U3460" s="151"/>
      <c r="X3460" s="170" t="str">
        <f t="shared" si="62"/>
        <v>1w</v>
      </c>
      <c r="Y3460" s="168">
        <f>_xll.qlCalendarAdvance(LiborCalendar,Y3459,X3460,"f",FALSE)</f>
        <v>63424</v>
      </c>
      <c r="Z3460" s="171">
        <f>_xll.qlInterestRateIndexValueDate(IborIndex,Y3460,Trigger)</f>
        <v>63426</v>
      </c>
      <c r="AA3460" s="172" t="e">
        <v>#N/A</v>
      </c>
      <c r="AB3460" s="169" t="e">
        <v>#N/A</v>
      </c>
    </row>
    <row r="3461" spans="20:28" x14ac:dyDescent="0.2">
      <c r="T3461" s="130"/>
      <c r="U3461" s="151"/>
      <c r="X3461" s="170" t="str">
        <f t="shared" si="62"/>
        <v>1w</v>
      </c>
      <c r="Y3461" s="168">
        <f>_xll.qlCalendarAdvance(LiborCalendar,Y3460,X3461,"f",FALSE)</f>
        <v>63431</v>
      </c>
      <c r="Z3461" s="171">
        <f>_xll.qlInterestRateIndexValueDate(IborIndex,Y3461,Trigger)</f>
        <v>63433</v>
      </c>
      <c r="AA3461" s="172" t="e">
        <v>#N/A</v>
      </c>
      <c r="AB3461" s="169" t="e">
        <v>#N/A</v>
      </c>
    </row>
    <row r="3462" spans="20:28" x14ac:dyDescent="0.2">
      <c r="T3462" s="130"/>
      <c r="U3462" s="151"/>
      <c r="X3462" s="170" t="str">
        <f t="shared" si="62"/>
        <v>1w</v>
      </c>
      <c r="Y3462" s="168">
        <f>_xll.qlCalendarAdvance(LiborCalendar,Y3461,X3462,"f",FALSE)</f>
        <v>63438</v>
      </c>
      <c r="Z3462" s="171">
        <f>_xll.qlInterestRateIndexValueDate(IborIndex,Y3462,Trigger)</f>
        <v>63440</v>
      </c>
      <c r="AA3462" s="172" t="e">
        <v>#N/A</v>
      </c>
      <c r="AB3462" s="169" t="e">
        <v>#N/A</v>
      </c>
    </row>
    <row r="3463" spans="20:28" x14ac:dyDescent="0.2">
      <c r="T3463" s="130"/>
      <c r="U3463" s="151"/>
      <c r="X3463" s="170" t="str">
        <f t="shared" si="62"/>
        <v>1w</v>
      </c>
      <c r="Y3463" s="168">
        <f>_xll.qlCalendarAdvance(LiborCalendar,Y3462,X3463,"f",FALSE)</f>
        <v>63445</v>
      </c>
      <c r="Z3463" s="171">
        <f>_xll.qlInterestRateIndexValueDate(IborIndex,Y3463,Trigger)</f>
        <v>63447</v>
      </c>
      <c r="AA3463" s="172" t="e">
        <v>#N/A</v>
      </c>
      <c r="AB3463" s="169" t="e">
        <v>#N/A</v>
      </c>
    </row>
    <row r="3464" spans="20:28" x14ac:dyDescent="0.2">
      <c r="T3464" s="130"/>
      <c r="U3464" s="151"/>
      <c r="X3464" s="170" t="str">
        <f t="shared" si="62"/>
        <v>1w</v>
      </c>
      <c r="Y3464" s="168">
        <f>_xll.qlCalendarAdvance(LiborCalendar,Y3463,X3464,"f",FALSE)</f>
        <v>63452</v>
      </c>
      <c r="Z3464" s="171">
        <f>_xll.qlInterestRateIndexValueDate(IborIndex,Y3464,Trigger)</f>
        <v>63454</v>
      </c>
      <c r="AA3464" s="172" t="e">
        <v>#N/A</v>
      </c>
      <c r="AB3464" s="169" t="e">
        <v>#N/A</v>
      </c>
    </row>
    <row r="3465" spans="20:28" x14ac:dyDescent="0.2">
      <c r="T3465" s="130"/>
      <c r="U3465" s="151"/>
      <c r="X3465" s="170" t="str">
        <f t="shared" si="62"/>
        <v>1w</v>
      </c>
      <c r="Y3465" s="168">
        <f>_xll.qlCalendarAdvance(LiborCalendar,Y3464,X3465,"f",FALSE)</f>
        <v>63459</v>
      </c>
      <c r="Z3465" s="171">
        <f>_xll.qlInterestRateIndexValueDate(IborIndex,Y3465,Trigger)</f>
        <v>63461</v>
      </c>
      <c r="AA3465" s="172" t="e">
        <v>#N/A</v>
      </c>
      <c r="AB3465" s="169" t="e">
        <v>#N/A</v>
      </c>
    </row>
    <row r="3466" spans="20:28" x14ac:dyDescent="0.2">
      <c r="T3466" s="130"/>
      <c r="U3466" s="151"/>
      <c r="X3466" s="170" t="str">
        <f t="shared" si="62"/>
        <v>1w</v>
      </c>
      <c r="Y3466" s="168">
        <f>_xll.qlCalendarAdvance(LiborCalendar,Y3465,X3466,"f",FALSE)</f>
        <v>63466</v>
      </c>
      <c r="Z3466" s="171">
        <f>_xll.qlInterestRateIndexValueDate(IborIndex,Y3466,Trigger)</f>
        <v>63468</v>
      </c>
      <c r="AA3466" s="172" t="e">
        <v>#N/A</v>
      </c>
      <c r="AB3466" s="169" t="e">
        <v>#N/A</v>
      </c>
    </row>
    <row r="3467" spans="20:28" x14ac:dyDescent="0.2">
      <c r="T3467" s="130"/>
      <c r="U3467" s="151"/>
      <c r="X3467" s="170" t="str">
        <f t="shared" si="62"/>
        <v>1w</v>
      </c>
      <c r="Y3467" s="168">
        <f>_xll.qlCalendarAdvance(LiborCalendar,Y3466,X3467,"f",FALSE)</f>
        <v>63473</v>
      </c>
      <c r="Z3467" s="171">
        <f>_xll.qlInterestRateIndexValueDate(IborIndex,Y3467,Trigger)</f>
        <v>63475</v>
      </c>
      <c r="AA3467" s="172" t="e">
        <v>#N/A</v>
      </c>
      <c r="AB3467" s="169" t="e">
        <v>#N/A</v>
      </c>
    </row>
    <row r="3468" spans="20:28" x14ac:dyDescent="0.2">
      <c r="T3468" s="130"/>
      <c r="U3468" s="151"/>
      <c r="X3468" s="170" t="str">
        <f t="shared" si="62"/>
        <v>1w</v>
      </c>
      <c r="Y3468" s="168">
        <f>_xll.qlCalendarAdvance(LiborCalendar,Y3467,X3468,"f",FALSE)</f>
        <v>63480</v>
      </c>
      <c r="Z3468" s="171">
        <f>_xll.qlInterestRateIndexValueDate(IborIndex,Y3468,Trigger)</f>
        <v>63482</v>
      </c>
      <c r="AA3468" s="172" t="e">
        <v>#N/A</v>
      </c>
      <c r="AB3468" s="169" t="e">
        <v>#N/A</v>
      </c>
    </row>
    <row r="3469" spans="20:28" x14ac:dyDescent="0.2">
      <c r="T3469" s="130"/>
      <c r="U3469" s="151"/>
      <c r="X3469" s="170" t="str">
        <f t="shared" si="62"/>
        <v>1w</v>
      </c>
      <c r="Y3469" s="168">
        <f>_xll.qlCalendarAdvance(LiborCalendar,Y3468,X3469,"f",FALSE)</f>
        <v>63487</v>
      </c>
      <c r="Z3469" s="171">
        <f>_xll.qlInterestRateIndexValueDate(IborIndex,Y3469,Trigger)</f>
        <v>63489</v>
      </c>
      <c r="AA3469" s="172" t="e">
        <v>#N/A</v>
      </c>
      <c r="AB3469" s="169" t="e">
        <v>#N/A</v>
      </c>
    </row>
    <row r="3470" spans="20:28" x14ac:dyDescent="0.2">
      <c r="T3470" s="130"/>
      <c r="U3470" s="151"/>
      <c r="X3470" s="170" t="str">
        <f t="shared" si="62"/>
        <v>1w</v>
      </c>
      <c r="Y3470" s="168">
        <f>_xll.qlCalendarAdvance(LiborCalendar,Y3469,X3470,"f",FALSE)</f>
        <v>63494</v>
      </c>
      <c r="Z3470" s="171">
        <f>_xll.qlInterestRateIndexValueDate(IborIndex,Y3470,Trigger)</f>
        <v>63496</v>
      </c>
      <c r="AA3470" s="172" t="e">
        <v>#N/A</v>
      </c>
      <c r="AB3470" s="169" t="e">
        <v>#N/A</v>
      </c>
    </row>
    <row r="3471" spans="20:28" x14ac:dyDescent="0.2">
      <c r="T3471" s="130"/>
      <c r="U3471" s="151"/>
      <c r="X3471" s="170" t="str">
        <f t="shared" si="62"/>
        <v>1w</v>
      </c>
      <c r="Y3471" s="168">
        <f>_xll.qlCalendarAdvance(LiborCalendar,Y3470,X3471,"f",FALSE)</f>
        <v>63501</v>
      </c>
      <c r="Z3471" s="171">
        <f>_xll.qlInterestRateIndexValueDate(IborIndex,Y3471,Trigger)</f>
        <v>63503</v>
      </c>
      <c r="AA3471" s="172" t="e">
        <v>#N/A</v>
      </c>
      <c r="AB3471" s="169" t="e">
        <v>#N/A</v>
      </c>
    </row>
    <row r="3472" spans="20:28" x14ac:dyDescent="0.2">
      <c r="T3472" s="130"/>
      <c r="U3472" s="151"/>
      <c r="X3472" s="170" t="str">
        <f t="shared" si="62"/>
        <v>1w</v>
      </c>
      <c r="Y3472" s="168">
        <f>_xll.qlCalendarAdvance(LiborCalendar,Y3471,X3472,"f",FALSE)</f>
        <v>63508</v>
      </c>
      <c r="Z3472" s="171">
        <f>_xll.qlInterestRateIndexValueDate(IborIndex,Y3472,Trigger)</f>
        <v>63510</v>
      </c>
      <c r="AA3472" s="172" t="e">
        <v>#N/A</v>
      </c>
      <c r="AB3472" s="169" t="e">
        <v>#N/A</v>
      </c>
    </row>
    <row r="3473" spans="20:28" x14ac:dyDescent="0.2">
      <c r="T3473" s="130"/>
      <c r="U3473" s="151"/>
      <c r="X3473" s="170" t="str">
        <f t="shared" si="62"/>
        <v>1w</v>
      </c>
      <c r="Y3473" s="168">
        <f>_xll.qlCalendarAdvance(LiborCalendar,Y3472,X3473,"f",FALSE)</f>
        <v>63515</v>
      </c>
      <c r="Z3473" s="171">
        <f>_xll.qlInterestRateIndexValueDate(IborIndex,Y3473,Trigger)</f>
        <v>63517</v>
      </c>
      <c r="AA3473" s="172" t="e">
        <v>#N/A</v>
      </c>
      <c r="AB3473" s="169" t="e">
        <v>#N/A</v>
      </c>
    </row>
    <row r="3474" spans="20:28" x14ac:dyDescent="0.2">
      <c r="T3474" s="130"/>
      <c r="U3474" s="151"/>
      <c r="X3474" s="170" t="str">
        <f t="shared" si="62"/>
        <v>1w</v>
      </c>
      <c r="Y3474" s="168">
        <f>_xll.qlCalendarAdvance(LiborCalendar,Y3473,X3474,"f",FALSE)</f>
        <v>63522</v>
      </c>
      <c r="Z3474" s="171">
        <f>_xll.qlInterestRateIndexValueDate(IborIndex,Y3474,Trigger)</f>
        <v>63524</v>
      </c>
      <c r="AA3474" s="172" t="e">
        <v>#N/A</v>
      </c>
      <c r="AB3474" s="169" t="e">
        <v>#N/A</v>
      </c>
    </row>
    <row r="3475" spans="20:28" x14ac:dyDescent="0.2">
      <c r="T3475" s="130"/>
      <c r="U3475" s="151"/>
      <c r="X3475" s="170" t="str">
        <f t="shared" si="62"/>
        <v>1w</v>
      </c>
      <c r="Y3475" s="168">
        <f>_xll.qlCalendarAdvance(LiborCalendar,Y3474,X3475,"f",FALSE)</f>
        <v>63529</v>
      </c>
      <c r="Z3475" s="171">
        <f>_xll.qlInterestRateIndexValueDate(IborIndex,Y3475,Trigger)</f>
        <v>63531</v>
      </c>
      <c r="AA3475" s="172" t="e">
        <v>#N/A</v>
      </c>
      <c r="AB3475" s="169" t="e">
        <v>#N/A</v>
      </c>
    </row>
    <row r="3476" spans="20:28" x14ac:dyDescent="0.2">
      <c r="T3476" s="130"/>
      <c r="U3476" s="151"/>
      <c r="X3476" s="170" t="str">
        <f t="shared" si="62"/>
        <v>1w</v>
      </c>
      <c r="Y3476" s="168">
        <f>_xll.qlCalendarAdvance(LiborCalendar,Y3475,X3476,"f",FALSE)</f>
        <v>63536</v>
      </c>
      <c r="Z3476" s="171">
        <f>_xll.qlInterestRateIndexValueDate(IborIndex,Y3476,Trigger)</f>
        <v>63538</v>
      </c>
      <c r="AA3476" s="172" t="e">
        <v>#N/A</v>
      </c>
      <c r="AB3476" s="169" t="e">
        <v>#N/A</v>
      </c>
    </row>
    <row r="3477" spans="20:28" x14ac:dyDescent="0.2">
      <c r="T3477" s="130"/>
      <c r="U3477" s="151"/>
      <c r="X3477" s="170" t="str">
        <f t="shared" ref="X3477:X3540" si="63">X3476</f>
        <v>1w</v>
      </c>
      <c r="Y3477" s="168">
        <f>_xll.qlCalendarAdvance(LiborCalendar,Y3476,X3477,"f",FALSE)</f>
        <v>63543</v>
      </c>
      <c r="Z3477" s="171">
        <f>_xll.qlInterestRateIndexValueDate(IborIndex,Y3477,Trigger)</f>
        <v>63545</v>
      </c>
      <c r="AA3477" s="172" t="e">
        <v>#N/A</v>
      </c>
      <c r="AB3477" s="169" t="e">
        <v>#N/A</v>
      </c>
    </row>
    <row r="3478" spans="20:28" x14ac:dyDescent="0.2">
      <c r="T3478" s="130"/>
      <c r="U3478" s="151"/>
      <c r="X3478" s="170" t="str">
        <f t="shared" si="63"/>
        <v>1w</v>
      </c>
      <c r="Y3478" s="168">
        <f>_xll.qlCalendarAdvance(LiborCalendar,Y3477,X3478,"f",FALSE)</f>
        <v>63550</v>
      </c>
      <c r="Z3478" s="171">
        <f>_xll.qlInterestRateIndexValueDate(IborIndex,Y3478,Trigger)</f>
        <v>63552</v>
      </c>
      <c r="AA3478" s="172" t="e">
        <v>#N/A</v>
      </c>
      <c r="AB3478" s="169" t="e">
        <v>#N/A</v>
      </c>
    </row>
    <row r="3479" spans="20:28" x14ac:dyDescent="0.2">
      <c r="T3479" s="130"/>
      <c r="U3479" s="151"/>
      <c r="X3479" s="170" t="str">
        <f t="shared" si="63"/>
        <v>1w</v>
      </c>
      <c r="Y3479" s="168">
        <f>_xll.qlCalendarAdvance(LiborCalendar,Y3478,X3479,"f",FALSE)</f>
        <v>63557</v>
      </c>
      <c r="Z3479" s="171">
        <f>_xll.qlInterestRateIndexValueDate(IborIndex,Y3479,Trigger)</f>
        <v>63559</v>
      </c>
      <c r="AA3479" s="172" t="e">
        <v>#N/A</v>
      </c>
      <c r="AB3479" s="169" t="e">
        <v>#N/A</v>
      </c>
    </row>
    <row r="3480" spans="20:28" x14ac:dyDescent="0.2">
      <c r="T3480" s="130"/>
      <c r="U3480" s="151"/>
      <c r="X3480" s="170" t="str">
        <f t="shared" si="63"/>
        <v>1w</v>
      </c>
      <c r="Y3480" s="168">
        <f>_xll.qlCalendarAdvance(LiborCalendar,Y3479,X3480,"f",FALSE)</f>
        <v>63564</v>
      </c>
      <c r="Z3480" s="171">
        <f>_xll.qlInterestRateIndexValueDate(IborIndex,Y3480,Trigger)</f>
        <v>63566</v>
      </c>
      <c r="AA3480" s="172" t="e">
        <v>#N/A</v>
      </c>
      <c r="AB3480" s="169" t="e">
        <v>#N/A</v>
      </c>
    </row>
    <row r="3481" spans="20:28" x14ac:dyDescent="0.2">
      <c r="T3481" s="130"/>
      <c r="U3481" s="151"/>
      <c r="X3481" s="170" t="str">
        <f t="shared" si="63"/>
        <v>1w</v>
      </c>
      <c r="Y3481" s="168">
        <f>_xll.qlCalendarAdvance(LiborCalendar,Y3480,X3481,"f",FALSE)</f>
        <v>63571</v>
      </c>
      <c r="Z3481" s="171">
        <f>_xll.qlInterestRateIndexValueDate(IborIndex,Y3481,Trigger)</f>
        <v>63573</v>
      </c>
      <c r="AA3481" s="172" t="e">
        <v>#N/A</v>
      </c>
      <c r="AB3481" s="169" t="e">
        <v>#N/A</v>
      </c>
    </row>
    <row r="3482" spans="20:28" x14ac:dyDescent="0.2">
      <c r="T3482" s="130"/>
      <c r="U3482" s="151"/>
      <c r="X3482" s="170" t="str">
        <f t="shared" si="63"/>
        <v>1w</v>
      </c>
      <c r="Y3482" s="168">
        <f>_xll.qlCalendarAdvance(LiborCalendar,Y3481,X3482,"f",FALSE)</f>
        <v>63578</v>
      </c>
      <c r="Z3482" s="171">
        <f>_xll.qlInterestRateIndexValueDate(IborIndex,Y3482,Trigger)</f>
        <v>63580</v>
      </c>
      <c r="AA3482" s="172" t="e">
        <v>#N/A</v>
      </c>
      <c r="AB3482" s="169" t="e">
        <v>#N/A</v>
      </c>
    </row>
    <row r="3483" spans="20:28" x14ac:dyDescent="0.2">
      <c r="T3483" s="130"/>
      <c r="U3483" s="151"/>
      <c r="X3483" s="170" t="str">
        <f t="shared" si="63"/>
        <v>1w</v>
      </c>
      <c r="Y3483" s="168">
        <f>_xll.qlCalendarAdvance(LiborCalendar,Y3482,X3483,"f",FALSE)</f>
        <v>63585</v>
      </c>
      <c r="Z3483" s="171">
        <f>_xll.qlInterestRateIndexValueDate(IborIndex,Y3483,Trigger)</f>
        <v>63587</v>
      </c>
      <c r="AA3483" s="172" t="e">
        <v>#N/A</v>
      </c>
      <c r="AB3483" s="169" t="e">
        <v>#N/A</v>
      </c>
    </row>
    <row r="3484" spans="20:28" x14ac:dyDescent="0.2">
      <c r="T3484" s="130"/>
      <c r="U3484" s="151"/>
      <c r="X3484" s="170" t="str">
        <f t="shared" si="63"/>
        <v>1w</v>
      </c>
      <c r="Y3484" s="168">
        <f>_xll.qlCalendarAdvance(LiborCalendar,Y3483,X3484,"f",FALSE)</f>
        <v>63592</v>
      </c>
      <c r="Z3484" s="171">
        <f>_xll.qlInterestRateIndexValueDate(IborIndex,Y3484,Trigger)</f>
        <v>63594</v>
      </c>
      <c r="AA3484" s="172" t="e">
        <v>#N/A</v>
      </c>
      <c r="AB3484" s="169" t="e">
        <v>#N/A</v>
      </c>
    </row>
    <row r="3485" spans="20:28" x14ac:dyDescent="0.2">
      <c r="T3485" s="130"/>
      <c r="U3485" s="151"/>
      <c r="X3485" s="170" t="str">
        <f t="shared" si="63"/>
        <v>1w</v>
      </c>
      <c r="Y3485" s="168">
        <f>_xll.qlCalendarAdvance(LiborCalendar,Y3484,X3485,"f",FALSE)</f>
        <v>63599</v>
      </c>
      <c r="Z3485" s="171">
        <f>_xll.qlInterestRateIndexValueDate(IborIndex,Y3485,Trigger)</f>
        <v>63601</v>
      </c>
      <c r="AA3485" s="172" t="e">
        <v>#N/A</v>
      </c>
      <c r="AB3485" s="169" t="e">
        <v>#N/A</v>
      </c>
    </row>
    <row r="3486" spans="20:28" x14ac:dyDescent="0.2">
      <c r="T3486" s="130"/>
      <c r="U3486" s="151"/>
      <c r="X3486" s="170" t="str">
        <f t="shared" si="63"/>
        <v>1w</v>
      </c>
      <c r="Y3486" s="168">
        <f>_xll.qlCalendarAdvance(LiborCalendar,Y3485,X3486,"f",FALSE)</f>
        <v>63606</v>
      </c>
      <c r="Z3486" s="171">
        <f>_xll.qlInterestRateIndexValueDate(IborIndex,Y3486,Trigger)</f>
        <v>63608</v>
      </c>
      <c r="AA3486" s="172" t="e">
        <v>#N/A</v>
      </c>
      <c r="AB3486" s="169" t="e">
        <v>#N/A</v>
      </c>
    </row>
    <row r="3487" spans="20:28" x14ac:dyDescent="0.2">
      <c r="T3487" s="130"/>
      <c r="U3487" s="151"/>
      <c r="X3487" s="170" t="str">
        <f t="shared" si="63"/>
        <v>1w</v>
      </c>
      <c r="Y3487" s="168">
        <f>_xll.qlCalendarAdvance(LiborCalendar,Y3486,X3487,"f",FALSE)</f>
        <v>63613</v>
      </c>
      <c r="Z3487" s="171">
        <f>_xll.qlInterestRateIndexValueDate(IborIndex,Y3487,Trigger)</f>
        <v>63615</v>
      </c>
      <c r="AA3487" s="172" t="e">
        <v>#N/A</v>
      </c>
      <c r="AB3487" s="169" t="e">
        <v>#N/A</v>
      </c>
    </row>
    <row r="3488" spans="20:28" x14ac:dyDescent="0.2">
      <c r="T3488" s="130"/>
      <c r="U3488" s="151"/>
      <c r="X3488" s="170" t="str">
        <f t="shared" si="63"/>
        <v>1w</v>
      </c>
      <c r="Y3488" s="168">
        <f>_xll.qlCalendarAdvance(LiborCalendar,Y3487,X3488,"f",FALSE)</f>
        <v>63620</v>
      </c>
      <c r="Z3488" s="171">
        <f>_xll.qlInterestRateIndexValueDate(IborIndex,Y3488,Trigger)</f>
        <v>63622</v>
      </c>
      <c r="AA3488" s="172" t="e">
        <v>#N/A</v>
      </c>
      <c r="AB3488" s="169" t="e">
        <v>#N/A</v>
      </c>
    </row>
    <row r="3489" spans="20:28" x14ac:dyDescent="0.2">
      <c r="T3489" s="130"/>
      <c r="U3489" s="151"/>
      <c r="X3489" s="170" t="str">
        <f t="shared" si="63"/>
        <v>1w</v>
      </c>
      <c r="Y3489" s="168">
        <f>_xll.qlCalendarAdvance(LiborCalendar,Y3488,X3489,"f",FALSE)</f>
        <v>63627</v>
      </c>
      <c r="Z3489" s="171">
        <f>_xll.qlInterestRateIndexValueDate(IborIndex,Y3489,Trigger)</f>
        <v>63629</v>
      </c>
      <c r="AA3489" s="172" t="e">
        <v>#N/A</v>
      </c>
      <c r="AB3489" s="169" t="e">
        <v>#N/A</v>
      </c>
    </row>
    <row r="3490" spans="20:28" x14ac:dyDescent="0.2">
      <c r="T3490" s="130"/>
      <c r="U3490" s="151"/>
      <c r="X3490" s="170" t="str">
        <f t="shared" si="63"/>
        <v>1w</v>
      </c>
      <c r="Y3490" s="168">
        <f>_xll.qlCalendarAdvance(LiborCalendar,Y3489,X3490,"f",FALSE)</f>
        <v>63634</v>
      </c>
      <c r="Z3490" s="171">
        <f>_xll.qlInterestRateIndexValueDate(IborIndex,Y3490,Trigger)</f>
        <v>63636</v>
      </c>
      <c r="AA3490" s="172" t="e">
        <v>#N/A</v>
      </c>
      <c r="AB3490" s="169" t="e">
        <v>#N/A</v>
      </c>
    </row>
    <row r="3491" spans="20:28" x14ac:dyDescent="0.2">
      <c r="T3491" s="130"/>
      <c r="U3491" s="151"/>
      <c r="X3491" s="170" t="str">
        <f t="shared" si="63"/>
        <v>1w</v>
      </c>
      <c r="Y3491" s="168">
        <f>_xll.qlCalendarAdvance(LiborCalendar,Y3490,X3491,"f",FALSE)</f>
        <v>63641</v>
      </c>
      <c r="Z3491" s="171">
        <f>_xll.qlInterestRateIndexValueDate(IborIndex,Y3491,Trigger)</f>
        <v>63643</v>
      </c>
      <c r="AA3491" s="172" t="e">
        <v>#N/A</v>
      </c>
      <c r="AB3491" s="169" t="e">
        <v>#N/A</v>
      </c>
    </row>
    <row r="3492" spans="20:28" x14ac:dyDescent="0.2">
      <c r="T3492" s="130"/>
      <c r="U3492" s="151"/>
      <c r="X3492" s="170" t="str">
        <f t="shared" si="63"/>
        <v>1w</v>
      </c>
      <c r="Y3492" s="168">
        <f>_xll.qlCalendarAdvance(LiborCalendar,Y3491,X3492,"f",FALSE)</f>
        <v>63648</v>
      </c>
      <c r="Z3492" s="171">
        <f>_xll.qlInterestRateIndexValueDate(IborIndex,Y3492,Trigger)</f>
        <v>63650</v>
      </c>
      <c r="AA3492" s="172" t="e">
        <v>#N/A</v>
      </c>
      <c r="AB3492" s="169" t="e">
        <v>#N/A</v>
      </c>
    </row>
    <row r="3493" spans="20:28" x14ac:dyDescent="0.2">
      <c r="T3493" s="130"/>
      <c r="U3493" s="151"/>
      <c r="X3493" s="170" t="str">
        <f t="shared" si="63"/>
        <v>1w</v>
      </c>
      <c r="Y3493" s="168">
        <f>_xll.qlCalendarAdvance(LiborCalendar,Y3492,X3493,"f",FALSE)</f>
        <v>63655</v>
      </c>
      <c r="Z3493" s="171">
        <f>_xll.qlInterestRateIndexValueDate(IborIndex,Y3493,Trigger)</f>
        <v>63661</v>
      </c>
      <c r="AA3493" s="172" t="e">
        <v>#N/A</v>
      </c>
      <c r="AB3493" s="169" t="e">
        <v>#N/A</v>
      </c>
    </row>
    <row r="3494" spans="20:28" x14ac:dyDescent="0.2">
      <c r="T3494" s="130"/>
      <c r="U3494" s="151"/>
      <c r="X3494" s="170" t="str">
        <f t="shared" si="63"/>
        <v>1w</v>
      </c>
      <c r="Y3494" s="168">
        <f>_xll.qlCalendarAdvance(LiborCalendar,Y3493,X3494,"f",FALSE)</f>
        <v>63662</v>
      </c>
      <c r="Z3494" s="171">
        <f>_xll.qlInterestRateIndexValueDate(IborIndex,Y3494,Trigger)</f>
        <v>63664</v>
      </c>
      <c r="AA3494" s="172" t="e">
        <v>#N/A</v>
      </c>
      <c r="AB3494" s="169" t="e">
        <v>#N/A</v>
      </c>
    </row>
    <row r="3495" spans="20:28" x14ac:dyDescent="0.2">
      <c r="T3495" s="130"/>
      <c r="U3495" s="151"/>
      <c r="X3495" s="170" t="str">
        <f t="shared" si="63"/>
        <v>1w</v>
      </c>
      <c r="Y3495" s="168">
        <f>_xll.qlCalendarAdvance(LiborCalendar,Y3494,X3495,"f",FALSE)</f>
        <v>63669</v>
      </c>
      <c r="Z3495" s="171">
        <f>_xll.qlInterestRateIndexValueDate(IborIndex,Y3495,Trigger)</f>
        <v>63671</v>
      </c>
      <c r="AA3495" s="172" t="e">
        <v>#N/A</v>
      </c>
      <c r="AB3495" s="169" t="e">
        <v>#N/A</v>
      </c>
    </row>
    <row r="3496" spans="20:28" x14ac:dyDescent="0.2">
      <c r="T3496" s="130"/>
      <c r="U3496" s="151"/>
      <c r="X3496" s="170" t="str">
        <f t="shared" si="63"/>
        <v>1w</v>
      </c>
      <c r="Y3496" s="168">
        <f>_xll.qlCalendarAdvance(LiborCalendar,Y3495,X3496,"f",FALSE)</f>
        <v>63676</v>
      </c>
      <c r="Z3496" s="171">
        <f>_xll.qlInterestRateIndexValueDate(IborIndex,Y3496,Trigger)</f>
        <v>63678</v>
      </c>
      <c r="AA3496" s="172" t="e">
        <v>#N/A</v>
      </c>
      <c r="AB3496" s="169" t="e">
        <v>#N/A</v>
      </c>
    </row>
    <row r="3497" spans="20:28" x14ac:dyDescent="0.2">
      <c r="T3497" s="130"/>
      <c r="U3497" s="151"/>
      <c r="X3497" s="170" t="str">
        <f t="shared" si="63"/>
        <v>1w</v>
      </c>
      <c r="Y3497" s="168">
        <f>_xll.qlCalendarAdvance(LiborCalendar,Y3496,X3497,"f",FALSE)</f>
        <v>63683</v>
      </c>
      <c r="Z3497" s="171">
        <f>_xll.qlInterestRateIndexValueDate(IborIndex,Y3497,Trigger)</f>
        <v>63685</v>
      </c>
      <c r="AA3497" s="172" t="e">
        <v>#N/A</v>
      </c>
      <c r="AB3497" s="169" t="e">
        <v>#N/A</v>
      </c>
    </row>
    <row r="3498" spans="20:28" x14ac:dyDescent="0.2">
      <c r="T3498" s="130"/>
      <c r="U3498" s="151"/>
      <c r="X3498" s="170" t="str">
        <f t="shared" si="63"/>
        <v>1w</v>
      </c>
      <c r="Y3498" s="168">
        <f>_xll.qlCalendarAdvance(LiborCalendar,Y3497,X3498,"f",FALSE)</f>
        <v>63690</v>
      </c>
      <c r="Z3498" s="171">
        <f>_xll.qlInterestRateIndexValueDate(IborIndex,Y3498,Trigger)</f>
        <v>63692</v>
      </c>
      <c r="AA3498" s="172" t="e">
        <v>#N/A</v>
      </c>
      <c r="AB3498" s="169" t="e">
        <v>#N/A</v>
      </c>
    </row>
    <row r="3499" spans="20:28" x14ac:dyDescent="0.2">
      <c r="T3499" s="130"/>
      <c r="U3499" s="151"/>
      <c r="X3499" s="170" t="str">
        <f t="shared" si="63"/>
        <v>1w</v>
      </c>
      <c r="Y3499" s="168">
        <f>_xll.qlCalendarAdvance(LiborCalendar,Y3498,X3499,"f",FALSE)</f>
        <v>63697</v>
      </c>
      <c r="Z3499" s="171">
        <f>_xll.qlInterestRateIndexValueDate(IborIndex,Y3499,Trigger)</f>
        <v>63699</v>
      </c>
      <c r="AA3499" s="172" t="e">
        <v>#N/A</v>
      </c>
      <c r="AB3499" s="169" t="e">
        <v>#N/A</v>
      </c>
    </row>
    <row r="3500" spans="20:28" x14ac:dyDescent="0.2">
      <c r="T3500" s="130"/>
      <c r="U3500" s="151"/>
      <c r="X3500" s="170" t="str">
        <f t="shared" si="63"/>
        <v>1w</v>
      </c>
      <c r="Y3500" s="168">
        <f>_xll.qlCalendarAdvance(LiborCalendar,Y3499,X3500,"f",FALSE)</f>
        <v>63704</v>
      </c>
      <c r="Z3500" s="171">
        <f>_xll.qlInterestRateIndexValueDate(IborIndex,Y3500,Trigger)</f>
        <v>63706</v>
      </c>
      <c r="AA3500" s="172" t="e">
        <v>#N/A</v>
      </c>
      <c r="AB3500" s="169" t="e">
        <v>#N/A</v>
      </c>
    </row>
    <row r="3501" spans="20:28" x14ac:dyDescent="0.2">
      <c r="T3501" s="130"/>
      <c r="U3501" s="151"/>
      <c r="X3501" s="170" t="str">
        <f t="shared" si="63"/>
        <v>1w</v>
      </c>
      <c r="Y3501" s="168">
        <f>_xll.qlCalendarAdvance(LiborCalendar,Y3500,X3501,"f",FALSE)</f>
        <v>63711</v>
      </c>
      <c r="Z3501" s="171">
        <f>_xll.qlInterestRateIndexValueDate(IborIndex,Y3501,Trigger)</f>
        <v>63713</v>
      </c>
      <c r="AA3501" s="172" t="e">
        <v>#N/A</v>
      </c>
      <c r="AB3501" s="169" t="e">
        <v>#N/A</v>
      </c>
    </row>
    <row r="3502" spans="20:28" x14ac:dyDescent="0.2">
      <c r="T3502" s="130"/>
      <c r="U3502" s="151"/>
      <c r="X3502" s="170" t="str">
        <f t="shared" si="63"/>
        <v>1w</v>
      </c>
      <c r="Y3502" s="168">
        <f>_xll.qlCalendarAdvance(LiborCalendar,Y3501,X3502,"f",FALSE)</f>
        <v>63718</v>
      </c>
      <c r="Z3502" s="171">
        <f>_xll.qlInterestRateIndexValueDate(IborIndex,Y3502,Trigger)</f>
        <v>63720</v>
      </c>
      <c r="AA3502" s="172" t="e">
        <v>#N/A</v>
      </c>
      <c r="AB3502" s="169" t="e">
        <v>#N/A</v>
      </c>
    </row>
    <row r="3503" spans="20:28" x14ac:dyDescent="0.2">
      <c r="T3503" s="130"/>
      <c r="U3503" s="151"/>
      <c r="X3503" s="170" t="str">
        <f t="shared" si="63"/>
        <v>1w</v>
      </c>
      <c r="Y3503" s="168">
        <f>_xll.qlCalendarAdvance(LiborCalendar,Y3502,X3503,"f",FALSE)</f>
        <v>63725</v>
      </c>
      <c r="Z3503" s="171">
        <f>_xll.qlInterestRateIndexValueDate(IborIndex,Y3503,Trigger)</f>
        <v>63727</v>
      </c>
      <c r="AA3503" s="172" t="e">
        <v>#N/A</v>
      </c>
      <c r="AB3503" s="169" t="e">
        <v>#N/A</v>
      </c>
    </row>
    <row r="3504" spans="20:28" x14ac:dyDescent="0.2">
      <c r="T3504" s="130"/>
      <c r="U3504" s="151"/>
      <c r="X3504" s="170" t="str">
        <f t="shared" si="63"/>
        <v>1w</v>
      </c>
      <c r="Y3504" s="168">
        <f>_xll.qlCalendarAdvance(LiborCalendar,Y3503,X3504,"f",FALSE)</f>
        <v>63732</v>
      </c>
      <c r="Z3504" s="171">
        <f>_xll.qlInterestRateIndexValueDate(IborIndex,Y3504,Trigger)</f>
        <v>63734</v>
      </c>
      <c r="AA3504" s="172" t="e">
        <v>#N/A</v>
      </c>
      <c r="AB3504" s="169" t="e">
        <v>#N/A</v>
      </c>
    </row>
    <row r="3505" spans="20:28" x14ac:dyDescent="0.2">
      <c r="T3505" s="130"/>
      <c r="U3505" s="151"/>
      <c r="X3505" s="170" t="str">
        <f t="shared" si="63"/>
        <v>1w</v>
      </c>
      <c r="Y3505" s="168">
        <f>_xll.qlCalendarAdvance(LiborCalendar,Y3504,X3505,"f",FALSE)</f>
        <v>63739</v>
      </c>
      <c r="Z3505" s="171">
        <f>_xll.qlInterestRateIndexValueDate(IborIndex,Y3505,Trigger)</f>
        <v>63741</v>
      </c>
      <c r="AA3505" s="172" t="e">
        <v>#N/A</v>
      </c>
      <c r="AB3505" s="169" t="e">
        <v>#N/A</v>
      </c>
    </row>
    <row r="3506" spans="20:28" x14ac:dyDescent="0.2">
      <c r="T3506" s="130"/>
      <c r="U3506" s="151"/>
      <c r="X3506" s="170" t="str">
        <f t="shared" si="63"/>
        <v>1w</v>
      </c>
      <c r="Y3506" s="168">
        <f>_xll.qlCalendarAdvance(LiborCalendar,Y3505,X3506,"f",FALSE)</f>
        <v>63746</v>
      </c>
      <c r="Z3506" s="171">
        <f>_xll.qlInterestRateIndexValueDate(IborIndex,Y3506,Trigger)</f>
        <v>63748</v>
      </c>
      <c r="AA3506" s="172" t="e">
        <v>#N/A</v>
      </c>
      <c r="AB3506" s="169" t="e">
        <v>#N/A</v>
      </c>
    </row>
    <row r="3507" spans="20:28" x14ac:dyDescent="0.2">
      <c r="T3507" s="130"/>
      <c r="U3507" s="151"/>
      <c r="X3507" s="170" t="str">
        <f t="shared" si="63"/>
        <v>1w</v>
      </c>
      <c r="Y3507" s="168">
        <f>_xll.qlCalendarAdvance(LiborCalendar,Y3506,X3507,"f",FALSE)</f>
        <v>63753</v>
      </c>
      <c r="Z3507" s="171">
        <f>_xll.qlInterestRateIndexValueDate(IborIndex,Y3507,Trigger)</f>
        <v>63755</v>
      </c>
      <c r="AA3507" s="172" t="e">
        <v>#N/A</v>
      </c>
      <c r="AB3507" s="169" t="e">
        <v>#N/A</v>
      </c>
    </row>
    <row r="3508" spans="20:28" x14ac:dyDescent="0.2">
      <c r="T3508" s="130"/>
      <c r="U3508" s="151"/>
      <c r="X3508" s="170" t="str">
        <f t="shared" si="63"/>
        <v>1w</v>
      </c>
      <c r="Y3508" s="168">
        <f>_xll.qlCalendarAdvance(LiborCalendar,Y3507,X3508,"f",FALSE)</f>
        <v>63760</v>
      </c>
      <c r="Z3508" s="171">
        <f>_xll.qlInterestRateIndexValueDate(IborIndex,Y3508,Trigger)</f>
        <v>63762</v>
      </c>
      <c r="AA3508" s="172" t="e">
        <v>#N/A</v>
      </c>
      <c r="AB3508" s="169" t="e">
        <v>#N/A</v>
      </c>
    </row>
    <row r="3509" spans="20:28" x14ac:dyDescent="0.2">
      <c r="T3509" s="130"/>
      <c r="U3509" s="151"/>
      <c r="X3509" s="170" t="str">
        <f t="shared" si="63"/>
        <v>1w</v>
      </c>
      <c r="Y3509" s="168">
        <f>_xll.qlCalendarAdvance(LiborCalendar,Y3508,X3509,"f",FALSE)</f>
        <v>63767</v>
      </c>
      <c r="Z3509" s="171">
        <f>_xll.qlInterestRateIndexValueDate(IborIndex,Y3509,Trigger)</f>
        <v>63769</v>
      </c>
      <c r="AA3509" s="172" t="e">
        <v>#N/A</v>
      </c>
      <c r="AB3509" s="169" t="e">
        <v>#N/A</v>
      </c>
    </row>
    <row r="3510" spans="20:28" x14ac:dyDescent="0.2">
      <c r="T3510" s="130"/>
      <c r="U3510" s="151"/>
      <c r="X3510" s="170" t="str">
        <f t="shared" si="63"/>
        <v>1w</v>
      </c>
      <c r="Y3510" s="168">
        <f>_xll.qlCalendarAdvance(LiborCalendar,Y3509,X3510,"f",FALSE)</f>
        <v>63774</v>
      </c>
      <c r="Z3510" s="171">
        <f>_xll.qlInterestRateIndexValueDate(IborIndex,Y3510,Trigger)</f>
        <v>63776</v>
      </c>
      <c r="AA3510" s="172" t="e">
        <v>#N/A</v>
      </c>
      <c r="AB3510" s="169" t="e">
        <v>#N/A</v>
      </c>
    </row>
    <row r="3511" spans="20:28" x14ac:dyDescent="0.2">
      <c r="T3511" s="130"/>
      <c r="U3511" s="151"/>
      <c r="X3511" s="170" t="str">
        <f t="shared" si="63"/>
        <v>1w</v>
      </c>
      <c r="Y3511" s="168">
        <f>_xll.qlCalendarAdvance(LiborCalendar,Y3510,X3511,"f",FALSE)</f>
        <v>63781</v>
      </c>
      <c r="Z3511" s="171">
        <f>_xll.qlInterestRateIndexValueDate(IborIndex,Y3511,Trigger)</f>
        <v>63783</v>
      </c>
      <c r="AA3511" s="172" t="e">
        <v>#N/A</v>
      </c>
      <c r="AB3511" s="169" t="e">
        <v>#N/A</v>
      </c>
    </row>
    <row r="3512" spans="20:28" x14ac:dyDescent="0.2">
      <c r="T3512" s="130"/>
      <c r="U3512" s="151"/>
      <c r="X3512" s="170" t="str">
        <f t="shared" si="63"/>
        <v>1w</v>
      </c>
      <c r="Y3512" s="168">
        <f>_xll.qlCalendarAdvance(LiborCalendar,Y3511,X3512,"f",FALSE)</f>
        <v>63788</v>
      </c>
      <c r="Z3512" s="171">
        <f>_xll.qlInterestRateIndexValueDate(IborIndex,Y3512,Trigger)</f>
        <v>63790</v>
      </c>
      <c r="AA3512" s="172" t="e">
        <v>#N/A</v>
      </c>
      <c r="AB3512" s="169" t="e">
        <v>#N/A</v>
      </c>
    </row>
    <row r="3513" spans="20:28" x14ac:dyDescent="0.2">
      <c r="T3513" s="130"/>
      <c r="U3513" s="151"/>
      <c r="X3513" s="170" t="str">
        <f t="shared" si="63"/>
        <v>1w</v>
      </c>
      <c r="Y3513" s="168">
        <f>_xll.qlCalendarAdvance(LiborCalendar,Y3512,X3513,"f",FALSE)</f>
        <v>63795</v>
      </c>
      <c r="Z3513" s="171">
        <f>_xll.qlInterestRateIndexValueDate(IborIndex,Y3513,Trigger)</f>
        <v>63797</v>
      </c>
      <c r="AA3513" s="172" t="e">
        <v>#N/A</v>
      </c>
      <c r="AB3513" s="169" t="e">
        <v>#N/A</v>
      </c>
    </row>
    <row r="3514" spans="20:28" x14ac:dyDescent="0.2">
      <c r="T3514" s="130"/>
      <c r="U3514" s="151"/>
      <c r="X3514" s="170" t="str">
        <f t="shared" si="63"/>
        <v>1w</v>
      </c>
      <c r="Y3514" s="168">
        <f>_xll.qlCalendarAdvance(LiborCalendar,Y3513,X3514,"f",FALSE)</f>
        <v>63802</v>
      </c>
      <c r="Z3514" s="171">
        <f>_xll.qlInterestRateIndexValueDate(IborIndex,Y3514,Trigger)</f>
        <v>63804</v>
      </c>
      <c r="AA3514" s="172" t="e">
        <v>#N/A</v>
      </c>
      <c r="AB3514" s="169" t="e">
        <v>#N/A</v>
      </c>
    </row>
    <row r="3515" spans="20:28" x14ac:dyDescent="0.2">
      <c r="T3515" s="130"/>
      <c r="U3515" s="151"/>
      <c r="X3515" s="170" t="str">
        <f t="shared" si="63"/>
        <v>1w</v>
      </c>
      <c r="Y3515" s="168">
        <f>_xll.qlCalendarAdvance(LiborCalendar,Y3514,X3515,"f",FALSE)</f>
        <v>63809</v>
      </c>
      <c r="Z3515" s="171">
        <f>_xll.qlInterestRateIndexValueDate(IborIndex,Y3515,Trigger)</f>
        <v>63811</v>
      </c>
      <c r="AA3515" s="172" t="e">
        <v>#N/A</v>
      </c>
      <c r="AB3515" s="169" t="e">
        <v>#N/A</v>
      </c>
    </row>
    <row r="3516" spans="20:28" x14ac:dyDescent="0.2">
      <c r="T3516" s="130"/>
      <c r="U3516" s="151"/>
      <c r="X3516" s="170" t="str">
        <f t="shared" si="63"/>
        <v>1w</v>
      </c>
      <c r="Y3516" s="168">
        <f>_xll.qlCalendarAdvance(LiborCalendar,Y3515,X3516,"f",FALSE)</f>
        <v>63816</v>
      </c>
      <c r="Z3516" s="171">
        <f>_xll.qlInterestRateIndexValueDate(IborIndex,Y3516,Trigger)</f>
        <v>63818</v>
      </c>
      <c r="AA3516" s="172" t="e">
        <v>#N/A</v>
      </c>
      <c r="AB3516" s="169" t="e">
        <v>#N/A</v>
      </c>
    </row>
    <row r="3517" spans="20:28" x14ac:dyDescent="0.2">
      <c r="T3517" s="130"/>
      <c r="U3517" s="151"/>
      <c r="X3517" s="170" t="str">
        <f t="shared" si="63"/>
        <v>1w</v>
      </c>
      <c r="Y3517" s="168">
        <f>_xll.qlCalendarAdvance(LiborCalendar,Y3516,X3517,"f",FALSE)</f>
        <v>63823</v>
      </c>
      <c r="Z3517" s="171">
        <f>_xll.qlInterestRateIndexValueDate(IborIndex,Y3517,Trigger)</f>
        <v>63825</v>
      </c>
      <c r="AA3517" s="172" t="e">
        <v>#N/A</v>
      </c>
      <c r="AB3517" s="169" t="e">
        <v>#N/A</v>
      </c>
    </row>
    <row r="3518" spans="20:28" x14ac:dyDescent="0.2">
      <c r="T3518" s="130"/>
      <c r="U3518" s="151"/>
      <c r="X3518" s="170" t="str">
        <f t="shared" si="63"/>
        <v>1w</v>
      </c>
      <c r="Y3518" s="168">
        <f>_xll.qlCalendarAdvance(LiborCalendar,Y3517,X3518,"f",FALSE)</f>
        <v>63830</v>
      </c>
      <c r="Z3518" s="171">
        <f>_xll.qlInterestRateIndexValueDate(IborIndex,Y3518,Trigger)</f>
        <v>63832</v>
      </c>
      <c r="AA3518" s="172" t="e">
        <v>#N/A</v>
      </c>
      <c r="AB3518" s="169" t="e">
        <v>#N/A</v>
      </c>
    </row>
    <row r="3519" spans="20:28" x14ac:dyDescent="0.2">
      <c r="T3519" s="130"/>
      <c r="U3519" s="151"/>
      <c r="X3519" s="170" t="str">
        <f t="shared" si="63"/>
        <v>1w</v>
      </c>
      <c r="Y3519" s="168">
        <f>_xll.qlCalendarAdvance(LiborCalendar,Y3518,X3519,"f",FALSE)</f>
        <v>63837</v>
      </c>
      <c r="Z3519" s="171">
        <f>_xll.qlInterestRateIndexValueDate(IborIndex,Y3519,Trigger)</f>
        <v>63839</v>
      </c>
      <c r="AA3519" s="172" t="e">
        <v>#N/A</v>
      </c>
      <c r="AB3519" s="169" t="e">
        <v>#N/A</v>
      </c>
    </row>
    <row r="3520" spans="20:28" x14ac:dyDescent="0.2">
      <c r="T3520" s="130"/>
      <c r="U3520" s="151"/>
      <c r="X3520" s="170" t="str">
        <f t="shared" si="63"/>
        <v>1w</v>
      </c>
      <c r="Y3520" s="168">
        <f>_xll.qlCalendarAdvance(LiborCalendar,Y3519,X3520,"f",FALSE)</f>
        <v>63844</v>
      </c>
      <c r="Z3520" s="171">
        <f>_xll.qlInterestRateIndexValueDate(IborIndex,Y3520,Trigger)</f>
        <v>63846</v>
      </c>
      <c r="AA3520" s="172" t="e">
        <v>#N/A</v>
      </c>
      <c r="AB3520" s="169" t="e">
        <v>#N/A</v>
      </c>
    </row>
    <row r="3521" spans="20:28" x14ac:dyDescent="0.2">
      <c r="T3521" s="130"/>
      <c r="U3521" s="151"/>
      <c r="X3521" s="170" t="str">
        <f t="shared" si="63"/>
        <v>1w</v>
      </c>
      <c r="Y3521" s="168">
        <f>_xll.qlCalendarAdvance(LiborCalendar,Y3520,X3521,"f",FALSE)</f>
        <v>63851</v>
      </c>
      <c r="Z3521" s="171">
        <f>_xll.qlInterestRateIndexValueDate(IborIndex,Y3521,Trigger)</f>
        <v>63853</v>
      </c>
      <c r="AA3521" s="172" t="e">
        <v>#N/A</v>
      </c>
      <c r="AB3521" s="169" t="e">
        <v>#N/A</v>
      </c>
    </row>
    <row r="3522" spans="20:28" x14ac:dyDescent="0.2">
      <c r="T3522" s="130"/>
      <c r="U3522" s="151"/>
      <c r="X3522" s="170" t="str">
        <f t="shared" si="63"/>
        <v>1w</v>
      </c>
      <c r="Y3522" s="168">
        <f>_xll.qlCalendarAdvance(LiborCalendar,Y3521,X3522,"f",FALSE)</f>
        <v>63858</v>
      </c>
      <c r="Z3522" s="171">
        <f>_xll.qlInterestRateIndexValueDate(IborIndex,Y3522,Trigger)</f>
        <v>63860</v>
      </c>
      <c r="AA3522" s="172" t="e">
        <v>#N/A</v>
      </c>
      <c r="AB3522" s="169" t="e">
        <v>#N/A</v>
      </c>
    </row>
    <row r="3523" spans="20:28" x14ac:dyDescent="0.2">
      <c r="T3523" s="130"/>
      <c r="U3523" s="151"/>
      <c r="X3523" s="170" t="str">
        <f t="shared" si="63"/>
        <v>1w</v>
      </c>
      <c r="Y3523" s="168">
        <f>_xll.qlCalendarAdvance(LiborCalendar,Y3522,X3523,"f",FALSE)</f>
        <v>63865</v>
      </c>
      <c r="Z3523" s="171">
        <f>_xll.qlInterestRateIndexValueDate(IborIndex,Y3523,Trigger)</f>
        <v>63867</v>
      </c>
      <c r="AA3523" s="172" t="e">
        <v>#N/A</v>
      </c>
      <c r="AB3523" s="169" t="e">
        <v>#N/A</v>
      </c>
    </row>
    <row r="3524" spans="20:28" x14ac:dyDescent="0.2">
      <c r="T3524" s="130"/>
      <c r="U3524" s="151"/>
      <c r="X3524" s="170" t="str">
        <f t="shared" si="63"/>
        <v>1w</v>
      </c>
      <c r="Y3524" s="168">
        <f>_xll.qlCalendarAdvance(LiborCalendar,Y3523,X3524,"f",FALSE)</f>
        <v>63872</v>
      </c>
      <c r="Z3524" s="171">
        <f>_xll.qlInterestRateIndexValueDate(IborIndex,Y3524,Trigger)</f>
        <v>63874</v>
      </c>
      <c r="AA3524" s="172" t="e">
        <v>#N/A</v>
      </c>
      <c r="AB3524" s="169" t="e">
        <v>#N/A</v>
      </c>
    </row>
    <row r="3525" spans="20:28" x14ac:dyDescent="0.2">
      <c r="T3525" s="130"/>
      <c r="U3525" s="151"/>
      <c r="X3525" s="170" t="str">
        <f t="shared" si="63"/>
        <v>1w</v>
      </c>
      <c r="Y3525" s="168">
        <f>_xll.qlCalendarAdvance(LiborCalendar,Y3524,X3525,"f",FALSE)</f>
        <v>63879</v>
      </c>
      <c r="Z3525" s="171">
        <f>_xll.qlInterestRateIndexValueDate(IborIndex,Y3525,Trigger)</f>
        <v>63881</v>
      </c>
      <c r="AA3525" s="172" t="e">
        <v>#N/A</v>
      </c>
      <c r="AB3525" s="169" t="e">
        <v>#N/A</v>
      </c>
    </row>
    <row r="3526" spans="20:28" x14ac:dyDescent="0.2">
      <c r="T3526" s="130"/>
      <c r="U3526" s="151"/>
      <c r="X3526" s="170" t="str">
        <f t="shared" si="63"/>
        <v>1w</v>
      </c>
      <c r="Y3526" s="168">
        <f>_xll.qlCalendarAdvance(LiborCalendar,Y3525,X3526,"f",FALSE)</f>
        <v>63886</v>
      </c>
      <c r="Z3526" s="171">
        <f>_xll.qlInterestRateIndexValueDate(IborIndex,Y3526,Trigger)</f>
        <v>63888</v>
      </c>
      <c r="AA3526" s="172" t="e">
        <v>#N/A</v>
      </c>
      <c r="AB3526" s="169" t="e">
        <v>#N/A</v>
      </c>
    </row>
    <row r="3527" spans="20:28" x14ac:dyDescent="0.2">
      <c r="T3527" s="130"/>
      <c r="U3527" s="151"/>
      <c r="X3527" s="170" t="str">
        <f t="shared" si="63"/>
        <v>1w</v>
      </c>
      <c r="Y3527" s="168">
        <f>_xll.qlCalendarAdvance(LiborCalendar,Y3526,X3527,"f",FALSE)</f>
        <v>63893</v>
      </c>
      <c r="Z3527" s="171">
        <f>_xll.qlInterestRateIndexValueDate(IborIndex,Y3527,Trigger)</f>
        <v>63895</v>
      </c>
      <c r="AA3527" s="172" t="e">
        <v>#N/A</v>
      </c>
      <c r="AB3527" s="169" t="e">
        <v>#N/A</v>
      </c>
    </row>
    <row r="3528" spans="20:28" x14ac:dyDescent="0.2">
      <c r="T3528" s="130"/>
      <c r="U3528" s="151"/>
      <c r="X3528" s="170" t="str">
        <f t="shared" si="63"/>
        <v>1w</v>
      </c>
      <c r="Y3528" s="168">
        <f>_xll.qlCalendarAdvance(LiborCalendar,Y3527,X3528,"f",FALSE)</f>
        <v>63900</v>
      </c>
      <c r="Z3528" s="171">
        <f>_xll.qlInterestRateIndexValueDate(IborIndex,Y3528,Trigger)</f>
        <v>63902</v>
      </c>
      <c r="AA3528" s="172" t="e">
        <v>#N/A</v>
      </c>
      <c r="AB3528" s="169" t="e">
        <v>#N/A</v>
      </c>
    </row>
    <row r="3529" spans="20:28" x14ac:dyDescent="0.2">
      <c r="T3529" s="130"/>
      <c r="U3529" s="151"/>
      <c r="X3529" s="170" t="str">
        <f t="shared" si="63"/>
        <v>1w</v>
      </c>
      <c r="Y3529" s="168">
        <f>_xll.qlCalendarAdvance(LiborCalendar,Y3528,X3529,"f",FALSE)</f>
        <v>63907</v>
      </c>
      <c r="Z3529" s="171">
        <f>_xll.qlInterestRateIndexValueDate(IborIndex,Y3529,Trigger)</f>
        <v>63909</v>
      </c>
      <c r="AA3529" s="172" t="e">
        <v>#N/A</v>
      </c>
      <c r="AB3529" s="169" t="e">
        <v>#N/A</v>
      </c>
    </row>
    <row r="3530" spans="20:28" x14ac:dyDescent="0.2">
      <c r="T3530" s="130"/>
      <c r="U3530" s="151"/>
      <c r="X3530" s="170" t="str">
        <f t="shared" si="63"/>
        <v>1w</v>
      </c>
      <c r="Y3530" s="168">
        <f>_xll.qlCalendarAdvance(LiborCalendar,Y3529,X3530,"f",FALSE)</f>
        <v>63915</v>
      </c>
      <c r="Z3530" s="171">
        <f>_xll.qlInterestRateIndexValueDate(IborIndex,Y3530,Trigger)</f>
        <v>63919</v>
      </c>
      <c r="AA3530" s="172" t="e">
        <v>#N/A</v>
      </c>
      <c r="AB3530" s="169" t="e">
        <v>#N/A</v>
      </c>
    </row>
    <row r="3531" spans="20:28" x14ac:dyDescent="0.2">
      <c r="T3531" s="130"/>
      <c r="U3531" s="151"/>
      <c r="X3531" s="170" t="str">
        <f t="shared" si="63"/>
        <v>1w</v>
      </c>
      <c r="Y3531" s="168">
        <f>_xll.qlCalendarAdvance(LiborCalendar,Y3530,X3531,"f",FALSE)</f>
        <v>63922</v>
      </c>
      <c r="Z3531" s="171">
        <f>_xll.qlInterestRateIndexValueDate(IborIndex,Y3531,Trigger)</f>
        <v>63926</v>
      </c>
      <c r="AA3531" s="172" t="e">
        <v>#N/A</v>
      </c>
      <c r="AB3531" s="169" t="e">
        <v>#N/A</v>
      </c>
    </row>
    <row r="3532" spans="20:28" x14ac:dyDescent="0.2">
      <c r="T3532" s="130"/>
      <c r="U3532" s="151"/>
      <c r="X3532" s="170" t="str">
        <f t="shared" si="63"/>
        <v>1w</v>
      </c>
      <c r="Y3532" s="168">
        <f>_xll.qlCalendarAdvance(LiborCalendar,Y3531,X3532,"f",FALSE)</f>
        <v>63929</v>
      </c>
      <c r="Z3532" s="171">
        <f>_xll.qlInterestRateIndexValueDate(IborIndex,Y3532,Trigger)</f>
        <v>63933</v>
      </c>
      <c r="AA3532" s="172" t="e">
        <v>#N/A</v>
      </c>
      <c r="AB3532" s="169" t="e">
        <v>#N/A</v>
      </c>
    </row>
    <row r="3533" spans="20:28" x14ac:dyDescent="0.2">
      <c r="X3533" s="170" t="str">
        <f t="shared" si="63"/>
        <v>1w</v>
      </c>
      <c r="Y3533" s="168">
        <f>_xll.qlCalendarAdvance(LiborCalendar,Y3532,X3533,"f",FALSE)</f>
        <v>63936</v>
      </c>
      <c r="Z3533" s="171">
        <f>_xll.qlInterestRateIndexValueDate(IborIndex,Y3533,Trigger)</f>
        <v>63940</v>
      </c>
      <c r="AA3533" s="172" t="e">
        <v>#N/A</v>
      </c>
      <c r="AB3533" s="169" t="e">
        <v>#N/A</v>
      </c>
    </row>
    <row r="3534" spans="20:28" x14ac:dyDescent="0.2">
      <c r="X3534" s="170" t="str">
        <f t="shared" si="63"/>
        <v>1w</v>
      </c>
      <c r="Y3534" s="168">
        <f>_xll.qlCalendarAdvance(LiborCalendar,Y3533,X3534,"f",FALSE)</f>
        <v>63943</v>
      </c>
      <c r="Z3534" s="171">
        <f>_xll.qlInterestRateIndexValueDate(IborIndex,Y3534,Trigger)</f>
        <v>63947</v>
      </c>
      <c r="AA3534" s="172" t="e">
        <v>#N/A</v>
      </c>
      <c r="AB3534" s="169" t="e">
        <v>#N/A</v>
      </c>
    </row>
    <row r="3535" spans="20:28" x14ac:dyDescent="0.2">
      <c r="X3535" s="170" t="str">
        <f t="shared" si="63"/>
        <v>1w</v>
      </c>
      <c r="Y3535" s="168">
        <f>_xll.qlCalendarAdvance(LiborCalendar,Y3534,X3535,"f",FALSE)</f>
        <v>63950</v>
      </c>
      <c r="Z3535" s="171">
        <f>_xll.qlInterestRateIndexValueDate(IborIndex,Y3535,Trigger)</f>
        <v>63954</v>
      </c>
      <c r="AA3535" s="172" t="e">
        <v>#N/A</v>
      </c>
      <c r="AB3535" s="169" t="e">
        <v>#N/A</v>
      </c>
    </row>
    <row r="3536" spans="20:28" x14ac:dyDescent="0.2">
      <c r="X3536" s="170" t="str">
        <f t="shared" si="63"/>
        <v>1w</v>
      </c>
      <c r="Y3536" s="168">
        <f>_xll.qlCalendarAdvance(LiborCalendar,Y3535,X3536,"f",FALSE)</f>
        <v>63957</v>
      </c>
      <c r="Z3536" s="171">
        <f>_xll.qlInterestRateIndexValueDate(IborIndex,Y3536,Trigger)</f>
        <v>63961</v>
      </c>
      <c r="AA3536" s="172" t="e">
        <v>#N/A</v>
      </c>
      <c r="AB3536" s="169" t="e">
        <v>#N/A</v>
      </c>
    </row>
    <row r="3537" spans="2:28" x14ac:dyDescent="0.2">
      <c r="X3537" s="170" t="str">
        <f t="shared" si="63"/>
        <v>1w</v>
      </c>
      <c r="Y3537" s="168">
        <f>_xll.qlCalendarAdvance(LiborCalendar,Y3536,X3537,"f",FALSE)</f>
        <v>63964</v>
      </c>
      <c r="Z3537" s="171">
        <f>_xll.qlInterestRateIndexValueDate(IborIndex,Y3537,Trigger)</f>
        <v>63968</v>
      </c>
      <c r="AA3537" s="172" t="e">
        <v>#N/A</v>
      </c>
      <c r="AB3537" s="169" t="e">
        <v>#N/A</v>
      </c>
    </row>
    <row r="3538" spans="2:28" x14ac:dyDescent="0.2">
      <c r="X3538" s="170" t="str">
        <f t="shared" si="63"/>
        <v>1w</v>
      </c>
      <c r="Y3538" s="168">
        <f>_xll.qlCalendarAdvance(LiborCalendar,Y3537,X3538,"f",FALSE)</f>
        <v>63971</v>
      </c>
      <c r="Z3538" s="171">
        <f>_xll.qlInterestRateIndexValueDate(IborIndex,Y3538,Trigger)</f>
        <v>63975</v>
      </c>
      <c r="AA3538" s="172" t="e">
        <v>#N/A</v>
      </c>
      <c r="AB3538" s="169" t="e">
        <v>#N/A</v>
      </c>
    </row>
    <row r="3539" spans="2:28" x14ac:dyDescent="0.2">
      <c r="X3539" s="170" t="str">
        <f t="shared" si="63"/>
        <v>1w</v>
      </c>
      <c r="Y3539" s="168">
        <f>_xll.qlCalendarAdvance(LiborCalendar,Y3538,X3539,"f",FALSE)</f>
        <v>63978</v>
      </c>
      <c r="Z3539" s="171">
        <f>_xll.qlInterestRateIndexValueDate(IborIndex,Y3539,Trigger)</f>
        <v>63982</v>
      </c>
      <c r="AA3539" s="172" t="e">
        <v>#N/A</v>
      </c>
      <c r="AB3539" s="169" t="e">
        <v>#N/A</v>
      </c>
    </row>
    <row r="3540" spans="2:28" x14ac:dyDescent="0.2">
      <c r="X3540" s="170" t="str">
        <f t="shared" si="63"/>
        <v>1w</v>
      </c>
      <c r="Y3540" s="168">
        <f>_xll.qlCalendarAdvance(LiborCalendar,Y3539,X3540,"f",FALSE)</f>
        <v>63985</v>
      </c>
      <c r="Z3540" s="171">
        <f>_xll.qlInterestRateIndexValueDate(IborIndex,Y3540,Trigger)</f>
        <v>63989</v>
      </c>
      <c r="AA3540" s="172" t="e">
        <v>#N/A</v>
      </c>
      <c r="AB3540" s="169" t="e">
        <v>#N/A</v>
      </c>
    </row>
    <row r="3541" spans="2:28" x14ac:dyDescent="0.2">
      <c r="X3541" s="170" t="str">
        <f t="shared" ref="X3541:X3552" si="64">X3540</f>
        <v>1w</v>
      </c>
      <c r="Y3541" s="168">
        <f>_xll.qlCalendarAdvance(LiborCalendar,Y3540,X3541,"f",FALSE)</f>
        <v>63992</v>
      </c>
      <c r="Z3541" s="171">
        <f>_xll.qlInterestRateIndexValueDate(IborIndex,Y3541,Trigger)</f>
        <v>63996</v>
      </c>
      <c r="AA3541" s="172" t="e">
        <v>#N/A</v>
      </c>
      <c r="AB3541" s="169" t="e">
        <v>#N/A</v>
      </c>
    </row>
    <row r="3542" spans="2:28" x14ac:dyDescent="0.2">
      <c r="X3542" s="170" t="str">
        <f t="shared" si="64"/>
        <v>1w</v>
      </c>
      <c r="Y3542" s="168">
        <f>_xll.qlCalendarAdvance(LiborCalendar,Y3541,X3542,"f",FALSE)</f>
        <v>63999</v>
      </c>
      <c r="Z3542" s="171">
        <f>_xll.qlInterestRateIndexValueDate(IborIndex,Y3542,Trigger)</f>
        <v>64003</v>
      </c>
      <c r="AA3542" s="172" t="e">
        <v>#N/A</v>
      </c>
      <c r="AB3542" s="169" t="e">
        <v>#N/A</v>
      </c>
    </row>
    <row r="3543" spans="2:28" x14ac:dyDescent="0.2">
      <c r="B3543" s="168"/>
      <c r="C3543" s="171"/>
      <c r="D3543" s="172"/>
      <c r="E3543" s="172"/>
      <c r="X3543" s="170" t="str">
        <f t="shared" si="64"/>
        <v>1w</v>
      </c>
      <c r="Y3543" s="168">
        <f>_xll.qlCalendarAdvance(LiborCalendar,Y3542,X3543,"f",FALSE)</f>
        <v>64006</v>
      </c>
      <c r="Z3543" s="171">
        <f>_xll.qlInterestRateIndexValueDate(IborIndex,Y3543,Trigger)</f>
        <v>64010</v>
      </c>
      <c r="AA3543" s="172" t="e">
        <v>#N/A</v>
      </c>
      <c r="AB3543" s="169" t="e">
        <v>#N/A</v>
      </c>
    </row>
    <row r="3544" spans="2:28" x14ac:dyDescent="0.2">
      <c r="B3544" s="168"/>
      <c r="C3544" s="171"/>
      <c r="D3544" s="172"/>
      <c r="E3544" s="172"/>
      <c r="X3544" s="170" t="str">
        <f t="shared" si="64"/>
        <v>1w</v>
      </c>
      <c r="Y3544" s="168">
        <f>_xll.qlCalendarAdvance(LiborCalendar,Y3543,X3544,"f",FALSE)</f>
        <v>64013</v>
      </c>
      <c r="Z3544" s="171">
        <f>_xll.qlInterestRateIndexValueDate(IborIndex,Y3544,Trigger)</f>
        <v>64019</v>
      </c>
      <c r="AA3544" s="172" t="e">
        <v>#N/A</v>
      </c>
      <c r="AB3544" s="169" t="e">
        <v>#N/A</v>
      </c>
    </row>
    <row r="3545" spans="2:28" x14ac:dyDescent="0.2">
      <c r="B3545" s="168"/>
      <c r="C3545" s="171"/>
      <c r="D3545" s="172"/>
      <c r="E3545" s="172"/>
      <c r="X3545" s="170" t="str">
        <f t="shared" si="64"/>
        <v>1w</v>
      </c>
      <c r="Y3545" s="168">
        <f>_xll.qlCalendarAdvance(LiborCalendar,Y3544,X3545,"f",FALSE)</f>
        <v>64020</v>
      </c>
      <c r="Z3545" s="171">
        <f>_xll.qlInterestRateIndexValueDate(IborIndex,Y3545,Trigger)</f>
        <v>64024</v>
      </c>
      <c r="AA3545" s="172" t="e">
        <v>#N/A</v>
      </c>
      <c r="AB3545" s="169" t="e">
        <v>#N/A</v>
      </c>
    </row>
    <row r="3546" spans="2:28" x14ac:dyDescent="0.2">
      <c r="B3546" s="168"/>
      <c r="C3546" s="171"/>
      <c r="D3546" s="172"/>
      <c r="E3546" s="172"/>
      <c r="X3546" s="170" t="str">
        <f t="shared" si="64"/>
        <v>1w</v>
      </c>
      <c r="Y3546" s="168">
        <f>_xll.qlCalendarAdvance(LiborCalendar,Y3545,X3546,"f",FALSE)</f>
        <v>64027</v>
      </c>
      <c r="Z3546" s="171">
        <f>_xll.qlInterestRateIndexValueDate(IborIndex,Y3546,Trigger)</f>
        <v>64031</v>
      </c>
      <c r="AA3546" s="172" t="e">
        <v>#N/A</v>
      </c>
      <c r="AB3546" s="169" t="e">
        <v>#N/A</v>
      </c>
    </row>
    <row r="3547" spans="2:28" x14ac:dyDescent="0.2">
      <c r="B3547" s="168"/>
      <c r="C3547" s="171"/>
      <c r="D3547" s="172"/>
      <c r="E3547" s="172"/>
      <c r="X3547" s="170" t="str">
        <f t="shared" si="64"/>
        <v>1w</v>
      </c>
      <c r="Y3547" s="168">
        <f>_xll.qlCalendarAdvance(LiborCalendar,Y3546,X3547,"f",FALSE)</f>
        <v>64034</v>
      </c>
      <c r="Z3547" s="171">
        <f>_xll.qlInterestRateIndexValueDate(IborIndex,Y3547,Trigger)</f>
        <v>64038</v>
      </c>
      <c r="AA3547" s="172" t="e">
        <v>#N/A</v>
      </c>
      <c r="AB3547" s="169" t="e">
        <v>#N/A</v>
      </c>
    </row>
    <row r="3548" spans="2:28" x14ac:dyDescent="0.2">
      <c r="B3548" s="168"/>
      <c r="C3548" s="171"/>
      <c r="D3548" s="172"/>
      <c r="E3548" s="172"/>
      <c r="X3548" s="170" t="str">
        <f t="shared" si="64"/>
        <v>1w</v>
      </c>
      <c r="Y3548" s="168">
        <f>_xll.qlCalendarAdvance(LiborCalendar,Y3547,X3548,"f",FALSE)</f>
        <v>64041</v>
      </c>
      <c r="Z3548" s="171">
        <f>_xll.qlInterestRateIndexValueDate(IborIndex,Y3548,Trigger)</f>
        <v>64046</v>
      </c>
      <c r="AA3548" s="172" t="e">
        <v>#N/A</v>
      </c>
      <c r="AB3548" s="169" t="e">
        <v>#N/A</v>
      </c>
    </row>
    <row r="3549" spans="2:28" x14ac:dyDescent="0.2">
      <c r="B3549" s="168"/>
      <c r="C3549" s="171"/>
      <c r="D3549" s="172"/>
      <c r="E3549" s="172"/>
      <c r="X3549" s="170" t="str">
        <f t="shared" si="64"/>
        <v>1w</v>
      </c>
      <c r="Y3549" s="168">
        <f>_xll.qlCalendarAdvance(LiborCalendar,Y3548,X3549,"f",FALSE)</f>
        <v>64048</v>
      </c>
      <c r="Z3549" s="171">
        <f>_xll.qlInterestRateIndexValueDate(IborIndex,Y3549,Trigger)</f>
        <v>64052</v>
      </c>
      <c r="AA3549" s="172" t="e">
        <v>#N/A</v>
      </c>
      <c r="AB3549" s="169" t="e">
        <v>#N/A</v>
      </c>
    </row>
    <row r="3550" spans="2:28" x14ac:dyDescent="0.2">
      <c r="B3550" s="168"/>
      <c r="C3550" s="171"/>
      <c r="D3550" s="172"/>
      <c r="E3550" s="172"/>
      <c r="X3550" s="170" t="str">
        <f t="shared" si="64"/>
        <v>1w</v>
      </c>
      <c r="Y3550" s="168">
        <f>_xll.qlCalendarAdvance(LiborCalendar,Y3549,X3550,"f",FALSE)</f>
        <v>64055</v>
      </c>
      <c r="Z3550" s="171">
        <f>_xll.qlInterestRateIndexValueDate(IborIndex,Y3550,Trigger)</f>
        <v>64059</v>
      </c>
      <c r="AA3550" s="172" t="e">
        <v>#N/A</v>
      </c>
      <c r="AB3550" s="169" t="e">
        <v>#N/A</v>
      </c>
    </row>
    <row r="3551" spans="2:28" x14ac:dyDescent="0.2">
      <c r="B3551" s="168"/>
      <c r="C3551" s="171"/>
      <c r="D3551" s="172"/>
      <c r="E3551" s="172"/>
      <c r="X3551" s="170" t="str">
        <f t="shared" si="64"/>
        <v>1w</v>
      </c>
      <c r="Y3551" s="168">
        <f>_xll.qlCalendarAdvance(LiborCalendar,Y3550,X3551,"f",FALSE)</f>
        <v>64062</v>
      </c>
      <c r="Z3551" s="171">
        <f>_xll.qlInterestRateIndexValueDate(IborIndex,Y3551,Trigger)</f>
        <v>64067</v>
      </c>
      <c r="AA3551" s="172" t="e">
        <v>#N/A</v>
      </c>
      <c r="AB3551" s="169" t="e">
        <v>#N/A</v>
      </c>
    </row>
    <row r="3552" spans="2:28" ht="12" thickBot="1" x14ac:dyDescent="0.25">
      <c r="B3552" s="168"/>
      <c r="C3552" s="171"/>
      <c r="D3552" s="172"/>
      <c r="E3552" s="172"/>
      <c r="X3552" s="183" t="str">
        <f t="shared" si="64"/>
        <v>1w</v>
      </c>
      <c r="Y3552" s="168">
        <f>_xll.qlCalendarAdvance(LiborCalendar,Y3551,X3552,"f",FALSE)</f>
        <v>64069</v>
      </c>
      <c r="Z3552" s="171">
        <f>_xll.qlInterestRateIndexValueDate(IborIndex,Y3552,Trigger)</f>
        <v>64073</v>
      </c>
      <c r="AA3552" s="173" t="e">
        <v>#N/A</v>
      </c>
      <c r="AB3552" s="174" t="e">
        <v>#N/A</v>
      </c>
    </row>
    <row r="3553" spans="2:26" x14ac:dyDescent="0.2">
      <c r="B3553" s="168"/>
      <c r="C3553" s="171"/>
      <c r="D3553" s="172"/>
      <c r="E3553" s="172"/>
      <c r="W3553" s="180"/>
      <c r="Y3553" s="208"/>
      <c r="Z3553" s="208"/>
    </row>
    <row r="3554" spans="2:26" x14ac:dyDescent="0.2">
      <c r="B3554" s="168"/>
      <c r="C3554" s="171"/>
      <c r="D3554" s="172"/>
      <c r="E3554" s="172"/>
      <c r="W3554" s="180"/>
    </row>
    <row r="3555" spans="2:26" x14ac:dyDescent="0.2">
      <c r="B3555" s="168"/>
      <c r="C3555" s="171"/>
      <c r="D3555" s="172"/>
      <c r="E3555" s="172"/>
      <c r="W3555" s="180"/>
    </row>
    <row r="3556" spans="2:26" x14ac:dyDescent="0.2">
      <c r="B3556" s="168"/>
      <c r="C3556" s="171"/>
      <c r="D3556" s="172"/>
      <c r="E3556" s="172"/>
      <c r="W3556" s="180"/>
    </row>
    <row r="3557" spans="2:26" x14ac:dyDescent="0.2">
      <c r="B3557" s="168"/>
      <c r="C3557" s="171"/>
      <c r="D3557" s="172"/>
      <c r="E3557" s="172"/>
      <c r="W3557" s="180"/>
    </row>
    <row r="3558" spans="2:26" x14ac:dyDescent="0.2">
      <c r="B3558" s="168"/>
      <c r="C3558" s="171"/>
      <c r="D3558" s="172"/>
      <c r="E3558" s="172"/>
      <c r="W3558" s="180"/>
    </row>
    <row r="3559" spans="2:26" x14ac:dyDescent="0.2">
      <c r="B3559" s="168"/>
      <c r="C3559" s="171"/>
      <c r="D3559" s="172"/>
      <c r="E3559" s="172"/>
      <c r="W3559" s="180"/>
    </row>
    <row r="3560" spans="2:26" x14ac:dyDescent="0.2">
      <c r="B3560" s="168"/>
      <c r="C3560" s="171"/>
      <c r="D3560" s="172"/>
      <c r="E3560" s="172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29</xdr:row>
                    <xdr:rowOff>38100</xdr:rowOff>
                  </from>
                  <to>
                    <xdr:col>10</xdr:col>
                    <xdr:colOff>228600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504825</xdr:colOff>
                    <xdr:row>26</xdr:row>
                    <xdr:rowOff>104775</xdr:rowOff>
                  </from>
                  <to>
                    <xdr:col>10</xdr:col>
                    <xdr:colOff>228600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31</xdr:row>
                    <xdr:rowOff>104775</xdr:rowOff>
                  </from>
                  <to>
                    <xdr:col>10</xdr:col>
                    <xdr:colOff>228600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24</xdr:row>
                    <xdr:rowOff>19050</xdr:rowOff>
                  </from>
                  <to>
                    <xdr:col>10</xdr:col>
                    <xdr:colOff>228600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34</xdr:row>
                    <xdr:rowOff>76200</xdr:rowOff>
                  </from>
                  <to>
                    <xdr:col>10</xdr:col>
                    <xdr:colOff>228600</xdr:colOff>
                    <xdr:row>36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37</xdr:row>
                    <xdr:rowOff>38100</xdr:rowOff>
                  </from>
                  <to>
                    <xdr:col>10</xdr:col>
                    <xdr:colOff>228600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40</xdr:row>
                    <xdr:rowOff>0</xdr:rowOff>
                  </from>
                  <to>
                    <xdr:col>10</xdr:col>
                    <xdr:colOff>228600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42</xdr:row>
                    <xdr:rowOff>123825</xdr:rowOff>
                  </from>
                  <to>
                    <xdr:col>10</xdr:col>
                    <xdr:colOff>228600</xdr:colOff>
                    <xdr:row>44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2" name="Check Box 10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3" name="Check Box 11">
              <controlPr defaultSize="0" autoFill="0" autoLine="0" autoPict="0">
                <anchor moveWithCells="1">
                  <from>
                    <xdr:col>8</xdr:col>
                    <xdr:colOff>457200</xdr:colOff>
                    <xdr:row>50</xdr:row>
                    <xdr:rowOff>66675</xdr:rowOff>
                  </from>
                  <to>
                    <xdr:col>10</xdr:col>
                    <xdr:colOff>180975</xdr:colOff>
                    <xdr:row>52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53</vt:i4>
      </vt:variant>
    </vt:vector>
  </HeadingPairs>
  <TitlesOfParts>
    <vt:vector size="61" baseType="lpstr">
      <vt:lpstr>General Settings</vt:lpstr>
      <vt:lpstr>RateHelpers</vt:lpstr>
      <vt:lpstr>Selected</vt:lpstr>
      <vt:lpstr>Deposits</vt:lpstr>
      <vt:lpstr>FRAs</vt:lpstr>
      <vt:lpstr>Futures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Swaps!Conventions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HolidayCheck</vt:lpstr>
      <vt:lpstr>IborIndex</vt:lpstr>
      <vt:lpstr>IborType</vt:lpstr>
      <vt:lpstr>IMMFutDates</vt:lpstr>
      <vt:lpstr>IMMFutNull</vt:lpstr>
      <vt:lpstr>IMMFutQuotes</vt:lpstr>
      <vt:lpstr>IndexTenor</vt:lpstr>
      <vt:lpstr>InterpolatorID</vt:lpstr>
      <vt:lpstr>JoinCalendar</vt:lpstr>
      <vt:lpstr>LiborCalendar</vt:lpstr>
      <vt:lpstr>LocalCalendar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BARONE RICCARDO</cp:lastModifiedBy>
  <dcterms:created xsi:type="dcterms:W3CDTF">2014-01-14T16:38:43Z</dcterms:created>
  <dcterms:modified xsi:type="dcterms:W3CDTF">2015-05-12T09:10:52Z</dcterms:modified>
</cp:coreProperties>
</file>